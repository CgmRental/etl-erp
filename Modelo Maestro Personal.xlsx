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47DCFCC3-DE1F-44D2-8642-60E09F42D9F0}" xr6:coauthVersionLast="47" xr6:coauthVersionMax="47" xr10:uidLastSave="{00000000-0000-0000-0000-000000000000}"/>
  <bookViews>
    <workbookView xWindow="-120" yWindow="-120" windowWidth="29040" windowHeight="15720" firstSheet="14" activeTab="14" xr2:uid="{EC8A7B89-1ED8-47E0-829F-6815AE6DAAD9}"/>
  </bookViews>
  <sheets>
    <sheet name="tbl_persona" sheetId="1" state="hidden" r:id="rId1"/>
    <sheet name="tbl_persona_cargar" sheetId="3" r:id="rId2"/>
    <sheet name="tbl_zona" sheetId="8" r:id="rId3"/>
    <sheet name="tbl_situacion_especial" sheetId="11" r:id="rId4"/>
    <sheet name="tbl_centro_costo" sheetId="2" r:id="rId5"/>
    <sheet name="tbl_activo" sheetId="15" r:id="rId6"/>
    <sheet name="tbl_linea" sheetId="17" r:id="rId7"/>
    <sheet name="tbl_asignacion_activo_linea" sheetId="33" r:id="rId8"/>
    <sheet name="tbl_contrato" sheetId="7" r:id="rId9"/>
    <sheet name="tbl_empleado" sheetId="14" r:id="rId10"/>
    <sheet name="tbl_gerencia" sheetId="5" r:id="rId11"/>
    <sheet name="tbl_area" sheetId="6" r:id="rId12"/>
    <sheet name="tbl_puesto" sheetId="21" r:id="rId13"/>
    <sheet name="tbl_cargo" sheetId="27" r:id="rId14"/>
    <sheet name="tbl_sucursal" sheetId="13" r:id="rId15"/>
    <sheet name="tbl_historial_centro_costo" sheetId="28" r:id="rId16"/>
    <sheet name="tbl_contrato_empleado" sheetId="22" r:id="rId17"/>
    <sheet name="tbl_cliente" sheetId="10" r:id="rId18"/>
    <sheet name="tbl_proyecto" sheetId="9" r:id="rId19"/>
    <sheet name="Hoja7" sheetId="31" r:id="rId20"/>
    <sheet name="Hoja13" sheetId="37" r:id="rId21"/>
    <sheet name="Hoja14" sheetId="38" r:id="rId22"/>
    <sheet name="Hoja15" sheetId="39" r:id="rId23"/>
    <sheet name="Hoja17" sheetId="41" r:id="rId24"/>
    <sheet name="Hoja20" sheetId="44" r:id="rId25"/>
  </sheets>
  <definedNames>
    <definedName name="_xlnm._FilterDatabase" localSheetId="20" hidden="1">Hoja13!$A$1:$B$869</definedName>
    <definedName name="_xlnm._FilterDatabase" localSheetId="21" hidden="1">Hoja14!$A$1:$B$569</definedName>
    <definedName name="_xlnm._FilterDatabase" localSheetId="22" hidden="1">Hoja15!$A$1:$B$260</definedName>
    <definedName name="_xlnm._FilterDatabase" localSheetId="23" hidden="1">Hoja17!$A$1:$B$790</definedName>
    <definedName name="_xlnm._FilterDatabase" localSheetId="24" hidden="1">Hoja20!$A$1:$B$841</definedName>
    <definedName name="_xlnm._FilterDatabase" localSheetId="19" hidden="1">Hoja7!$A$1:$B$928</definedName>
    <definedName name="_xlnm._FilterDatabase" localSheetId="5" hidden="1">tbl_activo!$A$1:$I$538</definedName>
    <definedName name="_xlnm._FilterDatabase" localSheetId="7" hidden="1">tbl_asignacion_activo_linea!$A$1:$F$551</definedName>
    <definedName name="_xlnm._FilterDatabase" localSheetId="13" hidden="1">tbl_cargo!$A$1:$F$262</definedName>
    <definedName name="_xlnm._FilterDatabase" localSheetId="4" hidden="1">tbl_centro_costo!$B$1:$E$113</definedName>
    <definedName name="_xlnm._FilterDatabase" localSheetId="17" hidden="1">tbl_cliente!$B$1:$B$40</definedName>
    <definedName name="_xlnm._FilterDatabase" localSheetId="8" hidden="1">tbl_contrato!$C$1:$F$1</definedName>
    <definedName name="_xlnm._FilterDatabase" localSheetId="16" hidden="1">tbl_contrato_empleado!$A$1:$O$928</definedName>
    <definedName name="_xlnm._FilterDatabase" localSheetId="9" hidden="1">tbl_empleado!$A$1:$J$789</definedName>
    <definedName name="_xlnm._FilterDatabase" localSheetId="15" hidden="1">tbl_historial_centro_costo!$A$1:$B$930</definedName>
    <definedName name="_xlnm._FilterDatabase" localSheetId="6" hidden="1">tbl_linea!$A$1:$G$322</definedName>
    <definedName name="_xlnm._FilterDatabase" localSheetId="0" hidden="1">tbl_persona!$A$1:$I$928</definedName>
    <definedName name="_xlnm._FilterDatabase" localSheetId="1" hidden="1">tbl_persona_cargar!$A$1:$G$789</definedName>
    <definedName name="_xlnm._FilterDatabase" localSheetId="18" hidden="1">tbl_proyecto!$B$1:$B$50</definedName>
    <definedName name="_xlnm._FilterDatabase" localSheetId="12" hidden="1">tbl_puesto!$A$1:$B$225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2" i="3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264" i="15"/>
  <c r="I265" i="15"/>
  <c r="G322" i="17"/>
  <c r="G321" i="17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2" i="15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2" i="17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2" i="9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2" i="28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" i="27"/>
  <c r="B3" i="7"/>
  <c r="B4" i="7"/>
  <c r="B5" i="7"/>
  <c r="B6" i="7"/>
  <c r="B7" i="7"/>
  <c r="B8" i="7"/>
  <c r="B9" i="7"/>
  <c r="B10" i="7"/>
  <c r="B11" i="7"/>
  <c r="B12" i="7"/>
  <c r="B13" i="7"/>
  <c r="B2" i="7"/>
  <c r="E3" i="13"/>
  <c r="E4" i="13"/>
  <c r="E5" i="13"/>
  <c r="E6" i="13"/>
  <c r="E2" i="1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2" i="2"/>
  <c r="B3" i="11"/>
  <c r="B4" i="11"/>
  <c r="B2" i="11"/>
  <c r="B3" i="8"/>
  <c r="B4" i="8"/>
  <c r="B5" i="8"/>
  <c r="B2" i="8"/>
  <c r="G3" i="7"/>
  <c r="G4" i="7"/>
  <c r="G5" i="7"/>
  <c r="G6" i="7"/>
  <c r="G7" i="7"/>
  <c r="G8" i="7"/>
  <c r="G9" i="7"/>
  <c r="G10" i="7"/>
  <c r="G11" i="7"/>
  <c r="G12" i="7"/>
  <c r="G13" i="7"/>
  <c r="G2" i="7"/>
  <c r="C3" i="5"/>
  <c r="C4" i="5"/>
  <c r="C5" i="5"/>
  <c r="C2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2" i="6"/>
  <c r="H741" i="1"/>
  <c r="G485" i="1"/>
  <c r="G569" i="1"/>
  <c r="G575" i="1"/>
  <c r="G623" i="1"/>
  <c r="G624" i="1"/>
  <c r="G745" i="1"/>
  <c r="G863" i="1"/>
  <c r="G869" i="1"/>
  <c r="G881" i="1"/>
  <c r="G88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F3" i="1"/>
  <c r="F4" i="1"/>
  <c r="H4" i="1" s="1"/>
  <c r="F5" i="1"/>
  <c r="F6" i="1"/>
  <c r="H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H20" i="1" s="1"/>
  <c r="F21" i="1"/>
  <c r="F22" i="1"/>
  <c r="H22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H36" i="1" s="1"/>
  <c r="F37" i="1"/>
  <c r="F38" i="1"/>
  <c r="H38" i="1" s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H52" i="1" s="1"/>
  <c r="F53" i="1"/>
  <c r="F54" i="1"/>
  <c r="H54" i="1" s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H68" i="1" s="1"/>
  <c r="F69" i="1"/>
  <c r="F70" i="1"/>
  <c r="H70" i="1" s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H84" i="1" s="1"/>
  <c r="F85" i="1"/>
  <c r="F86" i="1"/>
  <c r="H86" i="1" s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H100" i="1" s="1"/>
  <c r="F101" i="1"/>
  <c r="F102" i="1"/>
  <c r="H102" i="1" s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H116" i="1" s="1"/>
  <c r="F117" i="1"/>
  <c r="F118" i="1"/>
  <c r="H118" i="1" s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H132" i="1" s="1"/>
  <c r="F133" i="1"/>
  <c r="F134" i="1"/>
  <c r="H134" i="1" s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H148" i="1" s="1"/>
  <c r="F149" i="1"/>
  <c r="F150" i="1"/>
  <c r="H150" i="1" s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H164" i="1" s="1"/>
  <c r="F165" i="1"/>
  <c r="F166" i="1"/>
  <c r="H166" i="1" s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H180" i="1" s="1"/>
  <c r="F181" i="1"/>
  <c r="F182" i="1"/>
  <c r="H182" i="1" s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H196" i="1" s="1"/>
  <c r="F197" i="1"/>
  <c r="F198" i="1"/>
  <c r="H198" i="1" s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H212" i="1" s="1"/>
  <c r="F213" i="1"/>
  <c r="F214" i="1"/>
  <c r="H214" i="1" s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H228" i="1" s="1"/>
  <c r="F229" i="1"/>
  <c r="F230" i="1"/>
  <c r="H230" i="1" s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H244" i="1" s="1"/>
  <c r="F245" i="1"/>
  <c r="F246" i="1"/>
  <c r="H246" i="1" s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H260" i="1" s="1"/>
  <c r="F261" i="1"/>
  <c r="F262" i="1"/>
  <c r="H262" i="1" s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H276" i="1" s="1"/>
  <c r="F277" i="1"/>
  <c r="F278" i="1"/>
  <c r="H278" i="1" s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H292" i="1" s="1"/>
  <c r="F293" i="1"/>
  <c r="F294" i="1"/>
  <c r="H294" i="1" s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H308" i="1" s="1"/>
  <c r="F309" i="1"/>
  <c r="F310" i="1"/>
  <c r="H310" i="1" s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H324" i="1" s="1"/>
  <c r="F325" i="1"/>
  <c r="F326" i="1"/>
  <c r="H326" i="1" s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H340" i="1" s="1"/>
  <c r="F341" i="1"/>
  <c r="F342" i="1"/>
  <c r="H342" i="1" s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H356" i="1" s="1"/>
  <c r="F357" i="1"/>
  <c r="F358" i="1"/>
  <c r="H358" i="1" s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H372" i="1" s="1"/>
  <c r="F373" i="1"/>
  <c r="F374" i="1"/>
  <c r="H374" i="1" s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H388" i="1" s="1"/>
  <c r="F389" i="1"/>
  <c r="F390" i="1"/>
  <c r="H390" i="1" s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H404" i="1" s="1"/>
  <c r="F405" i="1"/>
  <c r="F406" i="1"/>
  <c r="H406" i="1" s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H420" i="1" s="1"/>
  <c r="F421" i="1"/>
  <c r="F422" i="1"/>
  <c r="H422" i="1" s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F444" i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F459" i="1"/>
  <c r="F460" i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F475" i="1"/>
  <c r="F476" i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F491" i="1"/>
  <c r="F492" i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F507" i="1"/>
  <c r="F508" i="1"/>
  <c r="F509" i="1"/>
  <c r="H509" i="1" s="1"/>
  <c r="F510" i="1"/>
  <c r="H510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F523" i="1"/>
  <c r="F524" i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F539" i="1"/>
  <c r="F540" i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H552" i="1" s="1"/>
  <c r="F553" i="1"/>
  <c r="H553" i="1" s="1"/>
  <c r="F554" i="1"/>
  <c r="F555" i="1"/>
  <c r="F556" i="1"/>
  <c r="F557" i="1"/>
  <c r="H557" i="1" s="1"/>
  <c r="F558" i="1"/>
  <c r="H558" i="1" s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F571" i="1"/>
  <c r="F572" i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F587" i="1"/>
  <c r="F588" i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F603" i="1"/>
  <c r="F604" i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F618" i="1"/>
  <c r="F619" i="1"/>
  <c r="F620" i="1"/>
  <c r="F621" i="1"/>
  <c r="H621" i="1" s="1"/>
  <c r="F622" i="1"/>
  <c r="H622" i="1" s="1"/>
  <c r="F623" i="1"/>
  <c r="H623" i="1" s="1"/>
  <c r="F624" i="1"/>
  <c r="H624" i="1" s="1"/>
  <c r="F625" i="1"/>
  <c r="H625" i="1" s="1"/>
  <c r="F626" i="1"/>
  <c r="H626" i="1" s="1"/>
  <c r="F627" i="1"/>
  <c r="H627" i="1" s="1"/>
  <c r="F628" i="1"/>
  <c r="H628" i="1" s="1"/>
  <c r="F629" i="1"/>
  <c r="H629" i="1" s="1"/>
  <c r="F630" i="1"/>
  <c r="H630" i="1" s="1"/>
  <c r="F631" i="1"/>
  <c r="H631" i="1" s="1"/>
  <c r="F632" i="1"/>
  <c r="H632" i="1" s="1"/>
  <c r="F633" i="1"/>
  <c r="H633" i="1" s="1"/>
  <c r="F634" i="1"/>
  <c r="F635" i="1"/>
  <c r="F636" i="1"/>
  <c r="F637" i="1"/>
  <c r="H637" i="1" s="1"/>
  <c r="F638" i="1"/>
  <c r="H638" i="1" s="1"/>
  <c r="F639" i="1"/>
  <c r="H639" i="1" s="1"/>
  <c r="F640" i="1"/>
  <c r="H640" i="1" s="1"/>
  <c r="F641" i="1"/>
  <c r="H641" i="1" s="1"/>
  <c r="F642" i="1"/>
  <c r="H642" i="1" s="1"/>
  <c r="F643" i="1"/>
  <c r="H643" i="1" s="1"/>
  <c r="F644" i="1"/>
  <c r="H644" i="1" s="1"/>
  <c r="F645" i="1"/>
  <c r="H645" i="1" s="1"/>
  <c r="F646" i="1"/>
  <c r="H646" i="1" s="1"/>
  <c r="F647" i="1"/>
  <c r="H647" i="1" s="1"/>
  <c r="F648" i="1"/>
  <c r="H648" i="1" s="1"/>
  <c r="F649" i="1"/>
  <c r="H649" i="1" s="1"/>
  <c r="F650" i="1"/>
  <c r="F651" i="1"/>
  <c r="F652" i="1"/>
  <c r="F653" i="1"/>
  <c r="H653" i="1" s="1"/>
  <c r="F654" i="1"/>
  <c r="H654" i="1" s="1"/>
  <c r="F655" i="1"/>
  <c r="H655" i="1" s="1"/>
  <c r="F656" i="1"/>
  <c r="H656" i="1" s="1"/>
  <c r="F657" i="1"/>
  <c r="H657" i="1" s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F667" i="1"/>
  <c r="F668" i="1"/>
  <c r="F669" i="1"/>
  <c r="H669" i="1" s="1"/>
  <c r="F670" i="1"/>
  <c r="H670" i="1" s="1"/>
  <c r="F671" i="1"/>
  <c r="H671" i="1" s="1"/>
  <c r="F672" i="1"/>
  <c r="H672" i="1" s="1"/>
  <c r="F673" i="1"/>
  <c r="H673" i="1" s="1"/>
  <c r="F674" i="1"/>
  <c r="H674" i="1" s="1"/>
  <c r="F675" i="1"/>
  <c r="H675" i="1" s="1"/>
  <c r="F676" i="1"/>
  <c r="H676" i="1" s="1"/>
  <c r="F677" i="1"/>
  <c r="H677" i="1" s="1"/>
  <c r="F678" i="1"/>
  <c r="H678" i="1" s="1"/>
  <c r="F679" i="1"/>
  <c r="H679" i="1" s="1"/>
  <c r="F680" i="1"/>
  <c r="H680" i="1" s="1"/>
  <c r="F681" i="1"/>
  <c r="H681" i="1" s="1"/>
  <c r="F682" i="1"/>
  <c r="F683" i="1"/>
  <c r="F684" i="1"/>
  <c r="F685" i="1"/>
  <c r="H685" i="1" s="1"/>
  <c r="F686" i="1"/>
  <c r="H686" i="1" s="1"/>
  <c r="F687" i="1"/>
  <c r="H687" i="1" s="1"/>
  <c r="F688" i="1"/>
  <c r="H688" i="1" s="1"/>
  <c r="F689" i="1"/>
  <c r="H689" i="1" s="1"/>
  <c r="F690" i="1"/>
  <c r="H690" i="1" s="1"/>
  <c r="F691" i="1"/>
  <c r="H691" i="1" s="1"/>
  <c r="F692" i="1"/>
  <c r="H692" i="1" s="1"/>
  <c r="F693" i="1"/>
  <c r="H693" i="1" s="1"/>
  <c r="F694" i="1"/>
  <c r="H694" i="1" s="1"/>
  <c r="F695" i="1"/>
  <c r="H695" i="1" s="1"/>
  <c r="F696" i="1"/>
  <c r="H696" i="1" s="1"/>
  <c r="F697" i="1"/>
  <c r="H697" i="1" s="1"/>
  <c r="F698" i="1"/>
  <c r="F699" i="1"/>
  <c r="F700" i="1"/>
  <c r="F701" i="1"/>
  <c r="H701" i="1" s="1"/>
  <c r="F702" i="1"/>
  <c r="H702" i="1" s="1"/>
  <c r="F703" i="1"/>
  <c r="H703" i="1" s="1"/>
  <c r="F704" i="1"/>
  <c r="H704" i="1" s="1"/>
  <c r="F705" i="1"/>
  <c r="H705" i="1" s="1"/>
  <c r="F706" i="1"/>
  <c r="H706" i="1" s="1"/>
  <c r="F707" i="1"/>
  <c r="H707" i="1" s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F715" i="1"/>
  <c r="F716" i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H722" i="1" s="1"/>
  <c r="F723" i="1"/>
  <c r="H723" i="1" s="1"/>
  <c r="F724" i="1"/>
  <c r="H724" i="1" s="1"/>
  <c r="F725" i="1"/>
  <c r="H725" i="1" s="1"/>
  <c r="F726" i="1"/>
  <c r="H726" i="1" s="1"/>
  <c r="F727" i="1"/>
  <c r="H727" i="1" s="1"/>
  <c r="F728" i="1"/>
  <c r="H728" i="1" s="1"/>
  <c r="F729" i="1"/>
  <c r="H729" i="1" s="1"/>
  <c r="F730" i="1"/>
  <c r="F731" i="1"/>
  <c r="F732" i="1"/>
  <c r="F733" i="1"/>
  <c r="H733" i="1" s="1"/>
  <c r="F734" i="1"/>
  <c r="H734" i="1" s="1"/>
  <c r="F735" i="1"/>
  <c r="H735" i="1" s="1"/>
  <c r="F736" i="1"/>
  <c r="H736" i="1" s="1"/>
  <c r="F737" i="1"/>
  <c r="H737" i="1" s="1"/>
  <c r="F738" i="1"/>
  <c r="H738" i="1" s="1"/>
  <c r="F739" i="1"/>
  <c r="H739" i="1" s="1"/>
  <c r="F740" i="1"/>
  <c r="H740" i="1" s="1"/>
  <c r="F741" i="1"/>
  <c r="G741" i="1" s="1"/>
  <c r="F742" i="1"/>
  <c r="H742" i="1" s="1"/>
  <c r="F743" i="1"/>
  <c r="H743" i="1" s="1"/>
  <c r="F744" i="1"/>
  <c r="H744" i="1" s="1"/>
  <c r="F745" i="1"/>
  <c r="H745" i="1" s="1"/>
  <c r="F746" i="1"/>
  <c r="F747" i="1"/>
  <c r="F748" i="1"/>
  <c r="F749" i="1"/>
  <c r="H749" i="1" s="1"/>
  <c r="F750" i="1"/>
  <c r="H750" i="1" s="1"/>
  <c r="F751" i="1"/>
  <c r="H751" i="1" s="1"/>
  <c r="F752" i="1"/>
  <c r="H752" i="1" s="1"/>
  <c r="F753" i="1"/>
  <c r="H753" i="1" s="1"/>
  <c r="F754" i="1"/>
  <c r="H754" i="1" s="1"/>
  <c r="F755" i="1"/>
  <c r="G755" i="1" s="1"/>
  <c r="F756" i="1"/>
  <c r="H756" i="1" s="1"/>
  <c r="F757" i="1"/>
  <c r="G757" i="1" s="1"/>
  <c r="F758" i="1"/>
  <c r="H758" i="1" s="1"/>
  <c r="F759" i="1"/>
  <c r="H759" i="1" s="1"/>
  <c r="F760" i="1"/>
  <c r="H760" i="1" s="1"/>
  <c r="F761" i="1"/>
  <c r="H761" i="1" s="1"/>
  <c r="F762" i="1"/>
  <c r="F763" i="1"/>
  <c r="F764" i="1"/>
  <c r="F765" i="1"/>
  <c r="H765" i="1" s="1"/>
  <c r="F766" i="1"/>
  <c r="H766" i="1" s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H773" i="1" s="1"/>
  <c r="F774" i="1"/>
  <c r="H774" i="1" s="1"/>
  <c r="F775" i="1"/>
  <c r="H775" i="1" s="1"/>
  <c r="F776" i="1"/>
  <c r="H776" i="1" s="1"/>
  <c r="F777" i="1"/>
  <c r="H777" i="1" s="1"/>
  <c r="F778" i="1"/>
  <c r="F779" i="1"/>
  <c r="F780" i="1"/>
  <c r="F781" i="1"/>
  <c r="H781" i="1" s="1"/>
  <c r="F782" i="1"/>
  <c r="H782" i="1" s="1"/>
  <c r="F783" i="1"/>
  <c r="H783" i="1" s="1"/>
  <c r="F784" i="1"/>
  <c r="H784" i="1" s="1"/>
  <c r="F785" i="1"/>
  <c r="H785" i="1" s="1"/>
  <c r="F786" i="1"/>
  <c r="H786" i="1" s="1"/>
  <c r="F787" i="1"/>
  <c r="H787" i="1" s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F795" i="1"/>
  <c r="F796" i="1"/>
  <c r="F797" i="1"/>
  <c r="H797" i="1" s="1"/>
  <c r="F798" i="1"/>
  <c r="H798" i="1" s="1"/>
  <c r="F799" i="1"/>
  <c r="H799" i="1" s="1"/>
  <c r="F800" i="1"/>
  <c r="H800" i="1" s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H806" i="1" s="1"/>
  <c r="F807" i="1"/>
  <c r="H807" i="1" s="1"/>
  <c r="F808" i="1"/>
  <c r="H808" i="1" s="1"/>
  <c r="F809" i="1"/>
  <c r="H809" i="1" s="1"/>
  <c r="F810" i="1"/>
  <c r="F811" i="1"/>
  <c r="F812" i="1"/>
  <c r="F813" i="1"/>
  <c r="H813" i="1" s="1"/>
  <c r="F814" i="1"/>
  <c r="H814" i="1" s="1"/>
  <c r="F815" i="1"/>
  <c r="H815" i="1" s="1"/>
  <c r="F816" i="1"/>
  <c r="H816" i="1" s="1"/>
  <c r="F817" i="1"/>
  <c r="H817" i="1" s="1"/>
  <c r="F818" i="1"/>
  <c r="H818" i="1" s="1"/>
  <c r="F819" i="1"/>
  <c r="H819" i="1" s="1"/>
  <c r="F820" i="1"/>
  <c r="H820" i="1" s="1"/>
  <c r="F821" i="1"/>
  <c r="H821" i="1" s="1"/>
  <c r="F822" i="1"/>
  <c r="H822" i="1" s="1"/>
  <c r="F823" i="1"/>
  <c r="H823" i="1" s="1"/>
  <c r="F824" i="1"/>
  <c r="H824" i="1" s="1"/>
  <c r="F825" i="1"/>
  <c r="H825" i="1" s="1"/>
  <c r="F826" i="1"/>
  <c r="F827" i="1"/>
  <c r="F828" i="1"/>
  <c r="F829" i="1"/>
  <c r="H829" i="1" s="1"/>
  <c r="F830" i="1"/>
  <c r="H830" i="1" s="1"/>
  <c r="F831" i="1"/>
  <c r="H831" i="1" s="1"/>
  <c r="F832" i="1"/>
  <c r="H832" i="1" s="1"/>
  <c r="F833" i="1"/>
  <c r="H833" i="1" s="1"/>
  <c r="F834" i="1"/>
  <c r="H834" i="1" s="1"/>
  <c r="F835" i="1"/>
  <c r="G835" i="1" s="1"/>
  <c r="F836" i="1"/>
  <c r="H836" i="1" s="1"/>
  <c r="F837" i="1"/>
  <c r="H837" i="1" s="1"/>
  <c r="F838" i="1"/>
  <c r="H838" i="1" s="1"/>
  <c r="F839" i="1"/>
  <c r="H839" i="1" s="1"/>
  <c r="F840" i="1"/>
  <c r="H840" i="1" s="1"/>
  <c r="F841" i="1"/>
  <c r="H841" i="1" s="1"/>
  <c r="F842" i="1"/>
  <c r="F843" i="1"/>
  <c r="F844" i="1"/>
  <c r="F845" i="1"/>
  <c r="H845" i="1" s="1"/>
  <c r="F846" i="1"/>
  <c r="H846" i="1" s="1"/>
  <c r="F847" i="1"/>
  <c r="H847" i="1" s="1"/>
  <c r="F848" i="1"/>
  <c r="H848" i="1" s="1"/>
  <c r="F849" i="1"/>
  <c r="H849" i="1" s="1"/>
  <c r="F850" i="1"/>
  <c r="H850" i="1" s="1"/>
  <c r="F851" i="1"/>
  <c r="H851" i="1" s="1"/>
  <c r="F852" i="1"/>
  <c r="H852" i="1" s="1"/>
  <c r="F853" i="1"/>
  <c r="H853" i="1" s="1"/>
  <c r="F854" i="1"/>
  <c r="H854" i="1" s="1"/>
  <c r="F855" i="1"/>
  <c r="H855" i="1" s="1"/>
  <c r="F856" i="1"/>
  <c r="H856" i="1" s="1"/>
  <c r="F857" i="1"/>
  <c r="H857" i="1" s="1"/>
  <c r="F858" i="1"/>
  <c r="F859" i="1"/>
  <c r="F860" i="1"/>
  <c r="F861" i="1"/>
  <c r="H861" i="1" s="1"/>
  <c r="F862" i="1"/>
  <c r="H862" i="1" s="1"/>
  <c r="F863" i="1"/>
  <c r="H863" i="1" s="1"/>
  <c r="F864" i="1"/>
  <c r="H864" i="1" s="1"/>
  <c r="F865" i="1"/>
  <c r="H865" i="1" s="1"/>
  <c r="F866" i="1"/>
  <c r="H866" i="1" s="1"/>
  <c r="F867" i="1"/>
  <c r="G867" i="1" s="1"/>
  <c r="F868" i="1"/>
  <c r="H868" i="1" s="1"/>
  <c r="F869" i="1"/>
  <c r="H869" i="1" s="1"/>
  <c r="F870" i="1"/>
  <c r="H870" i="1" s="1"/>
  <c r="F871" i="1"/>
  <c r="H871" i="1" s="1"/>
  <c r="F872" i="1"/>
  <c r="H872" i="1" s="1"/>
  <c r="F873" i="1"/>
  <c r="H873" i="1" s="1"/>
  <c r="F874" i="1"/>
  <c r="F875" i="1"/>
  <c r="F876" i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G883" i="1" s="1"/>
  <c r="F884" i="1"/>
  <c r="H884" i="1" s="1"/>
  <c r="F885" i="1"/>
  <c r="G885" i="1" s="1"/>
  <c r="F886" i="1"/>
  <c r="H886" i="1" s="1"/>
  <c r="F887" i="1"/>
  <c r="H887" i="1" s="1"/>
  <c r="F888" i="1"/>
  <c r="H888" i="1" s="1"/>
  <c r="F889" i="1"/>
  <c r="H889" i="1" s="1"/>
  <c r="F890" i="1"/>
  <c r="F891" i="1"/>
  <c r="F892" i="1"/>
  <c r="F893" i="1"/>
  <c r="H893" i="1" s="1"/>
  <c r="F894" i="1"/>
  <c r="H894" i="1" s="1"/>
  <c r="F895" i="1"/>
  <c r="H895" i="1" s="1"/>
  <c r="F896" i="1"/>
  <c r="H896" i="1" s="1"/>
  <c r="F897" i="1"/>
  <c r="H897" i="1" s="1"/>
  <c r="F898" i="1"/>
  <c r="H898" i="1" s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H905" i="1" s="1"/>
  <c r="F906" i="1"/>
  <c r="F907" i="1"/>
  <c r="F908" i="1"/>
  <c r="F909" i="1"/>
  <c r="H909" i="1" s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H917" i="1" s="1"/>
  <c r="F918" i="1"/>
  <c r="H918" i="1" s="1"/>
  <c r="F919" i="1"/>
  <c r="H919" i="1" s="1"/>
  <c r="F920" i="1"/>
  <c r="H920" i="1" s="1"/>
  <c r="F921" i="1"/>
  <c r="H921" i="1" s="1"/>
  <c r="F922" i="1"/>
  <c r="F923" i="1"/>
  <c r="F924" i="1"/>
  <c r="F925" i="1"/>
  <c r="H925" i="1" s="1"/>
  <c r="F926" i="1"/>
  <c r="H926" i="1" s="1"/>
  <c r="F927" i="1"/>
  <c r="H927" i="1" s="1"/>
  <c r="F928" i="1"/>
  <c r="H928" i="1" s="1"/>
  <c r="I2" i="1"/>
  <c r="F2" i="1"/>
  <c r="H2" i="1" s="1"/>
  <c r="G689" i="1" l="1"/>
  <c r="G677" i="1"/>
  <c r="G690" i="1"/>
  <c r="G673" i="1"/>
  <c r="G816" i="1"/>
  <c r="G815" i="1"/>
  <c r="G559" i="1"/>
  <c r="G801" i="1"/>
  <c r="G513" i="1"/>
  <c r="G512" i="1"/>
  <c r="G450" i="1"/>
  <c r="G628" i="1"/>
  <c r="G738" i="1"/>
  <c r="G449" i="1"/>
  <c r="G800" i="1"/>
  <c r="G737" i="1"/>
  <c r="G308" i="1"/>
  <c r="G627" i="1"/>
  <c r="G880" i="1"/>
  <c r="G803" i="1"/>
  <c r="G740" i="1"/>
  <c r="G688" i="1"/>
  <c r="G626" i="1"/>
  <c r="G565" i="1"/>
  <c r="G511" i="1"/>
  <c r="G340" i="1"/>
  <c r="G2" i="1"/>
  <c r="G879" i="1"/>
  <c r="G802" i="1"/>
  <c r="G739" i="1"/>
  <c r="G687" i="1"/>
  <c r="G625" i="1"/>
  <c r="G560" i="1"/>
  <c r="G489" i="1"/>
  <c r="G324" i="1"/>
  <c r="G914" i="1"/>
  <c r="G857" i="1"/>
  <c r="G799" i="1"/>
  <c r="G736" i="1"/>
  <c r="G660" i="1"/>
  <c r="G613" i="1"/>
  <c r="G546" i="1"/>
  <c r="G482" i="1"/>
  <c r="G292" i="1"/>
  <c r="G913" i="1"/>
  <c r="G853" i="1"/>
  <c r="G789" i="1"/>
  <c r="G725" i="1"/>
  <c r="G659" i="1"/>
  <c r="G607" i="1"/>
  <c r="G545" i="1"/>
  <c r="G481" i="1"/>
  <c r="G214" i="1"/>
  <c r="G916" i="1"/>
  <c r="G310" i="1"/>
  <c r="G483" i="1"/>
  <c r="G912" i="1"/>
  <c r="G852" i="1"/>
  <c r="G786" i="1"/>
  <c r="G720" i="1"/>
  <c r="G658" i="1"/>
  <c r="G601" i="1"/>
  <c r="G544" i="1"/>
  <c r="G480" i="1"/>
  <c r="G86" i="1"/>
  <c r="G911" i="1"/>
  <c r="G851" i="1"/>
  <c r="G773" i="1"/>
  <c r="G719" i="1"/>
  <c r="G657" i="1"/>
  <c r="G597" i="1"/>
  <c r="G543" i="1"/>
  <c r="G479" i="1"/>
  <c r="G36" i="1"/>
  <c r="G899" i="1"/>
  <c r="G850" i="1"/>
  <c r="G772" i="1"/>
  <c r="G713" i="1"/>
  <c r="G656" i="1"/>
  <c r="G596" i="1"/>
  <c r="G533" i="1"/>
  <c r="G469" i="1"/>
  <c r="H885" i="1"/>
  <c r="G898" i="1"/>
  <c r="G833" i="1"/>
  <c r="G771" i="1"/>
  <c r="G709" i="1"/>
  <c r="G655" i="1"/>
  <c r="G595" i="1"/>
  <c r="G530" i="1"/>
  <c r="G463" i="1"/>
  <c r="H883" i="1"/>
  <c r="G889" i="1"/>
  <c r="G832" i="1"/>
  <c r="G770" i="1"/>
  <c r="G708" i="1"/>
  <c r="G643" i="1"/>
  <c r="G594" i="1"/>
  <c r="G517" i="1"/>
  <c r="G457" i="1"/>
  <c r="G831" i="1"/>
  <c r="G769" i="1"/>
  <c r="G707" i="1"/>
  <c r="G642" i="1"/>
  <c r="G593" i="1"/>
  <c r="G516" i="1"/>
  <c r="G453" i="1"/>
  <c r="H867" i="1"/>
  <c r="G884" i="1"/>
  <c r="G825" i="1"/>
  <c r="G768" i="1"/>
  <c r="G706" i="1"/>
  <c r="G633" i="1"/>
  <c r="G577" i="1"/>
  <c r="G515" i="1"/>
  <c r="G452" i="1"/>
  <c r="G915" i="1"/>
  <c r="G547" i="1"/>
  <c r="G821" i="1"/>
  <c r="G767" i="1"/>
  <c r="G703" i="1"/>
  <c r="G629" i="1"/>
  <c r="G576" i="1"/>
  <c r="G514" i="1"/>
  <c r="G451" i="1"/>
  <c r="G750" i="1"/>
  <c r="G494" i="1"/>
  <c r="G462" i="1"/>
  <c r="G820" i="1"/>
  <c r="G793" i="1"/>
  <c r="G654" i="1"/>
  <c r="G212" i="1"/>
  <c r="G849" i="1"/>
  <c r="G819" i="1"/>
  <c r="G196" i="1"/>
  <c r="G901" i="1"/>
  <c r="G878" i="1"/>
  <c r="G848" i="1"/>
  <c r="G818" i="1"/>
  <c r="G788" i="1"/>
  <c r="G761" i="1"/>
  <c r="G735" i="1"/>
  <c r="G705" i="1"/>
  <c r="G675" i="1"/>
  <c r="G645" i="1"/>
  <c r="G622" i="1"/>
  <c r="G592" i="1"/>
  <c r="G562" i="1"/>
  <c r="G532" i="1"/>
  <c r="G505" i="1"/>
  <c r="G478" i="1"/>
  <c r="G448" i="1"/>
  <c r="G182" i="1"/>
  <c r="H757" i="1"/>
  <c r="G862" i="1"/>
  <c r="G718" i="1"/>
  <c r="G574" i="1"/>
  <c r="G686" i="1"/>
  <c r="G798" i="1"/>
  <c r="G681" i="1"/>
  <c r="G910" i="1"/>
  <c r="G564" i="1"/>
  <c r="G537" i="1"/>
  <c r="G905" i="1"/>
  <c r="G766" i="1"/>
  <c r="G676" i="1"/>
  <c r="G649" i="1"/>
  <c r="G563" i="1"/>
  <c r="G510" i="1"/>
  <c r="H835" i="1"/>
  <c r="G900" i="1"/>
  <c r="G873" i="1"/>
  <c r="G847" i="1"/>
  <c r="G817" i="1"/>
  <c r="G787" i="1"/>
  <c r="G734" i="1"/>
  <c r="G704" i="1"/>
  <c r="G674" i="1"/>
  <c r="G644" i="1"/>
  <c r="G617" i="1"/>
  <c r="G591" i="1"/>
  <c r="G561" i="1"/>
  <c r="G531" i="1"/>
  <c r="G501" i="1"/>
  <c r="G473" i="1"/>
  <c r="G447" i="1"/>
  <c r="G180" i="1"/>
  <c r="H755" i="1"/>
  <c r="G606" i="1"/>
  <c r="G590" i="1"/>
  <c r="G500" i="1"/>
  <c r="G928" i="1"/>
  <c r="G868" i="1"/>
  <c r="G841" i="1"/>
  <c r="G785" i="1"/>
  <c r="G702" i="1"/>
  <c r="G672" i="1"/>
  <c r="G612" i="1"/>
  <c r="G585" i="1"/>
  <c r="G529" i="1"/>
  <c r="G499" i="1"/>
  <c r="G468" i="1"/>
  <c r="G441" i="1"/>
  <c r="G927" i="1"/>
  <c r="G897" i="1"/>
  <c r="G837" i="1"/>
  <c r="G814" i="1"/>
  <c r="G784" i="1"/>
  <c r="G754" i="1"/>
  <c r="G724" i="1"/>
  <c r="G697" i="1"/>
  <c r="G671" i="1"/>
  <c r="G641" i="1"/>
  <c r="G611" i="1"/>
  <c r="G581" i="1"/>
  <c r="G558" i="1"/>
  <c r="G528" i="1"/>
  <c r="G498" i="1"/>
  <c r="G467" i="1"/>
  <c r="G437" i="1"/>
  <c r="G84" i="1"/>
  <c r="G830" i="1"/>
  <c r="G729" i="1"/>
  <c r="G446" i="1"/>
  <c r="G926" i="1"/>
  <c r="G896" i="1"/>
  <c r="G866" i="1"/>
  <c r="G836" i="1"/>
  <c r="G809" i="1"/>
  <c r="G783" i="1"/>
  <c r="G753" i="1"/>
  <c r="G723" i="1"/>
  <c r="G693" i="1"/>
  <c r="G670" i="1"/>
  <c r="G640" i="1"/>
  <c r="G610" i="1"/>
  <c r="G580" i="1"/>
  <c r="G553" i="1"/>
  <c r="G527" i="1"/>
  <c r="G497" i="1"/>
  <c r="G466" i="1"/>
  <c r="G436" i="1"/>
  <c r="G68" i="1"/>
  <c r="G846" i="1"/>
  <c r="G756" i="1"/>
  <c r="G164" i="1"/>
  <c r="G921" i="1"/>
  <c r="G895" i="1"/>
  <c r="G865" i="1"/>
  <c r="G805" i="1"/>
  <c r="G782" i="1"/>
  <c r="G752" i="1"/>
  <c r="G722" i="1"/>
  <c r="G692" i="1"/>
  <c r="G665" i="1"/>
  <c r="G639" i="1"/>
  <c r="G609" i="1"/>
  <c r="G579" i="1"/>
  <c r="G549" i="1"/>
  <c r="G526" i="1"/>
  <c r="G496" i="1"/>
  <c r="G465" i="1"/>
  <c r="G420" i="1"/>
  <c r="G54" i="1"/>
  <c r="G542" i="1"/>
  <c r="G917" i="1"/>
  <c r="G894" i="1"/>
  <c r="G864" i="1"/>
  <c r="G834" i="1"/>
  <c r="G804" i="1"/>
  <c r="G777" i="1"/>
  <c r="G751" i="1"/>
  <c r="G721" i="1"/>
  <c r="G691" i="1"/>
  <c r="G661" i="1"/>
  <c r="G638" i="1"/>
  <c r="G608" i="1"/>
  <c r="G578" i="1"/>
  <c r="G548" i="1"/>
  <c r="G521" i="1"/>
  <c r="G495" i="1"/>
  <c r="G464" i="1"/>
  <c r="G342" i="1"/>
  <c r="G52" i="1"/>
  <c r="G316" i="1"/>
  <c r="H316" i="1"/>
  <c r="G156" i="1"/>
  <c r="H156" i="1"/>
  <c r="G28" i="1"/>
  <c r="H28" i="1"/>
  <c r="H827" i="1"/>
  <c r="G827" i="1"/>
  <c r="H699" i="1"/>
  <c r="G699" i="1"/>
  <c r="H619" i="1"/>
  <c r="G619" i="1"/>
  <c r="H523" i="1"/>
  <c r="G523" i="1"/>
  <c r="G395" i="1"/>
  <c r="H395" i="1"/>
  <c r="H892" i="1"/>
  <c r="G892" i="1"/>
  <c r="H844" i="1"/>
  <c r="G844" i="1"/>
  <c r="H780" i="1"/>
  <c r="G780" i="1"/>
  <c r="H716" i="1"/>
  <c r="G716" i="1"/>
  <c r="H668" i="1"/>
  <c r="G668" i="1"/>
  <c r="H604" i="1"/>
  <c r="G604" i="1"/>
  <c r="H524" i="1"/>
  <c r="G524" i="1"/>
  <c r="H444" i="1"/>
  <c r="G444" i="1"/>
  <c r="G396" i="1"/>
  <c r="H396" i="1"/>
  <c r="G332" i="1"/>
  <c r="H332" i="1"/>
  <c r="G252" i="1"/>
  <c r="H252" i="1"/>
  <c r="G204" i="1"/>
  <c r="H204" i="1"/>
  <c r="G140" i="1"/>
  <c r="H140" i="1"/>
  <c r="G76" i="1"/>
  <c r="H76" i="1"/>
  <c r="G12" i="1"/>
  <c r="H12" i="1"/>
  <c r="H923" i="1"/>
  <c r="G923" i="1"/>
  <c r="H859" i="1"/>
  <c r="G859" i="1"/>
  <c r="H779" i="1"/>
  <c r="G779" i="1"/>
  <c r="H683" i="1"/>
  <c r="G683" i="1"/>
  <c r="H603" i="1"/>
  <c r="G603" i="1"/>
  <c r="H539" i="1"/>
  <c r="G539" i="1"/>
  <c r="G379" i="1"/>
  <c r="H379" i="1"/>
  <c r="H922" i="1"/>
  <c r="G922" i="1"/>
  <c r="H858" i="1"/>
  <c r="G858" i="1"/>
  <c r="H794" i="1"/>
  <c r="G794" i="1"/>
  <c r="H730" i="1"/>
  <c r="G730" i="1"/>
  <c r="H682" i="1"/>
  <c r="G682" i="1"/>
  <c r="H618" i="1"/>
  <c r="G618" i="1"/>
  <c r="H570" i="1"/>
  <c r="G570" i="1"/>
  <c r="H458" i="1"/>
  <c r="G458" i="1"/>
  <c r="H876" i="1"/>
  <c r="G876" i="1"/>
  <c r="H812" i="1"/>
  <c r="G812" i="1"/>
  <c r="H748" i="1"/>
  <c r="G748" i="1"/>
  <c r="H652" i="1"/>
  <c r="G652" i="1"/>
  <c r="H588" i="1"/>
  <c r="G588" i="1"/>
  <c r="H508" i="1"/>
  <c r="G508" i="1"/>
  <c r="G428" i="1"/>
  <c r="H428" i="1"/>
  <c r="G364" i="1"/>
  <c r="H364" i="1"/>
  <c r="G268" i="1"/>
  <c r="H268" i="1"/>
  <c r="G188" i="1"/>
  <c r="H188" i="1"/>
  <c r="G92" i="1"/>
  <c r="H92" i="1"/>
  <c r="H891" i="1"/>
  <c r="G891" i="1"/>
  <c r="H811" i="1"/>
  <c r="G811" i="1"/>
  <c r="H747" i="1"/>
  <c r="G747" i="1"/>
  <c r="H635" i="1"/>
  <c r="G635" i="1"/>
  <c r="H571" i="1"/>
  <c r="G571" i="1"/>
  <c r="H507" i="1"/>
  <c r="G507" i="1"/>
  <c r="H491" i="1"/>
  <c r="G491" i="1"/>
  <c r="H459" i="1"/>
  <c r="G459" i="1"/>
  <c r="G411" i="1"/>
  <c r="H411" i="1"/>
  <c r="G347" i="1"/>
  <c r="H347" i="1"/>
  <c r="H890" i="1"/>
  <c r="G890" i="1"/>
  <c r="H874" i="1"/>
  <c r="G874" i="1"/>
  <c r="H810" i="1"/>
  <c r="G810" i="1"/>
  <c r="H762" i="1"/>
  <c r="G762" i="1"/>
  <c r="H698" i="1"/>
  <c r="G698" i="1"/>
  <c r="H650" i="1"/>
  <c r="G650" i="1"/>
  <c r="H602" i="1"/>
  <c r="G602" i="1"/>
  <c r="H554" i="1"/>
  <c r="G554" i="1"/>
  <c r="H522" i="1"/>
  <c r="G522" i="1"/>
  <c r="H490" i="1"/>
  <c r="G490" i="1"/>
  <c r="G426" i="1"/>
  <c r="H426" i="1"/>
  <c r="H908" i="1"/>
  <c r="G908" i="1"/>
  <c r="H828" i="1"/>
  <c r="G828" i="1"/>
  <c r="H764" i="1"/>
  <c r="G764" i="1"/>
  <c r="H700" i="1"/>
  <c r="G700" i="1"/>
  <c r="H636" i="1"/>
  <c r="G636" i="1"/>
  <c r="H572" i="1"/>
  <c r="G572" i="1"/>
  <c r="H556" i="1"/>
  <c r="G556" i="1"/>
  <c r="H492" i="1"/>
  <c r="G492" i="1"/>
  <c r="H460" i="1"/>
  <c r="G460" i="1"/>
  <c r="G412" i="1"/>
  <c r="H412" i="1"/>
  <c r="G348" i="1"/>
  <c r="H348" i="1"/>
  <c r="G284" i="1"/>
  <c r="H284" i="1"/>
  <c r="G236" i="1"/>
  <c r="H236" i="1"/>
  <c r="G124" i="1"/>
  <c r="H124" i="1"/>
  <c r="G60" i="1"/>
  <c r="H60" i="1"/>
  <c r="H875" i="1"/>
  <c r="G875" i="1"/>
  <c r="H795" i="1"/>
  <c r="G795" i="1"/>
  <c r="H731" i="1"/>
  <c r="G731" i="1"/>
  <c r="H651" i="1"/>
  <c r="G651" i="1"/>
  <c r="H443" i="1"/>
  <c r="G443" i="1"/>
  <c r="H906" i="1"/>
  <c r="G906" i="1"/>
  <c r="H826" i="1"/>
  <c r="G826" i="1"/>
  <c r="H778" i="1"/>
  <c r="G778" i="1"/>
  <c r="H714" i="1"/>
  <c r="G714" i="1"/>
  <c r="H634" i="1"/>
  <c r="G634" i="1"/>
  <c r="H924" i="1"/>
  <c r="G924" i="1"/>
  <c r="H860" i="1"/>
  <c r="G860" i="1"/>
  <c r="H796" i="1"/>
  <c r="G796" i="1"/>
  <c r="H732" i="1"/>
  <c r="G732" i="1"/>
  <c r="H684" i="1"/>
  <c r="G684" i="1"/>
  <c r="H620" i="1"/>
  <c r="G620" i="1"/>
  <c r="H540" i="1"/>
  <c r="G540" i="1"/>
  <c r="H476" i="1"/>
  <c r="G476" i="1"/>
  <c r="G380" i="1"/>
  <c r="H380" i="1"/>
  <c r="G300" i="1"/>
  <c r="H300" i="1"/>
  <c r="G220" i="1"/>
  <c r="H220" i="1"/>
  <c r="G172" i="1"/>
  <c r="H172" i="1"/>
  <c r="G108" i="1"/>
  <c r="H108" i="1"/>
  <c r="G44" i="1"/>
  <c r="H44" i="1"/>
  <c r="H907" i="1"/>
  <c r="G907" i="1"/>
  <c r="H843" i="1"/>
  <c r="G843" i="1"/>
  <c r="H763" i="1"/>
  <c r="G763" i="1"/>
  <c r="H715" i="1"/>
  <c r="G715" i="1"/>
  <c r="H667" i="1"/>
  <c r="G667" i="1"/>
  <c r="H587" i="1"/>
  <c r="G587" i="1"/>
  <c r="H555" i="1"/>
  <c r="G555" i="1"/>
  <c r="H475" i="1"/>
  <c r="G475" i="1"/>
  <c r="G427" i="1"/>
  <c r="H427" i="1"/>
  <c r="G363" i="1"/>
  <c r="H363" i="1"/>
  <c r="G331" i="1"/>
  <c r="H331" i="1"/>
  <c r="H842" i="1"/>
  <c r="G842" i="1"/>
  <c r="H746" i="1"/>
  <c r="G746" i="1"/>
  <c r="H666" i="1"/>
  <c r="G666" i="1"/>
  <c r="H586" i="1"/>
  <c r="G586" i="1"/>
  <c r="H538" i="1"/>
  <c r="G538" i="1"/>
  <c r="H506" i="1"/>
  <c r="G506" i="1"/>
  <c r="H474" i="1"/>
  <c r="G474" i="1"/>
  <c r="G315" i="1"/>
  <c r="H315" i="1"/>
  <c r="G299" i="1"/>
  <c r="H299" i="1"/>
  <c r="G283" i="1"/>
  <c r="H283" i="1"/>
  <c r="G267" i="1"/>
  <c r="H267" i="1"/>
  <c r="G251" i="1"/>
  <c r="H251" i="1"/>
  <c r="G235" i="1"/>
  <c r="H235" i="1"/>
  <c r="G219" i="1"/>
  <c r="H219" i="1"/>
  <c r="G203" i="1"/>
  <c r="H203" i="1"/>
  <c r="G187" i="1"/>
  <c r="H187" i="1"/>
  <c r="G171" i="1"/>
  <c r="H171" i="1"/>
  <c r="G155" i="1"/>
  <c r="H155" i="1"/>
  <c r="G139" i="1"/>
  <c r="H139" i="1"/>
  <c r="G123" i="1"/>
  <c r="H123" i="1"/>
  <c r="G107" i="1"/>
  <c r="H107" i="1"/>
  <c r="G91" i="1"/>
  <c r="H91" i="1"/>
  <c r="G75" i="1"/>
  <c r="H75" i="1"/>
  <c r="G59" i="1"/>
  <c r="H59" i="1"/>
  <c r="G43" i="1"/>
  <c r="H43" i="1"/>
  <c r="G27" i="1"/>
  <c r="H27" i="1"/>
  <c r="G11" i="1"/>
  <c r="H11" i="1"/>
  <c r="G920" i="1"/>
  <c r="G904" i="1"/>
  <c r="G888" i="1"/>
  <c r="G872" i="1"/>
  <c r="G856" i="1"/>
  <c r="G840" i="1"/>
  <c r="G824" i="1"/>
  <c r="G808" i="1"/>
  <c r="G792" i="1"/>
  <c r="G776" i="1"/>
  <c r="G760" i="1"/>
  <c r="G744" i="1"/>
  <c r="G728" i="1"/>
  <c r="G712" i="1"/>
  <c r="G696" i="1"/>
  <c r="G680" i="1"/>
  <c r="G664" i="1"/>
  <c r="G648" i="1"/>
  <c r="G632" i="1"/>
  <c r="G616" i="1"/>
  <c r="G600" i="1"/>
  <c r="G584" i="1"/>
  <c r="G568" i="1"/>
  <c r="G552" i="1"/>
  <c r="G536" i="1"/>
  <c r="G520" i="1"/>
  <c r="G504" i="1"/>
  <c r="G488" i="1"/>
  <c r="G472" i="1"/>
  <c r="G456" i="1"/>
  <c r="G440" i="1"/>
  <c r="G919" i="1"/>
  <c r="G903" i="1"/>
  <c r="G887" i="1"/>
  <c r="G871" i="1"/>
  <c r="G855" i="1"/>
  <c r="G839" i="1"/>
  <c r="G823" i="1"/>
  <c r="G807" i="1"/>
  <c r="G791" i="1"/>
  <c r="G775" i="1"/>
  <c r="G759" i="1"/>
  <c r="G743" i="1"/>
  <c r="G727" i="1"/>
  <c r="G711" i="1"/>
  <c r="G695" i="1"/>
  <c r="G679" i="1"/>
  <c r="G663" i="1"/>
  <c r="G647" i="1"/>
  <c r="G631" i="1"/>
  <c r="G615" i="1"/>
  <c r="G599" i="1"/>
  <c r="G583" i="1"/>
  <c r="G567" i="1"/>
  <c r="G551" i="1"/>
  <c r="G535" i="1"/>
  <c r="G519" i="1"/>
  <c r="G503" i="1"/>
  <c r="G487" i="1"/>
  <c r="G471" i="1"/>
  <c r="G455" i="1"/>
  <c r="G439" i="1"/>
  <c r="G326" i="1"/>
  <c r="G198" i="1"/>
  <c r="G70" i="1"/>
  <c r="G394" i="1"/>
  <c r="H394" i="1"/>
  <c r="G282" i="1"/>
  <c r="H282" i="1"/>
  <c r="G154" i="1"/>
  <c r="H154" i="1"/>
  <c r="G425" i="1"/>
  <c r="H425" i="1"/>
  <c r="G409" i="1"/>
  <c r="H409" i="1"/>
  <c r="G393" i="1"/>
  <c r="H393" i="1"/>
  <c r="G377" i="1"/>
  <c r="H377" i="1"/>
  <c r="G361" i="1"/>
  <c r="H361" i="1"/>
  <c r="G345" i="1"/>
  <c r="H345" i="1"/>
  <c r="G329" i="1"/>
  <c r="H329" i="1"/>
  <c r="G313" i="1"/>
  <c r="H313" i="1"/>
  <c r="G297" i="1"/>
  <c r="H297" i="1"/>
  <c r="G281" i="1"/>
  <c r="H281" i="1"/>
  <c r="G265" i="1"/>
  <c r="H265" i="1"/>
  <c r="G249" i="1"/>
  <c r="H249" i="1"/>
  <c r="G233" i="1"/>
  <c r="H233" i="1"/>
  <c r="G217" i="1"/>
  <c r="H217" i="1"/>
  <c r="G201" i="1"/>
  <c r="H201" i="1"/>
  <c r="G185" i="1"/>
  <c r="H185" i="1"/>
  <c r="G169" i="1"/>
  <c r="H169" i="1"/>
  <c r="G153" i="1"/>
  <c r="H153" i="1"/>
  <c r="G137" i="1"/>
  <c r="H137" i="1"/>
  <c r="G121" i="1"/>
  <c r="H121" i="1"/>
  <c r="G105" i="1"/>
  <c r="H105" i="1"/>
  <c r="G89" i="1"/>
  <c r="H89" i="1"/>
  <c r="G73" i="1"/>
  <c r="H73" i="1"/>
  <c r="G57" i="1"/>
  <c r="H57" i="1"/>
  <c r="G41" i="1"/>
  <c r="H41" i="1"/>
  <c r="G25" i="1"/>
  <c r="H25" i="1"/>
  <c r="G9" i="1"/>
  <c r="H9" i="1"/>
  <c r="G918" i="1"/>
  <c r="G902" i="1"/>
  <c r="G886" i="1"/>
  <c r="G870" i="1"/>
  <c r="G854" i="1"/>
  <c r="G838" i="1"/>
  <c r="G822" i="1"/>
  <c r="G806" i="1"/>
  <c r="G790" i="1"/>
  <c r="G774" i="1"/>
  <c r="G758" i="1"/>
  <c r="G742" i="1"/>
  <c r="G726" i="1"/>
  <c r="G710" i="1"/>
  <c r="G694" i="1"/>
  <c r="G678" i="1"/>
  <c r="G662" i="1"/>
  <c r="G646" i="1"/>
  <c r="G630" i="1"/>
  <c r="G614" i="1"/>
  <c r="G598" i="1"/>
  <c r="G582" i="1"/>
  <c r="G566" i="1"/>
  <c r="G550" i="1"/>
  <c r="G534" i="1"/>
  <c r="G518" i="1"/>
  <c r="G502" i="1"/>
  <c r="G486" i="1"/>
  <c r="G470" i="1"/>
  <c r="G454" i="1"/>
  <c r="G438" i="1"/>
  <c r="G484" i="1"/>
  <c r="G422" i="1"/>
  <c r="G294" i="1"/>
  <c r="G166" i="1"/>
  <c r="G38" i="1"/>
  <c r="G410" i="1"/>
  <c r="H410" i="1"/>
  <c r="G298" i="1"/>
  <c r="H298" i="1"/>
  <c r="G186" i="1"/>
  <c r="H186" i="1"/>
  <c r="G106" i="1"/>
  <c r="H106" i="1"/>
  <c r="G10" i="1"/>
  <c r="H10" i="1"/>
  <c r="G375" i="1"/>
  <c r="H375" i="1"/>
  <c r="G311" i="1"/>
  <c r="H311" i="1"/>
  <c r="G247" i="1"/>
  <c r="H247" i="1"/>
  <c r="G199" i="1"/>
  <c r="H199" i="1"/>
  <c r="G151" i="1"/>
  <c r="H151" i="1"/>
  <c r="G87" i="1"/>
  <c r="H87" i="1"/>
  <c r="G55" i="1"/>
  <c r="H55" i="1"/>
  <c r="G23" i="1"/>
  <c r="H23" i="1"/>
  <c r="G7" i="1"/>
  <c r="H7" i="1"/>
  <c r="G378" i="1"/>
  <c r="H378" i="1"/>
  <c r="G202" i="1"/>
  <c r="H202" i="1"/>
  <c r="G58" i="1"/>
  <c r="H58" i="1"/>
  <c r="G376" i="1"/>
  <c r="H376" i="1"/>
  <c r="G328" i="1"/>
  <c r="H328" i="1"/>
  <c r="G264" i="1"/>
  <c r="H264" i="1"/>
  <c r="G232" i="1"/>
  <c r="H232" i="1"/>
  <c r="G184" i="1"/>
  <c r="H184" i="1"/>
  <c r="G136" i="1"/>
  <c r="H136" i="1"/>
  <c r="G88" i="1"/>
  <c r="H88" i="1"/>
  <c r="G56" i="1"/>
  <c r="H56" i="1"/>
  <c r="G8" i="1"/>
  <c r="H8" i="1"/>
  <c r="G421" i="1"/>
  <c r="H421" i="1"/>
  <c r="G389" i="1"/>
  <c r="H389" i="1"/>
  <c r="G357" i="1"/>
  <c r="H357" i="1"/>
  <c r="G325" i="1"/>
  <c r="H325" i="1"/>
  <c r="G293" i="1"/>
  <c r="H293" i="1"/>
  <c r="G261" i="1"/>
  <c r="H261" i="1"/>
  <c r="G213" i="1"/>
  <c r="H213" i="1"/>
  <c r="G181" i="1"/>
  <c r="H181" i="1"/>
  <c r="G149" i="1"/>
  <c r="H149" i="1"/>
  <c r="G133" i="1"/>
  <c r="H133" i="1"/>
  <c r="G101" i="1"/>
  <c r="H101" i="1"/>
  <c r="G69" i="1"/>
  <c r="H69" i="1"/>
  <c r="G37" i="1"/>
  <c r="H37" i="1"/>
  <c r="G5" i="1"/>
  <c r="H5" i="1"/>
  <c r="G278" i="1"/>
  <c r="G150" i="1"/>
  <c r="H211" i="1"/>
  <c r="G211" i="1"/>
  <c r="G362" i="1"/>
  <c r="H362" i="1"/>
  <c r="G266" i="1"/>
  <c r="H266" i="1"/>
  <c r="G218" i="1"/>
  <c r="H218" i="1"/>
  <c r="G138" i="1"/>
  <c r="H138" i="1"/>
  <c r="G74" i="1"/>
  <c r="H74" i="1"/>
  <c r="G26" i="1"/>
  <c r="H26" i="1"/>
  <c r="G424" i="1"/>
  <c r="H424" i="1"/>
  <c r="G392" i="1"/>
  <c r="H392" i="1"/>
  <c r="G344" i="1"/>
  <c r="H344" i="1"/>
  <c r="G296" i="1"/>
  <c r="H296" i="1"/>
  <c r="G248" i="1"/>
  <c r="H248" i="1"/>
  <c r="G200" i="1"/>
  <c r="H200" i="1"/>
  <c r="G152" i="1"/>
  <c r="H152" i="1"/>
  <c r="G104" i="1"/>
  <c r="H104" i="1"/>
  <c r="G72" i="1"/>
  <c r="H72" i="1"/>
  <c r="G24" i="1"/>
  <c r="H24" i="1"/>
  <c r="G423" i="1"/>
  <c r="H423" i="1"/>
  <c r="G391" i="1"/>
  <c r="H391" i="1"/>
  <c r="G343" i="1"/>
  <c r="H343" i="1"/>
  <c r="G295" i="1"/>
  <c r="H295" i="1"/>
  <c r="G263" i="1"/>
  <c r="H263" i="1"/>
  <c r="G215" i="1"/>
  <c r="H215" i="1"/>
  <c r="G167" i="1"/>
  <c r="H167" i="1"/>
  <c r="G135" i="1"/>
  <c r="H135" i="1"/>
  <c r="G103" i="1"/>
  <c r="H103" i="1"/>
  <c r="G71" i="1"/>
  <c r="H71" i="1"/>
  <c r="G39" i="1"/>
  <c r="H39" i="1"/>
  <c r="G405" i="1"/>
  <c r="H405" i="1"/>
  <c r="G373" i="1"/>
  <c r="H373" i="1"/>
  <c r="G341" i="1"/>
  <c r="H341" i="1"/>
  <c r="G309" i="1"/>
  <c r="H309" i="1"/>
  <c r="G277" i="1"/>
  <c r="H277" i="1"/>
  <c r="G245" i="1"/>
  <c r="H245" i="1"/>
  <c r="G229" i="1"/>
  <c r="H229" i="1"/>
  <c r="G197" i="1"/>
  <c r="H197" i="1"/>
  <c r="G165" i="1"/>
  <c r="H165" i="1"/>
  <c r="G117" i="1"/>
  <c r="H117" i="1"/>
  <c r="G85" i="1"/>
  <c r="H85" i="1"/>
  <c r="G53" i="1"/>
  <c r="H53" i="1"/>
  <c r="G21" i="1"/>
  <c r="H21" i="1"/>
  <c r="G390" i="1"/>
  <c r="G262" i="1"/>
  <c r="G134" i="1"/>
  <c r="G433" i="1"/>
  <c r="H433" i="1"/>
  <c r="G417" i="1"/>
  <c r="H417" i="1"/>
  <c r="G401" i="1"/>
  <c r="H401" i="1"/>
  <c r="G385" i="1"/>
  <c r="H385" i="1"/>
  <c r="G369" i="1"/>
  <c r="H369" i="1"/>
  <c r="G353" i="1"/>
  <c r="H353" i="1"/>
  <c r="G337" i="1"/>
  <c r="H337" i="1"/>
  <c r="G321" i="1"/>
  <c r="H321" i="1"/>
  <c r="G305" i="1"/>
  <c r="H305" i="1"/>
  <c r="G289" i="1"/>
  <c r="H289" i="1"/>
  <c r="G273" i="1"/>
  <c r="H273" i="1"/>
  <c r="G257" i="1"/>
  <c r="H257" i="1"/>
  <c r="G241" i="1"/>
  <c r="H241" i="1"/>
  <c r="G225" i="1"/>
  <c r="H225" i="1"/>
  <c r="G209" i="1"/>
  <c r="H209" i="1"/>
  <c r="G193" i="1"/>
  <c r="H193" i="1"/>
  <c r="G177" i="1"/>
  <c r="H177" i="1"/>
  <c r="G161" i="1"/>
  <c r="H161" i="1"/>
  <c r="G145" i="1"/>
  <c r="H145" i="1"/>
  <c r="G129" i="1"/>
  <c r="H129" i="1"/>
  <c r="G113" i="1"/>
  <c r="H113" i="1"/>
  <c r="G97" i="1"/>
  <c r="H97" i="1"/>
  <c r="G81" i="1"/>
  <c r="H81" i="1"/>
  <c r="G65" i="1"/>
  <c r="H65" i="1"/>
  <c r="G49" i="1"/>
  <c r="H49" i="1"/>
  <c r="G33" i="1"/>
  <c r="H33" i="1"/>
  <c r="G17" i="1"/>
  <c r="H17" i="1"/>
  <c r="G388" i="1"/>
  <c r="G260" i="1"/>
  <c r="G132" i="1"/>
  <c r="G4" i="1"/>
  <c r="G432" i="1"/>
  <c r="H432" i="1"/>
  <c r="G416" i="1"/>
  <c r="H416" i="1"/>
  <c r="G400" i="1"/>
  <c r="H400" i="1"/>
  <c r="G384" i="1"/>
  <c r="H384" i="1"/>
  <c r="G368" i="1"/>
  <c r="H368" i="1"/>
  <c r="G352" i="1"/>
  <c r="H352" i="1"/>
  <c r="G336" i="1"/>
  <c r="H336" i="1"/>
  <c r="G320" i="1"/>
  <c r="H320" i="1"/>
  <c r="G304" i="1"/>
  <c r="H304" i="1"/>
  <c r="G288" i="1"/>
  <c r="H288" i="1"/>
  <c r="G272" i="1"/>
  <c r="H272" i="1"/>
  <c r="G256" i="1"/>
  <c r="H256" i="1"/>
  <c r="G240" i="1"/>
  <c r="H240" i="1"/>
  <c r="G224" i="1"/>
  <c r="H224" i="1"/>
  <c r="G208" i="1"/>
  <c r="H208" i="1"/>
  <c r="G192" i="1"/>
  <c r="H192" i="1"/>
  <c r="G176" i="1"/>
  <c r="H176" i="1"/>
  <c r="G160" i="1"/>
  <c r="H160" i="1"/>
  <c r="G144" i="1"/>
  <c r="H144" i="1"/>
  <c r="G128" i="1"/>
  <c r="H128" i="1"/>
  <c r="G112" i="1"/>
  <c r="H112" i="1"/>
  <c r="G96" i="1"/>
  <c r="H96" i="1"/>
  <c r="G80" i="1"/>
  <c r="H80" i="1"/>
  <c r="G64" i="1"/>
  <c r="H64" i="1"/>
  <c r="G48" i="1"/>
  <c r="H48" i="1"/>
  <c r="G32" i="1"/>
  <c r="H32" i="1"/>
  <c r="G16" i="1"/>
  <c r="H16" i="1"/>
  <c r="G925" i="1"/>
  <c r="G909" i="1"/>
  <c r="G893" i="1"/>
  <c r="G877" i="1"/>
  <c r="G861" i="1"/>
  <c r="G845" i="1"/>
  <c r="G829" i="1"/>
  <c r="G813" i="1"/>
  <c r="G797" i="1"/>
  <c r="G781" i="1"/>
  <c r="G765" i="1"/>
  <c r="G749" i="1"/>
  <c r="G733" i="1"/>
  <c r="G717" i="1"/>
  <c r="G701" i="1"/>
  <c r="G685" i="1"/>
  <c r="G669" i="1"/>
  <c r="G653" i="1"/>
  <c r="G637" i="1"/>
  <c r="G621" i="1"/>
  <c r="G605" i="1"/>
  <c r="G589" i="1"/>
  <c r="G573" i="1"/>
  <c r="G557" i="1"/>
  <c r="G541" i="1"/>
  <c r="G525" i="1"/>
  <c r="G509" i="1"/>
  <c r="G493" i="1"/>
  <c r="G477" i="1"/>
  <c r="G461" i="1"/>
  <c r="G445" i="1"/>
  <c r="G374" i="1"/>
  <c r="G246" i="1"/>
  <c r="G118" i="1"/>
  <c r="G330" i="1"/>
  <c r="H330" i="1"/>
  <c r="G250" i="1"/>
  <c r="H250" i="1"/>
  <c r="G170" i="1"/>
  <c r="H170" i="1"/>
  <c r="G406" i="1"/>
  <c r="G22" i="1"/>
  <c r="H435" i="1"/>
  <c r="G435" i="1"/>
  <c r="H403" i="1"/>
  <c r="G403" i="1"/>
  <c r="H371" i="1"/>
  <c r="G371" i="1"/>
  <c r="H339" i="1"/>
  <c r="G339" i="1"/>
  <c r="H307" i="1"/>
  <c r="G307" i="1"/>
  <c r="H291" i="1"/>
  <c r="G291" i="1"/>
  <c r="H243" i="1"/>
  <c r="G243" i="1"/>
  <c r="H195" i="1"/>
  <c r="G195" i="1"/>
  <c r="H163" i="1"/>
  <c r="G163" i="1"/>
  <c r="H131" i="1"/>
  <c r="G131" i="1"/>
  <c r="H99" i="1"/>
  <c r="G99" i="1"/>
  <c r="H67" i="1"/>
  <c r="G67" i="1"/>
  <c r="H35" i="1"/>
  <c r="G35" i="1"/>
  <c r="H3" i="1"/>
  <c r="G3" i="1"/>
  <c r="G20" i="1"/>
  <c r="G418" i="1"/>
  <c r="H418" i="1"/>
  <c r="G370" i="1"/>
  <c r="H370" i="1"/>
  <c r="G322" i="1"/>
  <c r="H322" i="1"/>
  <c r="G274" i="1"/>
  <c r="H274" i="1"/>
  <c r="G242" i="1"/>
  <c r="H242" i="1"/>
  <c r="G210" i="1"/>
  <c r="H210" i="1"/>
  <c r="G178" i="1"/>
  <c r="H178" i="1"/>
  <c r="G130" i="1"/>
  <c r="H130" i="1"/>
  <c r="G82" i="1"/>
  <c r="H82" i="1"/>
  <c r="G404" i="1"/>
  <c r="G276" i="1"/>
  <c r="G148" i="1"/>
  <c r="G386" i="1"/>
  <c r="H386" i="1"/>
  <c r="G290" i="1"/>
  <c r="H290" i="1"/>
  <c r="G431" i="1"/>
  <c r="H431" i="1"/>
  <c r="G399" i="1"/>
  <c r="H399" i="1"/>
  <c r="G367" i="1"/>
  <c r="H367" i="1"/>
  <c r="G335" i="1"/>
  <c r="H335" i="1"/>
  <c r="G303" i="1"/>
  <c r="H303" i="1"/>
  <c r="G271" i="1"/>
  <c r="H271" i="1"/>
  <c r="G239" i="1"/>
  <c r="H239" i="1"/>
  <c r="G207" i="1"/>
  <c r="H207" i="1"/>
  <c r="G191" i="1"/>
  <c r="H191" i="1"/>
  <c r="G159" i="1"/>
  <c r="H159" i="1"/>
  <c r="G143" i="1"/>
  <c r="H143" i="1"/>
  <c r="G111" i="1"/>
  <c r="H111" i="1"/>
  <c r="G79" i="1"/>
  <c r="H79" i="1"/>
  <c r="G47" i="1"/>
  <c r="H47" i="1"/>
  <c r="G15" i="1"/>
  <c r="H15" i="1"/>
  <c r="G244" i="1"/>
  <c r="G116" i="1"/>
  <c r="G430" i="1"/>
  <c r="H430" i="1"/>
  <c r="G414" i="1"/>
  <c r="H414" i="1"/>
  <c r="G398" i="1"/>
  <c r="H398" i="1"/>
  <c r="G382" i="1"/>
  <c r="H382" i="1"/>
  <c r="G366" i="1"/>
  <c r="H366" i="1"/>
  <c r="G350" i="1"/>
  <c r="H350" i="1"/>
  <c r="G334" i="1"/>
  <c r="H334" i="1"/>
  <c r="G318" i="1"/>
  <c r="H318" i="1"/>
  <c r="G302" i="1"/>
  <c r="H302" i="1"/>
  <c r="G286" i="1"/>
  <c r="H286" i="1"/>
  <c r="G270" i="1"/>
  <c r="H270" i="1"/>
  <c r="G254" i="1"/>
  <c r="H254" i="1"/>
  <c r="G238" i="1"/>
  <c r="H238" i="1"/>
  <c r="G222" i="1"/>
  <c r="H222" i="1"/>
  <c r="G206" i="1"/>
  <c r="H206" i="1"/>
  <c r="G190" i="1"/>
  <c r="H190" i="1"/>
  <c r="G174" i="1"/>
  <c r="H174" i="1"/>
  <c r="G158" i="1"/>
  <c r="H158" i="1"/>
  <c r="G142" i="1"/>
  <c r="H142" i="1"/>
  <c r="G126" i="1"/>
  <c r="H126" i="1"/>
  <c r="G110" i="1"/>
  <c r="H110" i="1"/>
  <c r="G94" i="1"/>
  <c r="H94" i="1"/>
  <c r="G78" i="1"/>
  <c r="H78" i="1"/>
  <c r="G62" i="1"/>
  <c r="H62" i="1"/>
  <c r="G46" i="1"/>
  <c r="H46" i="1"/>
  <c r="G30" i="1"/>
  <c r="H30" i="1"/>
  <c r="G14" i="1"/>
  <c r="H14" i="1"/>
  <c r="G358" i="1"/>
  <c r="G230" i="1"/>
  <c r="G102" i="1"/>
  <c r="G346" i="1"/>
  <c r="H346" i="1"/>
  <c r="G314" i="1"/>
  <c r="H314" i="1"/>
  <c r="G234" i="1"/>
  <c r="H234" i="1"/>
  <c r="G122" i="1"/>
  <c r="H122" i="1"/>
  <c r="G90" i="1"/>
  <c r="H90" i="1"/>
  <c r="G42" i="1"/>
  <c r="H42" i="1"/>
  <c r="G408" i="1"/>
  <c r="H408" i="1"/>
  <c r="G360" i="1"/>
  <c r="H360" i="1"/>
  <c r="G312" i="1"/>
  <c r="H312" i="1"/>
  <c r="G280" i="1"/>
  <c r="H280" i="1"/>
  <c r="G216" i="1"/>
  <c r="H216" i="1"/>
  <c r="G168" i="1"/>
  <c r="H168" i="1"/>
  <c r="G120" i="1"/>
  <c r="H120" i="1"/>
  <c r="G40" i="1"/>
  <c r="H40" i="1"/>
  <c r="G407" i="1"/>
  <c r="H407" i="1"/>
  <c r="G359" i="1"/>
  <c r="H359" i="1"/>
  <c r="G327" i="1"/>
  <c r="H327" i="1"/>
  <c r="G279" i="1"/>
  <c r="H279" i="1"/>
  <c r="G231" i="1"/>
  <c r="H231" i="1"/>
  <c r="G183" i="1"/>
  <c r="H183" i="1"/>
  <c r="G119" i="1"/>
  <c r="H119" i="1"/>
  <c r="H419" i="1"/>
  <c r="G419" i="1"/>
  <c r="H387" i="1"/>
  <c r="G387" i="1"/>
  <c r="H355" i="1"/>
  <c r="G355" i="1"/>
  <c r="H323" i="1"/>
  <c r="G323" i="1"/>
  <c r="H275" i="1"/>
  <c r="G275" i="1"/>
  <c r="H259" i="1"/>
  <c r="G259" i="1"/>
  <c r="H227" i="1"/>
  <c r="G227" i="1"/>
  <c r="H179" i="1"/>
  <c r="G179" i="1"/>
  <c r="H147" i="1"/>
  <c r="G147" i="1"/>
  <c r="H115" i="1"/>
  <c r="G115" i="1"/>
  <c r="H83" i="1"/>
  <c r="G83" i="1"/>
  <c r="H51" i="1"/>
  <c r="G51" i="1"/>
  <c r="H19" i="1"/>
  <c r="G19" i="1"/>
  <c r="G434" i="1"/>
  <c r="H434" i="1"/>
  <c r="G402" i="1"/>
  <c r="H402" i="1"/>
  <c r="G354" i="1"/>
  <c r="H354" i="1"/>
  <c r="G338" i="1"/>
  <c r="H338" i="1"/>
  <c r="G306" i="1"/>
  <c r="H306" i="1"/>
  <c r="G258" i="1"/>
  <c r="H258" i="1"/>
  <c r="G226" i="1"/>
  <c r="H226" i="1"/>
  <c r="G194" i="1"/>
  <c r="H194" i="1"/>
  <c r="G162" i="1"/>
  <c r="H162" i="1"/>
  <c r="G146" i="1"/>
  <c r="H146" i="1"/>
  <c r="G114" i="1"/>
  <c r="H114" i="1"/>
  <c r="G98" i="1"/>
  <c r="H98" i="1"/>
  <c r="G66" i="1"/>
  <c r="H66" i="1"/>
  <c r="G50" i="1"/>
  <c r="H50" i="1"/>
  <c r="G34" i="1"/>
  <c r="H34" i="1"/>
  <c r="G18" i="1"/>
  <c r="H18" i="1"/>
  <c r="G6" i="1"/>
  <c r="G415" i="1"/>
  <c r="H415" i="1"/>
  <c r="G383" i="1"/>
  <c r="H383" i="1"/>
  <c r="G351" i="1"/>
  <c r="H351" i="1"/>
  <c r="G319" i="1"/>
  <c r="H319" i="1"/>
  <c r="G287" i="1"/>
  <c r="H287" i="1"/>
  <c r="G255" i="1"/>
  <c r="H255" i="1"/>
  <c r="G223" i="1"/>
  <c r="H223" i="1"/>
  <c r="G175" i="1"/>
  <c r="H175" i="1"/>
  <c r="G127" i="1"/>
  <c r="H127" i="1"/>
  <c r="G95" i="1"/>
  <c r="H95" i="1"/>
  <c r="G63" i="1"/>
  <c r="H63" i="1"/>
  <c r="G31" i="1"/>
  <c r="H31" i="1"/>
  <c r="G372" i="1"/>
  <c r="G429" i="1"/>
  <c r="H429" i="1"/>
  <c r="G413" i="1"/>
  <c r="H413" i="1"/>
  <c r="G397" i="1"/>
  <c r="H397" i="1"/>
  <c r="G381" i="1"/>
  <c r="H381" i="1"/>
  <c r="G365" i="1"/>
  <c r="H365" i="1"/>
  <c r="G349" i="1"/>
  <c r="H349" i="1"/>
  <c r="G333" i="1"/>
  <c r="H333" i="1"/>
  <c r="G317" i="1"/>
  <c r="H317" i="1"/>
  <c r="G301" i="1"/>
  <c r="H301" i="1"/>
  <c r="G285" i="1"/>
  <c r="H285" i="1"/>
  <c r="G269" i="1"/>
  <c r="H269" i="1"/>
  <c r="G253" i="1"/>
  <c r="H253" i="1"/>
  <c r="G237" i="1"/>
  <c r="H237" i="1"/>
  <c r="G221" i="1"/>
  <c r="H221" i="1"/>
  <c r="G205" i="1"/>
  <c r="H205" i="1"/>
  <c r="G189" i="1"/>
  <c r="H189" i="1"/>
  <c r="G173" i="1"/>
  <c r="H173" i="1"/>
  <c r="G157" i="1"/>
  <c r="H157" i="1"/>
  <c r="G141" i="1"/>
  <c r="H141" i="1"/>
  <c r="G125" i="1"/>
  <c r="H125" i="1"/>
  <c r="G109" i="1"/>
  <c r="H109" i="1"/>
  <c r="G93" i="1"/>
  <c r="H93" i="1"/>
  <c r="G77" i="1"/>
  <c r="H77" i="1"/>
  <c r="G61" i="1"/>
  <c r="H61" i="1"/>
  <c r="G45" i="1"/>
  <c r="H45" i="1"/>
  <c r="G29" i="1"/>
  <c r="H29" i="1"/>
  <c r="G13" i="1"/>
  <c r="H13" i="1"/>
  <c r="G442" i="1"/>
  <c r="G356" i="1"/>
  <c r="G228" i="1"/>
  <c r="G100" i="1"/>
</calcChain>
</file>

<file path=xl/sharedStrings.xml><?xml version="1.0" encoding="utf-8"?>
<sst xmlns="http://schemas.openxmlformats.org/spreadsheetml/2006/main" count="32977" uniqueCount="11056">
  <si>
    <t>DNI</t>
  </si>
  <si>
    <t>TRABAJADOR</t>
  </si>
  <si>
    <t>07792589</t>
  </si>
  <si>
    <t>BOZA ARLOTTI, JAIME ENRIQUE LAZARO</t>
  </si>
  <si>
    <t>32989550</t>
  </si>
  <si>
    <t>OLIVOS REYNALTE, RICARDO GALDINO</t>
  </si>
  <si>
    <t>41865954</t>
  </si>
  <si>
    <t>ESPINOZA HERRERA, IVAN</t>
  </si>
  <si>
    <t>40240738</t>
  </si>
  <si>
    <t>LAURA SALAZAR, KATTY MARIBEL</t>
  </si>
  <si>
    <t>48549137</t>
  </si>
  <si>
    <t>CAMPOS FLORES, JOSÉ BERNARD</t>
  </si>
  <si>
    <t>46883112</t>
  </si>
  <si>
    <t>CASIMIRO QUISPE, HENDRIK ELISEO</t>
  </si>
  <si>
    <t>45681005</t>
  </si>
  <si>
    <t>CABEZAS ISUIZA, MARCOS JEFFERSON</t>
  </si>
  <si>
    <t>45334525</t>
  </si>
  <si>
    <t>CALERO LOPEZ, CORDOVA</t>
  </si>
  <si>
    <t>10584323</t>
  </si>
  <si>
    <t>VILLEGAS DIAZ, JUAN EDILBERTO</t>
  </si>
  <si>
    <t>70275363</t>
  </si>
  <si>
    <t>ARELLANO GARCÍA, FRANCISCO JAVIER</t>
  </si>
  <si>
    <t>44302299</t>
  </si>
  <si>
    <t>YALTA GUADALUPE, JAIRO</t>
  </si>
  <si>
    <t>44104581</t>
  </si>
  <si>
    <t>ESCOBAR PACHECO, GIANFRANCO</t>
  </si>
  <si>
    <t>47127763</t>
  </si>
  <si>
    <t>LOPEZ YAMPUFE, PABLO JESUS</t>
  </si>
  <si>
    <t>42581424</t>
  </si>
  <si>
    <t>MOORE TTITO, NINO</t>
  </si>
  <si>
    <t>43334686</t>
  </si>
  <si>
    <t>MARISCAL RIVERA, MARIO VÍCTOR</t>
  </si>
  <si>
    <t>44034238</t>
  </si>
  <si>
    <t>GONZALES MONTOYA, NESTOR EAIDAN</t>
  </si>
  <si>
    <t>30961957</t>
  </si>
  <si>
    <t>PALOMINO CALCINA, MARCOS FELIX</t>
  </si>
  <si>
    <t>72455553</t>
  </si>
  <si>
    <t>ORMEÑO ARGUMEDO, RICHARD JAVIER</t>
  </si>
  <si>
    <t>43756349</t>
  </si>
  <si>
    <t>AGUILAR SANTILLAN, EBER</t>
  </si>
  <si>
    <t>46327447</t>
  </si>
  <si>
    <t>DIAZ FERNANDEZ, NORMAN</t>
  </si>
  <si>
    <t>44835875</t>
  </si>
  <si>
    <t>HORNA ABANTO, ORLANDO</t>
  </si>
  <si>
    <t>42596150</t>
  </si>
  <si>
    <t>MICHELINI PACORA, ALDO</t>
  </si>
  <si>
    <t>46443901</t>
  </si>
  <si>
    <t>TAVARA ARANIBAR, GONZALO</t>
  </si>
  <si>
    <t>40906031</t>
  </si>
  <si>
    <t>CHIQUILLAN CCEÑUA, ESTEBAN SANTIAGO</t>
  </si>
  <si>
    <t>10244123</t>
  </si>
  <si>
    <t>ROJAS LAURENTE, FERMIN</t>
  </si>
  <si>
    <t>42271014</t>
  </si>
  <si>
    <t>SEVERINO SUAREZ, FERNANDO</t>
  </si>
  <si>
    <t>76133723</t>
  </si>
  <si>
    <t>MIRANDA LIÑAN, IVAN</t>
  </si>
  <si>
    <t>77336191</t>
  </si>
  <si>
    <t>FERNÁNDEZ GUEVARA, JOSE ALEXANDER</t>
  </si>
  <si>
    <t>44652791</t>
  </si>
  <si>
    <t>GUTIERREZ LOPEZ, LUIS ANTONIO</t>
  </si>
  <si>
    <t>45074623</t>
  </si>
  <si>
    <t>PACHECO MOHANNA, DAVID</t>
  </si>
  <si>
    <t>43509339</t>
  </si>
  <si>
    <t>GARCIA QUISPE, RONALD REYNALDO</t>
  </si>
  <si>
    <t>43178056</t>
  </si>
  <si>
    <t>BARTUREN DUQUE, CESAR JAVIER</t>
  </si>
  <si>
    <t>45454437</t>
  </si>
  <si>
    <t>VADILLO FLORES, PABLO ALBERTO</t>
  </si>
  <si>
    <t>46372648</t>
  </si>
  <si>
    <t>GUZMAN SANCHEZ, ALEX NOBEL</t>
  </si>
  <si>
    <t>42084403</t>
  </si>
  <si>
    <t>HUAMANI CHAPARRO, NIWTON</t>
  </si>
  <si>
    <t>45425144</t>
  </si>
  <si>
    <t>CASTRO LAZO, WILBERTH</t>
  </si>
  <si>
    <t>47454970</t>
  </si>
  <si>
    <t>CONDORI ANDAGUA, MARIO FERNANDO</t>
  </si>
  <si>
    <t>44548369</t>
  </si>
  <si>
    <t>HILARIO ZAMORA, JAIME NICOLAS</t>
  </si>
  <si>
    <t>45782284</t>
  </si>
  <si>
    <t>RODRIGUEZ ORTIZ, RODOMIRO ENRIQUE</t>
  </si>
  <si>
    <t>72713612</t>
  </si>
  <si>
    <t>SUAREZ MEZA, MIRELLA PATRICIA</t>
  </si>
  <si>
    <t>44816214</t>
  </si>
  <si>
    <t>QUISPE ARTICA, LUIS MAXIMO</t>
  </si>
  <si>
    <t>46246289</t>
  </si>
  <si>
    <t>NORES OCHOA, CRISTHIAN OSMAR</t>
  </si>
  <si>
    <t>45179398</t>
  </si>
  <si>
    <t>ZAFRA GUEVARA, EDUAR</t>
  </si>
  <si>
    <t>43937849</t>
  </si>
  <si>
    <t>DOMINGUEZ AYMA, JENNIFER</t>
  </si>
  <si>
    <t>10653965</t>
  </si>
  <si>
    <t>VILLAR MENDOZA, VICTOR MANUEL</t>
  </si>
  <si>
    <t>44360499</t>
  </si>
  <si>
    <t>RENGIFO REVILLA, JOSE LUIS</t>
  </si>
  <si>
    <t>42833884</t>
  </si>
  <si>
    <t>VELASQUEZ CHACALTANA, JESUS MANUEL</t>
  </si>
  <si>
    <t>47410866</t>
  </si>
  <si>
    <t>RAMIREZ RODRIGUEZ, JIMMY JOEL</t>
  </si>
  <si>
    <t>45634567</t>
  </si>
  <si>
    <t>PLAZA OJEDA, MICHAEL HAMLET</t>
  </si>
  <si>
    <t>43981457</t>
  </si>
  <si>
    <t>CAMERO MEJIA, OSWALDO ANTONIO</t>
  </si>
  <si>
    <t>46349858</t>
  </si>
  <si>
    <t>VILLANUEVA TAIRO, ALIRIO</t>
  </si>
  <si>
    <t>40175811</t>
  </si>
  <si>
    <t>LAZARO GOICOCHEA, ALVARO ALIPIO</t>
  </si>
  <si>
    <t>40423571</t>
  </si>
  <si>
    <t>ORTIZ RIOS, CARLO FRANCO</t>
  </si>
  <si>
    <t>76126150</t>
  </si>
  <si>
    <t>ALEJO ACERO, HAROLD</t>
  </si>
  <si>
    <t>42328907</t>
  </si>
  <si>
    <t>DE LA PIEDRA RAMOS, PATRICIO AUGUSTO</t>
  </si>
  <si>
    <t>43965644</t>
  </si>
  <si>
    <t>DIANDERAS RAMIREZ, JOSETH JONATHAN</t>
  </si>
  <si>
    <t>41828065</t>
  </si>
  <si>
    <t>CALERO LOPEZ, EULALIO</t>
  </si>
  <si>
    <t>21532532</t>
  </si>
  <si>
    <t>45301523</t>
  </si>
  <si>
    <t>CCORAHUA ARIAS, HENRY ERICSSON</t>
  </si>
  <si>
    <t>70844479</t>
  </si>
  <si>
    <t>46119270</t>
  </si>
  <si>
    <t>RAMOS MEZA, DIEGO ARMANDO</t>
  </si>
  <si>
    <t>44903589</t>
  </si>
  <si>
    <t>GUTIERREZ CHUQUIJA, ANTHONY MARTIN</t>
  </si>
  <si>
    <t>43992903</t>
  </si>
  <si>
    <t>VARGAS CALERO, LUIS ALBERTO</t>
  </si>
  <si>
    <t>70769042</t>
  </si>
  <si>
    <t>PAYANO CARHUAMACA, VLADIMIR</t>
  </si>
  <si>
    <t>47699213</t>
  </si>
  <si>
    <t>GATICA MOZOMBITE, JEFFERSON JUNIOR</t>
  </si>
  <si>
    <t>70382600</t>
  </si>
  <si>
    <t>YUCRA CCANASI, WASHINGTON</t>
  </si>
  <si>
    <t>47572724</t>
  </si>
  <si>
    <t>CHERO GRANDA, STALIN JOSUE</t>
  </si>
  <si>
    <t>42125009</t>
  </si>
  <si>
    <t>ALVARADO LOPEZ, MARDONIO</t>
  </si>
  <si>
    <t>40871583</t>
  </si>
  <si>
    <t>CHAVEZ COSTA, EDGARD SIXTO</t>
  </si>
  <si>
    <t>71798473</t>
  </si>
  <si>
    <t>TORRES CALDERON, RENSO</t>
  </si>
  <si>
    <t>45474604</t>
  </si>
  <si>
    <t>CHAVEZ AGAMA, WITTMAN GODOY</t>
  </si>
  <si>
    <t>46395708</t>
  </si>
  <si>
    <t>OCAÑA REQUENA, LUIS ALBERTO</t>
  </si>
  <si>
    <t>46318494</t>
  </si>
  <si>
    <t>VILLEGAS FERNANDEZ, DANIEL ADRIANO</t>
  </si>
  <si>
    <t>46516101</t>
  </si>
  <si>
    <t>GOMEZ HERRERA, JOSE ARMANDO</t>
  </si>
  <si>
    <t>46939444</t>
  </si>
  <si>
    <t>HUALLPA QUISPE, ALEX</t>
  </si>
  <si>
    <t>41665508</t>
  </si>
  <si>
    <t>FLORES VILLAR, JUAN CARLOS</t>
  </si>
  <si>
    <t>43573639</t>
  </si>
  <si>
    <t>ALVAREZ GALLEGO, GIANCARLO</t>
  </si>
  <si>
    <t>44028555</t>
  </si>
  <si>
    <t>TEJADA ATAHUALPA, CESAR HUMBERTO</t>
  </si>
  <si>
    <t>70340562</t>
  </si>
  <si>
    <t>LAZARO PAREDES, ANGEL JESUS</t>
  </si>
  <si>
    <t>45553012</t>
  </si>
  <si>
    <t>BORJAS MESONES, ROXANA GIOVANNA</t>
  </si>
  <si>
    <t>18207097</t>
  </si>
  <si>
    <t>VASQUEZ VARGAS, JUAN EISER</t>
  </si>
  <si>
    <t>46399039</t>
  </si>
  <si>
    <t>ESPINOZA CAMAC, EDER ADDERLY</t>
  </si>
  <si>
    <t>71064014</t>
  </si>
  <si>
    <t>OVIEDO CIÑA, JEAN CARLO</t>
  </si>
  <si>
    <t>73128328</t>
  </si>
  <si>
    <t>DE LA CRUZ BARDALES, JEAN PIERE</t>
  </si>
  <si>
    <t>40045076</t>
  </si>
  <si>
    <t>47301956</t>
  </si>
  <si>
    <t>CRISTOBAL BASILIO, ANDERSEN DINO</t>
  </si>
  <si>
    <t>72421216</t>
  </si>
  <si>
    <t>PINO CONTRERAS, CARLOS ALBERTO</t>
  </si>
  <si>
    <t>46858365</t>
  </si>
  <si>
    <t>CONDORI TIPULA, CARLOS ALBERTO</t>
  </si>
  <si>
    <t>70007778</t>
  </si>
  <si>
    <t>REGENTE ISASA, ALEJANDRO</t>
  </si>
  <si>
    <t>09453884</t>
  </si>
  <si>
    <t>SKECHE LLANOS, ALEXIS MIGUEL</t>
  </si>
  <si>
    <t>45565399</t>
  </si>
  <si>
    <t>ESPINOZA PEREZ, LUIGUI BRAYAN</t>
  </si>
  <si>
    <t>44445194</t>
  </si>
  <si>
    <t>AVILA ANTAY, ADRIAN ALEXIS</t>
  </si>
  <si>
    <t>47684287</t>
  </si>
  <si>
    <t>VILLA BOBADILLA, CRISTHIAN FABIO</t>
  </si>
  <si>
    <t>75177599</t>
  </si>
  <si>
    <t>CANALES MEMBRILLO, VANIA ANDREA</t>
  </si>
  <si>
    <t>43647429</t>
  </si>
  <si>
    <t>PIZARRO URRUTIA, MARCO ANTONIO</t>
  </si>
  <si>
    <t>44398959</t>
  </si>
  <si>
    <t>73998900</t>
  </si>
  <si>
    <t>GONZALES ESCURRA, PAULO RODRIGO</t>
  </si>
  <si>
    <t>42288612</t>
  </si>
  <si>
    <t>QUISPE CHUCTAYA, LUIS ALBERTO</t>
  </si>
  <si>
    <t>45750382</t>
  </si>
  <si>
    <t>HUASHUAYO CHACONDORI, LEONARD MICHAEL</t>
  </si>
  <si>
    <t>77702643</t>
  </si>
  <si>
    <t>OBREGON VILLAFUERTE, JOSE ANTONIO</t>
  </si>
  <si>
    <t>43977839</t>
  </si>
  <si>
    <t>LAZO YAURI, JOSIMAR FINDLAY</t>
  </si>
  <si>
    <t>77073844</t>
  </si>
  <si>
    <t>ZAVALETA RODRIGUEZ, NORMA JIMENA</t>
  </si>
  <si>
    <t>47428228</t>
  </si>
  <si>
    <t>VILCHEZ YOVERA, JOSE ANTONIO</t>
  </si>
  <si>
    <t>48518363</t>
  </si>
  <si>
    <t>SANTIAGO ROJAS, JEAN FRANCO</t>
  </si>
  <si>
    <t>42886042</t>
  </si>
  <si>
    <t>CAYRA YANQUI, GUILLERMO RENE</t>
  </si>
  <si>
    <t>43774748</t>
  </si>
  <si>
    <t>LAVADO POLANCO, SERGIO</t>
  </si>
  <si>
    <t>72712105</t>
  </si>
  <si>
    <t>RUIZ CARRILLO, XIOMARA CRISELL</t>
  </si>
  <si>
    <t>72526631</t>
  </si>
  <si>
    <t>SUAREZ QUISPE, FRANK FELIX</t>
  </si>
  <si>
    <t>47008403</t>
  </si>
  <si>
    <t>ANGELES LOAYZA, JORGE LUIS</t>
  </si>
  <si>
    <t>40620193</t>
  </si>
  <si>
    <t>ARATA ANDA, ALFREDO EDUARDO</t>
  </si>
  <si>
    <t>45830353</t>
  </si>
  <si>
    <t>MACHACA AROCUTIPA, CESAR</t>
  </si>
  <si>
    <t>44172777</t>
  </si>
  <si>
    <t>CALCINA CALCINA, RONAL</t>
  </si>
  <si>
    <t>45394921</t>
  </si>
  <si>
    <t>URBINA ZAPATA, IRVING GERARDO</t>
  </si>
  <si>
    <t>46808727</t>
  </si>
  <si>
    <t>ORBEGOSO MEREGILDO, ITALO JEANCARLO</t>
  </si>
  <si>
    <t>10185224</t>
  </si>
  <si>
    <t>QUISPE MOROCCO, WILVER</t>
  </si>
  <si>
    <t>45096943</t>
  </si>
  <si>
    <t>72306861</t>
  </si>
  <si>
    <t>MIRANDA GARCIA, SERGIO ANDRE</t>
  </si>
  <si>
    <t>45107043</t>
  </si>
  <si>
    <t>SAAVEDRA JAVE, DILMER BENJAMÍN</t>
  </si>
  <si>
    <t>77390981</t>
  </si>
  <si>
    <t>RAMOS ECHEVARRIA, LAURA MARICIELO</t>
  </si>
  <si>
    <t>44520465</t>
  </si>
  <si>
    <t>FALCON VARAS, JAIR</t>
  </si>
  <si>
    <t>72620898</t>
  </si>
  <si>
    <t>73450457</t>
  </si>
  <si>
    <t>TORREJON TERREROS, JERSON LEONCIO</t>
  </si>
  <si>
    <t>73502260</t>
  </si>
  <si>
    <t>CONTRERAS MENDOZA, YUGERT JEFFERSSON</t>
  </si>
  <si>
    <t>70552546</t>
  </si>
  <si>
    <t>CCAMA QUISPE, JHON CARLOS</t>
  </si>
  <si>
    <t>004241403</t>
  </si>
  <si>
    <t>COVA LOPEZ, JULIO CESAR</t>
  </si>
  <si>
    <t>75016878</t>
  </si>
  <si>
    <t>BENAVENTE CONTRERAS, JHOSEPH OSMAR</t>
  </si>
  <si>
    <t>46979906</t>
  </si>
  <si>
    <t>CALAHUILLE CALAHUILLE, WILBER</t>
  </si>
  <si>
    <t>46061615</t>
  </si>
  <si>
    <t>CUADRA PASQUEL, JESUS ALEJANDRO</t>
  </si>
  <si>
    <t>70361712</t>
  </si>
  <si>
    <t>BUSTAMANTE REYES, FRANK ANDERSON</t>
  </si>
  <si>
    <t>47259573</t>
  </si>
  <si>
    <t>PEÑALOZA ALMONACID, ALEJANDRO JUNIOR</t>
  </si>
  <si>
    <t>72740073</t>
  </si>
  <si>
    <t>77388799</t>
  </si>
  <si>
    <t>IRIGOIN GUEVARA, FREDESVICTOR</t>
  </si>
  <si>
    <t>75361118</t>
  </si>
  <si>
    <t>POMAYA PEÑALOZA, RUSEL DILVER</t>
  </si>
  <si>
    <t>72965459</t>
  </si>
  <si>
    <t>HUAMAN HUAMAN, JHONATAN</t>
  </si>
  <si>
    <t>45782476</t>
  </si>
  <si>
    <t>BAZALAR GUTIERREZ, JEAN PIERRE</t>
  </si>
  <si>
    <t>72186750</t>
  </si>
  <si>
    <t>AMACHE AVENDAÑO, YADHIRA</t>
  </si>
  <si>
    <t>74291956</t>
  </si>
  <si>
    <t>MENESES GUTIERREZ, JESSY MURIEL</t>
  </si>
  <si>
    <t>76426942</t>
  </si>
  <si>
    <t>UTURUNCO ARAPA, HOBARD VIDAL</t>
  </si>
  <si>
    <t>70857131</t>
  </si>
  <si>
    <t>DIAZ AGURTO, FRITZGERALD DEMETRY</t>
  </si>
  <si>
    <t>41485942</t>
  </si>
  <si>
    <t>CRISPIN TORRES, ENRIQUE MOISES</t>
  </si>
  <si>
    <t>41319593</t>
  </si>
  <si>
    <t>QUIJAITE JUAREZ, FELIX EDGARDO</t>
  </si>
  <si>
    <t>76175017</t>
  </si>
  <si>
    <t>VALZ FLORES, KARLO SEBASTIAN</t>
  </si>
  <si>
    <t>75921946</t>
  </si>
  <si>
    <t>CAMPOS POMA, CARLA SAIDA</t>
  </si>
  <si>
    <t>70234926</t>
  </si>
  <si>
    <t>PUCUHUAYLA ALFARO, ANTONIO</t>
  </si>
  <si>
    <t>76230595</t>
  </si>
  <si>
    <t>DIAZ PARILLO, HUMBERTO RONNY</t>
  </si>
  <si>
    <t>76935200</t>
  </si>
  <si>
    <t>ARIAS SILVA, KATHERINE MILAGROS</t>
  </si>
  <si>
    <t>73668329</t>
  </si>
  <si>
    <t>47656233</t>
  </si>
  <si>
    <t>JOHANSON SAAVEDRA, DANTE EDMUNDO</t>
  </si>
  <si>
    <t>72781800</t>
  </si>
  <si>
    <t>45149056</t>
  </si>
  <si>
    <t>PALACIOS SOTA, MARCEL ALI</t>
  </si>
  <si>
    <t>41107831</t>
  </si>
  <si>
    <t>FIGUEROA CCALLA, CESAR</t>
  </si>
  <si>
    <t>74722282</t>
  </si>
  <si>
    <t>ESPINOZA PAMPAS, JLENDER ELI</t>
  </si>
  <si>
    <t>73677559</t>
  </si>
  <si>
    <t>CASTRO CASTRO, FRANCK MARCOS</t>
  </si>
  <si>
    <t>46698552</t>
  </si>
  <si>
    <t>CHOQUE VILCA, ALEXANDER RAUL</t>
  </si>
  <si>
    <t>75450346</t>
  </si>
  <si>
    <t>CHAVEZ MALPARTIDA, KEVIN ANDY</t>
  </si>
  <si>
    <t>70853768</t>
  </si>
  <si>
    <t>70267769</t>
  </si>
  <si>
    <t>45481705</t>
  </si>
  <si>
    <t>SUAREZ GONZALES, JORGE LUIS</t>
  </si>
  <si>
    <t>74710498</t>
  </si>
  <si>
    <t>BARJA NUÑEZ, CARLOS ADRIEL</t>
  </si>
  <si>
    <t>43189984</t>
  </si>
  <si>
    <t>CHINO ADUVIRI, TORIBIO</t>
  </si>
  <si>
    <t>76147441</t>
  </si>
  <si>
    <t>APAZA PUMA, WILFREDO</t>
  </si>
  <si>
    <t>73004406</t>
  </si>
  <si>
    <t>CABELLO CAMPOS, RUTH YORICA</t>
  </si>
  <si>
    <t>72627711</t>
  </si>
  <si>
    <t>48452548</t>
  </si>
  <si>
    <t>76461697</t>
  </si>
  <si>
    <t>ROMERO TORRES, GIANMARCO EDUARDO</t>
  </si>
  <si>
    <t>75542794</t>
  </si>
  <si>
    <t>VEGA TORRES, ELIAZEL ENRRIQUE</t>
  </si>
  <si>
    <t>77709159</t>
  </si>
  <si>
    <t>AVILA VENTO, OLGHER FABIAN</t>
  </si>
  <si>
    <t>76231875</t>
  </si>
  <si>
    <t>CASAS LOPEZ, CESAR AUGUSTO</t>
  </si>
  <si>
    <t>48076442</t>
  </si>
  <si>
    <t>HERRERA CRIOLLO, LEONEL</t>
  </si>
  <si>
    <t>72451846</t>
  </si>
  <si>
    <t>QUIROGA PALMA, JONATHAN JOSEPH</t>
  </si>
  <si>
    <t>73930622</t>
  </si>
  <si>
    <t>IMAN TORRES, NAYADA KIMBERLY ARIANA</t>
  </si>
  <si>
    <t>47880552</t>
  </si>
  <si>
    <t>77680405</t>
  </si>
  <si>
    <t>TINCO AUCCAHUASI, JOSE ANTONIO</t>
  </si>
  <si>
    <t>72452225</t>
  </si>
  <si>
    <t>ALMEYDA VEGA, MICHELL</t>
  </si>
  <si>
    <t>76627658</t>
  </si>
  <si>
    <t>ORTIZ LOPEZ, LEONARDO ADRIAN</t>
  </si>
  <si>
    <t>75069752</t>
  </si>
  <si>
    <t>CAMACHO SILVERIO, PEDRO CESAR</t>
  </si>
  <si>
    <t>77337125</t>
  </si>
  <si>
    <t>VARGAS GUTIERREZ, JOYCE</t>
  </si>
  <si>
    <t>73301250</t>
  </si>
  <si>
    <t>HUALLPA HUILLCA, WILSON FERNANDO</t>
  </si>
  <si>
    <t>72429550</t>
  </si>
  <si>
    <t>TORRES SANCHEZ, GONZALO JAVIER</t>
  </si>
  <si>
    <t>48271514</t>
  </si>
  <si>
    <t>MOGOLLON PALOMINO, ARNOLD OLIVER</t>
  </si>
  <si>
    <t>75769849</t>
  </si>
  <si>
    <t>TOSCANO FERNANDEZ, ERASMO</t>
  </si>
  <si>
    <t>47768861</t>
  </si>
  <si>
    <t>JIMENEZ BARTESAGHI, LUIS EDMUNDO</t>
  </si>
  <si>
    <t>47514096</t>
  </si>
  <si>
    <t>AGURTO HUACAUSI, WILMER FREDDY</t>
  </si>
  <si>
    <t>76083021</t>
  </si>
  <si>
    <t>RIOS MENDOZA, LEONARDO ANTONIO</t>
  </si>
  <si>
    <t>43288742</t>
  </si>
  <si>
    <t>RIVADENEYRA ZAMBRANO, FABRICIO PIERRE</t>
  </si>
  <si>
    <t>47839098</t>
  </si>
  <si>
    <t>SALDIVAR SEQUEIROS, RENZO JUVENAL</t>
  </si>
  <si>
    <t>74461157</t>
  </si>
  <si>
    <t>RAMIREZ QUIROGA, HÉCTOR ANDRÉS</t>
  </si>
  <si>
    <t>71807127</t>
  </si>
  <si>
    <t>CISNEROS YESAN, ROY KEVIN</t>
  </si>
  <si>
    <t>70817411</t>
  </si>
  <si>
    <t>LAMPA CCASO, JUAN JOSE</t>
  </si>
  <si>
    <t>71924746</t>
  </si>
  <si>
    <t>QUISPE PACCO, ALEX</t>
  </si>
  <si>
    <t>70605150</t>
  </si>
  <si>
    <t>ROJAS RIVERA, JAVIER ALEXANDER</t>
  </si>
  <si>
    <t>46517617</t>
  </si>
  <si>
    <t>CUADRA MONTECINO, WILMER</t>
  </si>
  <si>
    <t>72528632</t>
  </si>
  <si>
    <t>70128416</t>
  </si>
  <si>
    <t>75795555</t>
  </si>
  <si>
    <t>HUACHO CELIS, KENETH MICHAEL</t>
  </si>
  <si>
    <t>70025303</t>
  </si>
  <si>
    <t>SALAS BRAVO, PIERINA MILAGROS</t>
  </si>
  <si>
    <t>73815045</t>
  </si>
  <si>
    <t>ALEGRIA PELAYO, NELSON WALTER</t>
  </si>
  <si>
    <t>71926921</t>
  </si>
  <si>
    <t>45578309</t>
  </si>
  <si>
    <t>GIL CUSIHUALLPA, EDISON</t>
  </si>
  <si>
    <t>43168092</t>
  </si>
  <si>
    <t>CAPUÑAY SAAVEDRA, JOSE MIGUEL</t>
  </si>
  <si>
    <t>72194296</t>
  </si>
  <si>
    <t>CARRILLO ACEVEDO, ALLINSON YOLANDA</t>
  </si>
  <si>
    <t>71880837</t>
  </si>
  <si>
    <t>OCUPA LABAN, JUNIOR</t>
  </si>
  <si>
    <t>74486441</t>
  </si>
  <si>
    <t>FLORES CHOQUE, LUIS ALEXANDER</t>
  </si>
  <si>
    <t>43245929</t>
  </si>
  <si>
    <t>ANCIETA HUALLAMARES, VICTOR HUGO</t>
  </si>
  <si>
    <t>40507733</t>
  </si>
  <si>
    <t>DIAZ NORIEGA, CESAR MANUEL</t>
  </si>
  <si>
    <t>76163175</t>
  </si>
  <si>
    <t>HINOJOSA TTITO, LUIS ALDAIR</t>
  </si>
  <si>
    <t>45642738</t>
  </si>
  <si>
    <t>HUAMAN SUPA, LUIS ALBERTO</t>
  </si>
  <si>
    <t>001927983</t>
  </si>
  <si>
    <t>ALFONZO SABINO, EVELIO JOSÉ</t>
  </si>
  <si>
    <t>40199190</t>
  </si>
  <si>
    <t>RUIZ ROSALINO, JOHN SIXTO</t>
  </si>
  <si>
    <t>42203379</t>
  </si>
  <si>
    <t>10867019</t>
  </si>
  <si>
    <t>44937847</t>
  </si>
  <si>
    <t>VEGA FEIJOO, ELISEO</t>
  </si>
  <si>
    <t>73657196</t>
  </si>
  <si>
    <t>TORRES REQUENA, JULIO CESAR</t>
  </si>
  <si>
    <t>74303103</t>
  </si>
  <si>
    <t>CONDORI HUANQUI, DIEGO AUGUSTO</t>
  </si>
  <si>
    <t>75480374</t>
  </si>
  <si>
    <t>CHUNGA VALVERDE, SEGUNDO JULIAN</t>
  </si>
  <si>
    <t>77342445</t>
  </si>
  <si>
    <t>JIMENEZ MUÑOZ, TITO MAGAYAL</t>
  </si>
  <si>
    <t>77540450</t>
  </si>
  <si>
    <t>DAMIAN SULLON, SARAH BELEN</t>
  </si>
  <si>
    <t>48148309</t>
  </si>
  <si>
    <t>CAMACHO MONTALVO, FRANK ALDAREIR</t>
  </si>
  <si>
    <t>70111846</t>
  </si>
  <si>
    <t>VILCA AGUIRRE, JOSÉ LUIS</t>
  </si>
  <si>
    <t>75822867</t>
  </si>
  <si>
    <t>TEZEN ZURITA, WILLIAM FRANCISCO</t>
  </si>
  <si>
    <t>72230277</t>
  </si>
  <si>
    <t>PINTADO CHAMBA, EDWIN</t>
  </si>
  <si>
    <t>72716005</t>
  </si>
  <si>
    <t>SOTO REATEGUI, BORIS DANIEL</t>
  </si>
  <si>
    <t>74087877</t>
  </si>
  <si>
    <t>YBAÑEZ RAMOS, HENRRY ENRIQUE</t>
  </si>
  <si>
    <t>74977152</t>
  </si>
  <si>
    <t>NAVARRO VEINTIMILLA, LUIS GONZALO</t>
  </si>
  <si>
    <t>76928637</t>
  </si>
  <si>
    <t>MENA ABAD, JULIO CESAR</t>
  </si>
  <si>
    <t>75457966</t>
  </si>
  <si>
    <t>CRUZ MENDOZA, FRANCISCO GEANNPAUL</t>
  </si>
  <si>
    <t>74581644</t>
  </si>
  <si>
    <t>GARCIA SERNA, RONY JEANPIERRE EUSEBIO</t>
  </si>
  <si>
    <t>73545811</t>
  </si>
  <si>
    <t>SULLCA CCORAHUA, HENRY</t>
  </si>
  <si>
    <t>45147592</t>
  </si>
  <si>
    <t>CACMA QUISPE, GUIDO RAY</t>
  </si>
  <si>
    <t>41270434</t>
  </si>
  <si>
    <t>PIZARRO POMA, EDISON VIRNEY</t>
  </si>
  <si>
    <t>42235256</t>
  </si>
  <si>
    <t>SANCHEZ JIMENEZ, JOSE ARQUIMEDES</t>
  </si>
  <si>
    <t>70658854</t>
  </si>
  <si>
    <t>MEGO ALARCON, FELLY ROSARIO</t>
  </si>
  <si>
    <t>18836237</t>
  </si>
  <si>
    <t>LEON AGUILAR, PERCY EDGARDO</t>
  </si>
  <si>
    <t>47131003</t>
  </si>
  <si>
    <t>GARCIA ALVAN, FRANCK JOSE</t>
  </si>
  <si>
    <t>74854146</t>
  </si>
  <si>
    <t>QUISPE YAURI, DAVID ELIGIO</t>
  </si>
  <si>
    <t>RODRIGUEZ RISCO, CARLOS YAIR</t>
  </si>
  <si>
    <t>74222776</t>
  </si>
  <si>
    <t>DURAN CAMONES, LARIZA LISETH</t>
  </si>
  <si>
    <t>72694558</t>
  </si>
  <si>
    <t>SUCSO ROJAS, LEONER ADRIAN</t>
  </si>
  <si>
    <t>72195008</t>
  </si>
  <si>
    <t>LAZO TICLAVILCA, GUSTAVO ALONSO</t>
  </si>
  <si>
    <t>44098549</t>
  </si>
  <si>
    <t>ZEVALLOS CASTRO, VICTOR EDUARDO</t>
  </si>
  <si>
    <t>47655661</t>
  </si>
  <si>
    <t>ARREGUI NOLORBE, CHRISTOPHER MIKE</t>
  </si>
  <si>
    <t>04220255</t>
  </si>
  <si>
    <t>DIAZ SAMPAYO, WINAIKER STEWEN</t>
  </si>
  <si>
    <t>75723787</t>
  </si>
  <si>
    <t>POMAYA PEÑALOZA, ALEJANDRO JESUS</t>
  </si>
  <si>
    <t>44266624</t>
  </si>
  <si>
    <t>ALVARO CACHI, FIDEL ANGEL</t>
  </si>
  <si>
    <t>40782750</t>
  </si>
  <si>
    <t>CORTEZ QUISPE, JESUS ANGEL</t>
  </si>
  <si>
    <t>74278451</t>
  </si>
  <si>
    <t>DE ALMEIDA LIRA, DAYANNE NICOLE</t>
  </si>
  <si>
    <t>45415967</t>
  </si>
  <si>
    <t>BUSTAMANTE ZEÑA, NILTON NOE</t>
  </si>
  <si>
    <t>76446197</t>
  </si>
  <si>
    <t>ORE CONCHA, JESUS</t>
  </si>
  <si>
    <t>46191773</t>
  </si>
  <si>
    <t>PUMA CÁCERES,JOSÉ</t>
  </si>
  <si>
    <t>48074080</t>
  </si>
  <si>
    <t>SANDOVAL CABELLO, KATHERINE MARLENE</t>
  </si>
  <si>
    <t>71820983</t>
  </si>
  <si>
    <t>ARBULU VERGARA, JORGE ARMANDO</t>
  </si>
  <si>
    <t>47457409</t>
  </si>
  <si>
    <t>ATAUCURI QUISPE, RICHARD</t>
  </si>
  <si>
    <t>45641110</t>
  </si>
  <si>
    <t>ROJAS COBEÑAS, JOSÉ LUIS</t>
  </si>
  <si>
    <t>72679404</t>
  </si>
  <si>
    <t>SANCHEZ MARIN, KELLY LORENA</t>
  </si>
  <si>
    <t>73146757</t>
  </si>
  <si>
    <t>MOTTA ROSADA, FRANGHOAR ANGELLO</t>
  </si>
  <si>
    <t>73228642</t>
  </si>
  <si>
    <t>AGUIRRE BANDA, JOSHUA SABRINA</t>
  </si>
  <si>
    <t>29707698</t>
  </si>
  <si>
    <t>TEJADA CACERES, WILBER RAUL</t>
  </si>
  <si>
    <t>76132617</t>
  </si>
  <si>
    <t>VEGA ARELLAN, JAFFET MAURICIO</t>
  </si>
  <si>
    <t>74392543</t>
  </si>
  <si>
    <t>JARA GOMEZ, MIGUEL EDGARDO</t>
  </si>
  <si>
    <t>73131397</t>
  </si>
  <si>
    <t>HUARICALLA PANCCA, MARCOS ALBERTO</t>
  </si>
  <si>
    <t>75764575</t>
  </si>
  <si>
    <t>BENITES PALACIOS, MELANNY KATHY</t>
  </si>
  <si>
    <t>76027331</t>
  </si>
  <si>
    <t>CCOLQUE ALATA, YURI</t>
  </si>
  <si>
    <t>48742176</t>
  </si>
  <si>
    <t>DIAZ VASQUEZ, YONHATAN ALEXANDER</t>
  </si>
  <si>
    <t>72862130</t>
  </si>
  <si>
    <t>SALAS HERRERA, GIANELA ROSA</t>
  </si>
  <si>
    <t>74736019</t>
  </si>
  <si>
    <t>ROBLEDO SANCHEZ, CRISTHIAN DAVID</t>
  </si>
  <si>
    <t>75912521</t>
  </si>
  <si>
    <t>MOLERO BURGOS, DIEGO ANDRE</t>
  </si>
  <si>
    <t>75372788</t>
  </si>
  <si>
    <t>ATAUCHI PALOMINO, WILLY ALEXANDER</t>
  </si>
  <si>
    <t>72071966</t>
  </si>
  <si>
    <t>RAMOS CHUMBES, KEVIN ROSSEL</t>
  </si>
  <si>
    <t>76748669</t>
  </si>
  <si>
    <t>MUÑANTE MANCO, CARLOS MANUEL</t>
  </si>
  <si>
    <t>73796897</t>
  </si>
  <si>
    <t>TALLEDO GUERRERO, RENATO</t>
  </si>
  <si>
    <t>72350986</t>
  </si>
  <si>
    <t>FUENTES URDANIGA, BENJAMÍN OMAR</t>
  </si>
  <si>
    <t>44454534</t>
  </si>
  <si>
    <t>SOTO VARGAS, HARRY JOHN</t>
  </si>
  <si>
    <t>70850101</t>
  </si>
  <si>
    <t>CABELLO SALAZAR, MARCO BRUNO</t>
  </si>
  <si>
    <t>75930172</t>
  </si>
  <si>
    <t>MAYORÍA VARGAS, JIMENA</t>
  </si>
  <si>
    <t>43730049</t>
  </si>
  <si>
    <t>PUPPO CHACON, AUGUSTO LUIS</t>
  </si>
  <si>
    <t>45861620</t>
  </si>
  <si>
    <t>SANTIVAÑEZ CANO, MANUEL JHONATAN</t>
  </si>
  <si>
    <t>46684823</t>
  </si>
  <si>
    <t>VELARDE SALAZAR, GIANCARLO</t>
  </si>
  <si>
    <t>71472927</t>
  </si>
  <si>
    <t>AVILA ALVARADO, OSBAR JOSELITO</t>
  </si>
  <si>
    <t>70004030</t>
  </si>
  <si>
    <t>GALARZA FEBRES, MARCELO MARTIN</t>
  </si>
  <si>
    <t>005370437</t>
  </si>
  <si>
    <t>PICHARDO RODRIGUEZ, NERIO ENRIQUE</t>
  </si>
  <si>
    <t>71551304</t>
  </si>
  <si>
    <t>RAMOS TORRES, GUIDO ANTONIO</t>
  </si>
  <si>
    <t>08595557</t>
  </si>
  <si>
    <t>SOVERO URQUÍA, MÁXIMO</t>
  </si>
  <si>
    <t>10694708</t>
  </si>
  <si>
    <t>PAZ ARICA, ALVARO ENRIQUE</t>
  </si>
  <si>
    <t>47014508</t>
  </si>
  <si>
    <t>RUFINO PANTA, DUBER</t>
  </si>
  <si>
    <t>72008102</t>
  </si>
  <si>
    <t>HURTADO CONTRERAS, YHOEL YHORDIÑO</t>
  </si>
  <si>
    <t>43102896</t>
  </si>
  <si>
    <t>REVOLLEDO OLIVOS, JHAN MARTIN</t>
  </si>
  <si>
    <t>76726246</t>
  </si>
  <si>
    <t>ESPINOZA SALAZAR, LINCOLN ARTURO</t>
  </si>
  <si>
    <t>72645200</t>
  </si>
  <si>
    <t>ROJAS CALDERÓN, ALVARO JULIO</t>
  </si>
  <si>
    <t>70886051</t>
  </si>
  <si>
    <t>YOVERA RAMIREZ, CESAR ADRIÁN</t>
  </si>
  <si>
    <t>45537435</t>
  </si>
  <si>
    <t>RUIZ ESPINOZA, HOUSTON MARCO</t>
  </si>
  <si>
    <t>70460946</t>
  </si>
  <si>
    <t>GUERRA ZAPATA, JORGE ANTONIO</t>
  </si>
  <si>
    <t>70863546</t>
  </si>
  <si>
    <t>ROJAS CARDENAS, JOSEPH EDGAR</t>
  </si>
  <si>
    <t>48065984</t>
  </si>
  <si>
    <t>CAMPANA ATAJO, ALVARO KEVIN</t>
  </si>
  <si>
    <t>46661529</t>
  </si>
  <si>
    <t>SANDOVAL BARRIENTOS, MARCO ANTONIO</t>
  </si>
  <si>
    <t>43812050</t>
  </si>
  <si>
    <t>TORRES BENITES, JUAN CARLOS IVAN</t>
  </si>
  <si>
    <t>43059578</t>
  </si>
  <si>
    <t>CHINCHAY MERINO, JOSE FRANCISCO</t>
  </si>
  <si>
    <t>47168662</t>
  </si>
  <si>
    <t>ZEVALLOS PEREZ, SEGUNDO JOHN</t>
  </si>
  <si>
    <t>46677499</t>
  </si>
  <si>
    <t>MEDINA RAMIREZ, CARLOS JHONATAN</t>
  </si>
  <si>
    <t>44933350</t>
  </si>
  <si>
    <t>NUÑEZ SAMANIEGO, DARWIN OMAR</t>
  </si>
  <si>
    <t>47451933</t>
  </si>
  <si>
    <t>OBREGON MEJIA, GUILLERMO FRANKLIN</t>
  </si>
  <si>
    <t>71058513</t>
  </si>
  <si>
    <t>CORDOVA GUERRERO, EDILMER</t>
  </si>
  <si>
    <t>75556282</t>
  </si>
  <si>
    <t>PALOMINO MACHUCA, MELANY KIMBERLY</t>
  </si>
  <si>
    <t>76268409</t>
  </si>
  <si>
    <t>VILLEGAS GARCIA, SEBASTIAN EDILBERTO</t>
  </si>
  <si>
    <t>74088544</t>
  </si>
  <si>
    <t>MEDINA DE LA CRUZ, JOSE GIANFRANCO</t>
  </si>
  <si>
    <t>75616937</t>
  </si>
  <si>
    <t>CRUZ RIVAS, ALEX JOEL</t>
  </si>
  <si>
    <t>71869889</t>
  </si>
  <si>
    <t>AVELLANEDA DIAZ, IVAN</t>
  </si>
  <si>
    <t>76951085</t>
  </si>
  <si>
    <t>TUPAYACHI CORAL, DIEGO AARON</t>
  </si>
  <si>
    <t>77322869</t>
  </si>
  <si>
    <t>RIVA ORBEZO, RONALD JOSUE</t>
  </si>
  <si>
    <t>41294104</t>
  </si>
  <si>
    <t>VIDAL PÉREZ, HUGO HÉCTOR</t>
  </si>
  <si>
    <t>46307105</t>
  </si>
  <si>
    <t>RAMIREZ CHALCO, NILO</t>
  </si>
  <si>
    <t>10637504</t>
  </si>
  <si>
    <t>ÑAUPARI BALDEON, PABLO FELIPE</t>
  </si>
  <si>
    <t>70986625</t>
  </si>
  <si>
    <t>ERASMO BERRIOS, ERICK ALEXANDER</t>
  </si>
  <si>
    <t>77421564</t>
  </si>
  <si>
    <t>FLORES VILCA, CARLOS ENRIQUE</t>
  </si>
  <si>
    <t>44353914</t>
  </si>
  <si>
    <t>OLIVERA MANCO, JORGE AUGUSTO</t>
  </si>
  <si>
    <t>70310250</t>
  </si>
  <si>
    <t>TICONA SAAVEDRA, CESAR MARTIN</t>
  </si>
  <si>
    <t>72421032</t>
  </si>
  <si>
    <t>GUTIERREZ CANRE, FELIX GERARDO</t>
  </si>
  <si>
    <t>77381096</t>
  </si>
  <si>
    <t>GUTIERREZ HURTADO, CHRISTOPHER ABILIO</t>
  </si>
  <si>
    <t>48369134</t>
  </si>
  <si>
    <t>SALCEDO ORELLANA, RICARDO ALFONSO</t>
  </si>
  <si>
    <t>73904623</t>
  </si>
  <si>
    <t>MALPARTIDA SANTOS, ROCIO LISBETH</t>
  </si>
  <si>
    <t>02669479</t>
  </si>
  <si>
    <t>MARTINEZ TERREROS, LARRY GREGORIO</t>
  </si>
  <si>
    <t>72862065</t>
  </si>
  <si>
    <t>TORRES RODRÍGUEZ, CARLOS DIEGO</t>
  </si>
  <si>
    <t>45437518</t>
  </si>
  <si>
    <t>VASQUEZ DAVILA, CESAR ABEL</t>
  </si>
  <si>
    <t>70561884</t>
  </si>
  <si>
    <t>DAVILA RAFAEL, HENNRY</t>
  </si>
  <si>
    <t>46941408</t>
  </si>
  <si>
    <t>VERA FLORES, JESÚS ANTONIO</t>
  </si>
  <si>
    <t>48450411</t>
  </si>
  <si>
    <t>ANCULLE SIERRA, RUSBEL MILTON</t>
  </si>
  <si>
    <t>71262948</t>
  </si>
  <si>
    <t>BRAVO VALLEJOS, KELVIN ARTURO</t>
  </si>
  <si>
    <t>71100059</t>
  </si>
  <si>
    <t>ESPINOZA AYALA, JAIME DEYVIS</t>
  </si>
  <si>
    <t>77079421</t>
  </si>
  <si>
    <t>LA CRUZ CHEQUERA, LEOPOLDO ANCI</t>
  </si>
  <si>
    <t>75783937</t>
  </si>
  <si>
    <t>SALAS GALARZA, ANDRÉ JAVIER</t>
  </si>
  <si>
    <t>71100890</t>
  </si>
  <si>
    <t>ARIAS MARCES, AAROM BRYAM AYRTON</t>
  </si>
  <si>
    <t>75772572</t>
  </si>
  <si>
    <t>CALLE PASAPERA, JORGE JOSEPH</t>
  </si>
  <si>
    <t>72497720</t>
  </si>
  <si>
    <t>QUISPE PALOMINO, FRANKLIN</t>
  </si>
  <si>
    <t>76231605</t>
  </si>
  <si>
    <t>PEÑA MARTÍNEZ, NELSON ALEXANDER</t>
  </si>
  <si>
    <t>41426563</t>
  </si>
  <si>
    <t>YALTA ARÉVALO, HUGO JOEL</t>
  </si>
  <si>
    <t>75223602</t>
  </si>
  <si>
    <t>EGUES HUACHACA, KRISTEL XIMENA</t>
  </si>
  <si>
    <t>77244354</t>
  </si>
  <si>
    <t>MURAYARI PAIMA, JHON GLEIN</t>
  </si>
  <si>
    <t>72274425</t>
  </si>
  <si>
    <t>LAZARTE FERNANDEZ, ELIAS ANDREE</t>
  </si>
  <si>
    <t>74821132</t>
  </si>
  <si>
    <t>CHOQUEHUANCA MAMANI, BRAX ARNY</t>
  </si>
  <si>
    <t>75991569</t>
  </si>
  <si>
    <t>CUELLO TORRES, CYNTHIA ANDREA</t>
  </si>
  <si>
    <t>71895397</t>
  </si>
  <si>
    <t>PINEDO SOLANO, PELAYO</t>
  </si>
  <si>
    <t>70849273</t>
  </si>
  <si>
    <t>BERNAL CRUZ, JHON DARWIN</t>
  </si>
  <si>
    <t>48329659</t>
  </si>
  <si>
    <t>VILCHEZ ZAPATA, MARVIN EMANUEL</t>
  </si>
  <si>
    <t>72287833</t>
  </si>
  <si>
    <t>CARDENAS LICAS, JOSE ANDRE</t>
  </si>
  <si>
    <t>72078930</t>
  </si>
  <si>
    <t>TAMAYO MENDOZA, CHARLI</t>
  </si>
  <si>
    <t>43640136</t>
  </si>
  <si>
    <t>AGURTO MOGOLLON, JUNIOR EDUARDO</t>
  </si>
  <si>
    <t>72695581</t>
  </si>
  <si>
    <t>CRUZ SERNAQUE, VICTOR MANUEL</t>
  </si>
  <si>
    <t>47070271</t>
  </si>
  <si>
    <t>MONTOYA LAUREANO, MILWARD JORGE</t>
  </si>
  <si>
    <t>46972995</t>
  </si>
  <si>
    <t>CARUAJULCA SANTILLAN, JHONY</t>
  </si>
  <si>
    <t>73374782</t>
  </si>
  <si>
    <t>SISNIEGAS VALDIVIA, MIGUEL ANGEL</t>
  </si>
  <si>
    <t>71273363</t>
  </si>
  <si>
    <t>HUAMAN PEÑA, EDUARDO MARTIN</t>
  </si>
  <si>
    <t>75953771</t>
  </si>
  <si>
    <t>MONASTERIO TORREZ, EMIL BERNARD</t>
  </si>
  <si>
    <t>73991152</t>
  </si>
  <si>
    <t>CARRION ORTIZ, YESENIA MERCEDES</t>
  </si>
  <si>
    <t>77464584</t>
  </si>
  <si>
    <t>CHUCO ROJAS, JEAN PIER</t>
  </si>
  <si>
    <t>70113658</t>
  </si>
  <si>
    <t>DURAND VENEGAS, XAVIER</t>
  </si>
  <si>
    <t>76546242</t>
  </si>
  <si>
    <t>FEBRES ANCAJIMA, CARLOS ALBERTO</t>
  </si>
  <si>
    <t>31660729</t>
  </si>
  <si>
    <t>BARRENECHEA FLORES, NILS</t>
  </si>
  <si>
    <t>45292010</t>
  </si>
  <si>
    <t>GALLARDO ARCOS, GIANCARLO</t>
  </si>
  <si>
    <t>45065815</t>
  </si>
  <si>
    <t>QUISPE ANCO, GUIDO HERNAN</t>
  </si>
  <si>
    <t>41845226</t>
  </si>
  <si>
    <t>PINO MORON, ALEXANDER</t>
  </si>
  <si>
    <t>47727537</t>
  </si>
  <si>
    <t>BUITRON CUSI, ANGEL</t>
  </si>
  <si>
    <t>41818751</t>
  </si>
  <si>
    <t>70614423</t>
  </si>
  <si>
    <t>CHUQUIPOMA DOLORES, JOSE ANTONIO</t>
  </si>
  <si>
    <t>70003397</t>
  </si>
  <si>
    <t>BEGAZO QUENAYA, JEANCARLO JESUS</t>
  </si>
  <si>
    <t>73878073</t>
  </si>
  <si>
    <t>MUÑICO ALEJO, ERICK JAIR</t>
  </si>
  <si>
    <t>71947894</t>
  </si>
  <si>
    <t>SILVA CORDOVA, DIEGO YAMIL</t>
  </si>
  <si>
    <t>73902251</t>
  </si>
  <si>
    <t>VALENTIN MEZA, ANGEL IVAN</t>
  </si>
  <si>
    <t>75077177</t>
  </si>
  <si>
    <t>ANAMPA MACHUCA, JEYSA ALEXANDRA</t>
  </si>
  <si>
    <t>71559045</t>
  </si>
  <si>
    <t>CHUMACERO ESPINOZA, MANUEL</t>
  </si>
  <si>
    <t>43953805</t>
  </si>
  <si>
    <t>TORRES SALAS, SEGUNDO PEDRO</t>
  </si>
  <si>
    <t>74537175</t>
  </si>
  <si>
    <t>PHACSI CRUZ, HERNAN</t>
  </si>
  <si>
    <t>48472345</t>
  </si>
  <si>
    <t>GONZALES REJAS, JHONATAN JOEL</t>
  </si>
  <si>
    <t>46863497</t>
  </si>
  <si>
    <t>GUZMAN TEJEDA, SAUL MOISES</t>
  </si>
  <si>
    <t>70525631</t>
  </si>
  <si>
    <t>NUÑEZ BREÑA, EDGAR</t>
  </si>
  <si>
    <t>73023781</t>
  </si>
  <si>
    <t>JIMENEZ MORALES, CELSO LUIS</t>
  </si>
  <si>
    <t>70525602</t>
  </si>
  <si>
    <t>USCAMAYTA RIVERA, JHONATAN MAURO</t>
  </si>
  <si>
    <t>72190960</t>
  </si>
  <si>
    <t>LEON PATIÑO, MARIA FERNANDA ROSA</t>
  </si>
  <si>
    <t>47805408</t>
  </si>
  <si>
    <t>75603447</t>
  </si>
  <si>
    <t>BOZA PRATO, MICHELLE</t>
  </si>
  <si>
    <t>46454427</t>
  </si>
  <si>
    <t>DIAZ GUEVARA, FIORELLA</t>
  </si>
  <si>
    <t>72972650</t>
  </si>
  <si>
    <t>ALVARADO VERA, LISSET GERALDINE</t>
  </si>
  <si>
    <t>70089249</t>
  </si>
  <si>
    <t>HUAMANI TORRES, GERALDINE</t>
  </si>
  <si>
    <t>46873623</t>
  </si>
  <si>
    <t>SOSA LALUPU, JULIO CESAR</t>
  </si>
  <si>
    <t>47095769</t>
  </si>
  <si>
    <t>SIVINA AGUILAR, FABIAN</t>
  </si>
  <si>
    <t>41858920</t>
  </si>
  <si>
    <t>PONCE GUTIERREZ, BRIAN BROWN</t>
  </si>
  <si>
    <t>70905553</t>
  </si>
  <si>
    <t>SANCHEZ CRUZADO, JOSE VIDAL</t>
  </si>
  <si>
    <t>72249466</t>
  </si>
  <si>
    <t xml:space="preserve">CATASI MIRANDA, WILBER RUBEN </t>
  </si>
  <si>
    <t>75680792</t>
  </si>
  <si>
    <t>GALVEZ CAJAS, JOSELYN ROBINSON</t>
  </si>
  <si>
    <t>47722161</t>
  </si>
  <si>
    <t>CHAPOÑAN FARROÑAN, MARIO JOEL</t>
  </si>
  <si>
    <t>80161226</t>
  </si>
  <si>
    <t>TEJADA CACERES, EDGARD LEONCIO</t>
  </si>
  <si>
    <t>74214593</t>
  </si>
  <si>
    <t>CABANA PAUCARA, LENYN</t>
  </si>
  <si>
    <t>44997375</t>
  </si>
  <si>
    <t>LAYME VALDIVIA, PABLO CESAR</t>
  </si>
  <si>
    <t>74619575</t>
  </si>
  <si>
    <t>SANTOS LAURA, FREDDY WALDIR</t>
  </si>
  <si>
    <t>43891635</t>
  </si>
  <si>
    <t>ATAMARI CHAHUARA, LUIS CARLOS</t>
  </si>
  <si>
    <t>46644360</t>
  </si>
  <si>
    <t>SANCHEZ ZUÑIGA, JESUS ERICK</t>
  </si>
  <si>
    <t>74709350</t>
  </si>
  <si>
    <t>HUAYTA ARNERO, CRISTHIAN CRISTOFER</t>
  </si>
  <si>
    <t>46261892</t>
  </si>
  <si>
    <t>BARRETO HUILLCA, STIVENSON JONATHAN</t>
  </si>
  <si>
    <t>71406710</t>
  </si>
  <si>
    <t>BARRIENTOS RAVINES, ALEJANDRO EUDOCIO</t>
  </si>
  <si>
    <t>73674376</t>
  </si>
  <si>
    <t>AVILA CANO, SEBASTIAN PIERO</t>
  </si>
  <si>
    <t>72028322</t>
  </si>
  <si>
    <t>ENRIQUEZ CUEVA, JEREMY HAROLD</t>
  </si>
  <si>
    <t>41084310</t>
  </si>
  <si>
    <t>ORTEGA MOLLO, OMAR</t>
  </si>
  <si>
    <t>76132838</t>
  </si>
  <si>
    <t>ACUÑA ESTELA, MIGUEL ANGEL</t>
  </si>
  <si>
    <t>10619388</t>
  </si>
  <si>
    <t>DONAYRE DIAZ, MAKINO MIJAIL</t>
  </si>
  <si>
    <t>48360905</t>
  </si>
  <si>
    <t>MORA PORTALATINO, BENJY ROCKY</t>
  </si>
  <si>
    <t>47850866</t>
  </si>
  <si>
    <t>NINA VARGAS, GERALDYNE JAZMYN</t>
  </si>
  <si>
    <t>71217170</t>
  </si>
  <si>
    <t>73591103</t>
  </si>
  <si>
    <t>VELARDE PASAPERA, ANTONY BRANCO</t>
  </si>
  <si>
    <t>72930150</t>
  </si>
  <si>
    <t>BAUTISTA QUINTANILLA, URIEL AUGUSTO</t>
  </si>
  <si>
    <t>74204775</t>
  </si>
  <si>
    <t>CARDOZO JARA, LUIS GUSTAVO</t>
  </si>
  <si>
    <t>48353390</t>
  </si>
  <si>
    <t>HUAMANCAYO GARCIA, JUNIOR</t>
  </si>
  <si>
    <t>75822342</t>
  </si>
  <si>
    <t>GONZALES VICENTE, JACK FELIPE</t>
  </si>
  <si>
    <t>70374534</t>
  </si>
  <si>
    <t>LAZARTE ACOSTA, BELEN ALEXANDRA</t>
  </si>
  <si>
    <t>72927180</t>
  </si>
  <si>
    <t>VELASQUEZ PACHERRE, KEVIN GABRIEL</t>
  </si>
  <si>
    <t>72324165</t>
  </si>
  <si>
    <t>TRUJILLO JULCA, PABLO</t>
  </si>
  <si>
    <t>77044901</t>
  </si>
  <si>
    <t>MUCHA ESPIRITU, BLADIMIR</t>
  </si>
  <si>
    <t>72458686</t>
  </si>
  <si>
    <t>HUAMAN ALIAGA, JEAN PIERRE ALEJANDRO</t>
  </si>
  <si>
    <t>45097622</t>
  </si>
  <si>
    <t>PANDURO RAMOS, CHRISTIAN JESUS</t>
  </si>
  <si>
    <t>42581486</t>
  </si>
  <si>
    <t xml:space="preserve">CCALLO CHOQUEHUANCA, JESÚS ERASMO </t>
  </si>
  <si>
    <t>74150448</t>
  </si>
  <si>
    <t>VALENZUELA BARROSO, EDUARDO</t>
  </si>
  <si>
    <t>42174914</t>
  </si>
  <si>
    <t>ROJAS TUMBA, MARIO MANUEL</t>
  </si>
  <si>
    <t>70606772</t>
  </si>
  <si>
    <t>SANCHO HUARSAYA, YERSON FABRISIO</t>
  </si>
  <si>
    <t>42961886</t>
  </si>
  <si>
    <t>VICTORIO SERNA, JHONSON</t>
  </si>
  <si>
    <t>46333334</t>
  </si>
  <si>
    <t>VIDAL CARAZAS, XUAN ARMANDO</t>
  </si>
  <si>
    <t>74155632</t>
  </si>
  <si>
    <t>BALDEON SALAZAR, JESUS WALTER HUMBERTO</t>
  </si>
  <si>
    <t>43756480</t>
  </si>
  <si>
    <t>LLONTOP MONTES, LUIS ALFREDO</t>
  </si>
  <si>
    <t>71551235</t>
  </si>
  <si>
    <t>HENRIQUEZ CRISPIN, BRAD</t>
  </si>
  <si>
    <t>74133626</t>
  </si>
  <si>
    <t>ROBLEDILLO DEL CASTILLO, MARCELO</t>
  </si>
  <si>
    <t>72021462</t>
  </si>
  <si>
    <t>GUANILO GALLARDO, RAFAEL AUGUSTO</t>
  </si>
  <si>
    <t>71555418</t>
  </si>
  <si>
    <t>SALDAÑA COSTA, KEVIN JOSEPH</t>
  </si>
  <si>
    <t>09588243</t>
  </si>
  <si>
    <t>ALCALA GALLARDO,  JOSE VICTOR MARTIN</t>
  </si>
  <si>
    <t>71466703</t>
  </si>
  <si>
    <t xml:space="preserve">CASTILLO CASTILLO, MANUEL ZEUXIS VICTOR JOHN </t>
  </si>
  <si>
    <t>73343818</t>
  </si>
  <si>
    <t>ESTRELLA SALOMÉ, JEAN MANUEL</t>
  </si>
  <si>
    <t>72311204</t>
  </si>
  <si>
    <t>MENDIZABAL VELASQUEZ, KARLA ESTHER</t>
  </si>
  <si>
    <t>77170643</t>
  </si>
  <si>
    <t>PAREDES TELLO, OWIN RENATO</t>
  </si>
  <si>
    <t>46108489</t>
  </si>
  <si>
    <t xml:space="preserve">VASQUEZ SANDOVAL, JUNIOR EDINSON </t>
  </si>
  <si>
    <t>76416791</t>
  </si>
  <si>
    <t>RUIZ CALDERÓN, JACK LEANDRO</t>
  </si>
  <si>
    <t>46114690</t>
  </si>
  <si>
    <t>PAREDES ROJAS, PIERO ANTONIO</t>
  </si>
  <si>
    <t>42561414</t>
  </si>
  <si>
    <t>BARDALES AGUILA, JULIO CARLOS</t>
  </si>
  <si>
    <t>70076081</t>
  </si>
  <si>
    <t>CASQUI GARCIA, ALEXANDER JHON</t>
  </si>
  <si>
    <t>73330984</t>
  </si>
  <si>
    <t>ROJAS IPANAQUE, LUIS MIGUEL</t>
  </si>
  <si>
    <t>42718142</t>
  </si>
  <si>
    <t>QUIÑONES ALEJO, MIGUEL SANTOS</t>
  </si>
  <si>
    <t>45479131</t>
  </si>
  <si>
    <t>CAMPOS MORALES, JUAN CARLOS</t>
  </si>
  <si>
    <t>72232022</t>
  </si>
  <si>
    <t>HERNANDEZ CONDE, ANTONIO JESUS</t>
  </si>
  <si>
    <t>71784328</t>
  </si>
  <si>
    <t>DONAIRES GABRIEL, ERICK VLADIMIR</t>
  </si>
  <si>
    <t>74921567</t>
  </si>
  <si>
    <t>RAMIREZ PAUCAR, ALVARO DANIEL</t>
  </si>
  <si>
    <t>76227097</t>
  </si>
  <si>
    <t>RIVAS CINCE, MAYCOLT JORDI</t>
  </si>
  <si>
    <t>74760141</t>
  </si>
  <si>
    <t>VALENCIA ASPILCUETA, JOSE MAURICIO</t>
  </si>
  <si>
    <t>75378291</t>
  </si>
  <si>
    <t>IDONE YUPANQUI, BRIGITT EMPERATRIZ</t>
  </si>
  <si>
    <t>72648353</t>
  </si>
  <si>
    <t>CUBA HUACCACHI, MARCOS UBER</t>
  </si>
  <si>
    <t>74548781</t>
  </si>
  <si>
    <t>YLLAHUAMAN CHIPANA, JAN CARLOS</t>
  </si>
  <si>
    <t>43619384</t>
  </si>
  <si>
    <t>GARCIA ESPINOZA, LUIS ENRIQUE</t>
  </si>
  <si>
    <t>77247478</t>
  </si>
  <si>
    <t>RAYME LIMA, JULIO CESAR</t>
  </si>
  <si>
    <t>43712021</t>
  </si>
  <si>
    <t>VIVEROS ESTEVEZ, RONALD</t>
  </si>
  <si>
    <t>47773923</t>
  </si>
  <si>
    <t>HUIMAN VALVERDE, JEAN CARLO</t>
  </si>
  <si>
    <t>47582930</t>
  </si>
  <si>
    <t>GASTELU ZAVALA, JHONATAN DOUGLAS</t>
  </si>
  <si>
    <t>002722297</t>
  </si>
  <si>
    <t>ORTIZ FIGUERAS, JARVIN RAFAEL</t>
  </si>
  <si>
    <t>74918492</t>
  </si>
  <si>
    <t>40915333</t>
  </si>
  <si>
    <t>PARIONA CUBA, WALTER</t>
  </si>
  <si>
    <t>71130640</t>
  </si>
  <si>
    <t>CERVERA ANDRADE, JAIR JOSUE</t>
  </si>
  <si>
    <t>45623052</t>
  </si>
  <si>
    <t>MALDONADO YAULI, JOEL FRANKLIN</t>
  </si>
  <si>
    <t>76020998</t>
  </si>
  <si>
    <t>CAMACHO GONZALES, JONATHA SMITH</t>
  </si>
  <si>
    <t>46395171</t>
  </si>
  <si>
    <t>CONTRERAS GARCIA, PIERO ALESSANDRO</t>
  </si>
  <si>
    <t>71408090</t>
  </si>
  <si>
    <t xml:space="preserve">BERNAL RONDINEL, JUAN JOSE </t>
  </si>
  <si>
    <t>74454102</t>
  </si>
  <si>
    <t>HUAMANI ZAA, LUCIO RIVALDO</t>
  </si>
  <si>
    <t>76188829</t>
  </si>
  <si>
    <t xml:space="preserve">ÑAUPA CALLA, LUIYI </t>
  </si>
  <si>
    <t>60366107</t>
  </si>
  <si>
    <t>ARANDA DAZA, GEREMIAS</t>
  </si>
  <si>
    <t>71609476</t>
  </si>
  <si>
    <t>CHINGUEL LANDIVAR, CESAR EYNNER</t>
  </si>
  <si>
    <t>45378459</t>
  </si>
  <si>
    <t>NORIEGA CORNEJO, JORGE ANTONIO</t>
  </si>
  <si>
    <t>45604218</t>
  </si>
  <si>
    <t>OLLAGUEZ TELLO, HEYSEN</t>
  </si>
  <si>
    <t>45852647</t>
  </si>
  <si>
    <t>GALLARDO NOVOA, RUBÉN</t>
  </si>
  <si>
    <t>72798525</t>
  </si>
  <si>
    <t>GARCÍA CABRERA, SEBASTIÁN DAVID</t>
  </si>
  <si>
    <t>71454271</t>
  </si>
  <si>
    <t>AYALA RUIZ, OSCAR DANIEL</t>
  </si>
  <si>
    <t>70128963</t>
  </si>
  <si>
    <t>ARPITA AGUILERA, JOSE MANUEL</t>
  </si>
  <si>
    <t>41806439</t>
  </si>
  <si>
    <t xml:space="preserve">ALEGRE GRANADOS, ARMANDO RAFAEL </t>
  </si>
  <si>
    <t>73356261</t>
  </si>
  <si>
    <t>CHIHUAN GARCIA, LUIS KENEDY</t>
  </si>
  <si>
    <t>46307581</t>
  </si>
  <si>
    <t xml:space="preserve">CHUMBILE COTRINA, WILLIAM </t>
  </si>
  <si>
    <t>42518856</t>
  </si>
  <si>
    <t>HERRERA ZAPATA, ALEXIS ROLANDI</t>
  </si>
  <si>
    <t>71998375</t>
  </si>
  <si>
    <t>VILLANUEVA LIÑAN, AMNER JESUS</t>
  </si>
  <si>
    <t>73276626</t>
  </si>
  <si>
    <t>JAVIER RAMIREZ, BRENNER</t>
  </si>
  <si>
    <t>46289372</t>
  </si>
  <si>
    <t>PALPA ESTRELLA, CARLOS DAVID</t>
  </si>
  <si>
    <t>76288697</t>
  </si>
  <si>
    <t>BRICEÑO ALVA, JOE JUNIOR</t>
  </si>
  <si>
    <t>47611633</t>
  </si>
  <si>
    <t>SEDANO CAMPOS, MILLER CARLOS</t>
  </si>
  <si>
    <t>73950968</t>
  </si>
  <si>
    <t xml:space="preserve">ESPARZA GALLO, MANFREDO </t>
  </si>
  <si>
    <t>72658018</t>
  </si>
  <si>
    <t>SEQUEIROS CANCAPA, GONZALO NADIM</t>
  </si>
  <si>
    <t>74890052</t>
  </si>
  <si>
    <t xml:space="preserve">MENDOZA YANA, DANIEL JOSTIN </t>
  </si>
  <si>
    <t>48296768</t>
  </si>
  <si>
    <t>LOPEZ VALERA, DAVID MARTIN</t>
  </si>
  <si>
    <t>46517298</t>
  </si>
  <si>
    <t>MANRIQUE RAMOS, HERMES PIERO</t>
  </si>
  <si>
    <t>72174599</t>
  </si>
  <si>
    <t xml:space="preserve">MARIN PIZANGO, GUILLERMO HARY </t>
  </si>
  <si>
    <t>70872060</t>
  </si>
  <si>
    <t xml:space="preserve">PÉREZ ESPINOZA, CIRO MAURICIO </t>
  </si>
  <si>
    <t>74076555</t>
  </si>
  <si>
    <t>RIOS YLUQUIS, JHONY GRABIEL</t>
  </si>
  <si>
    <t>70672081</t>
  </si>
  <si>
    <t>SONCO TOLEDO, CHRISTIAN JAIME</t>
  </si>
  <si>
    <t>48199133</t>
  </si>
  <si>
    <t>VILCHEZ PAICO, CRISTHIAN JESUS</t>
  </si>
  <si>
    <t>47523374</t>
  </si>
  <si>
    <t>ROSALES CCOICCA, MARCO ANTONIO</t>
  </si>
  <si>
    <t>72003917</t>
  </si>
  <si>
    <t xml:space="preserve">ZELADA ABANTO, LELIXS JANDER </t>
  </si>
  <si>
    <t>10658461</t>
  </si>
  <si>
    <t>ABANTO SALAZAR, OSCAR HENRY</t>
  </si>
  <si>
    <t>46408032</t>
  </si>
  <si>
    <t>MENDEZ CHINCHAY, ERIC RAFAEL</t>
  </si>
  <si>
    <t>76071088</t>
  </si>
  <si>
    <t>CUETO MANRIQUE, JAIRO</t>
  </si>
  <si>
    <t>76325541</t>
  </si>
  <si>
    <t>GONZALES MAZA, MARCIO SANTOS</t>
  </si>
  <si>
    <t>46132586</t>
  </si>
  <si>
    <t>LLACSAHUACHE CRISANTO, DARWIN EUDOCIO</t>
  </si>
  <si>
    <t>71829619</t>
  </si>
  <si>
    <t>LOAIZA GUTIERREZ, GILMAR</t>
  </si>
  <si>
    <t>76358177</t>
  </si>
  <si>
    <t>PALOMINO HUILLCA, JHAN CARLOS</t>
  </si>
  <si>
    <t>48815828</t>
  </si>
  <si>
    <t>CONDOR MURRUGARRA, ROYER MIGUEL</t>
  </si>
  <si>
    <t>73951423</t>
  </si>
  <si>
    <t>PUMAHUALCCA TORRES, NAZARIO</t>
  </si>
  <si>
    <t>41626088</t>
  </si>
  <si>
    <t>ALCANTARA NAVARRO, MIRIAM</t>
  </si>
  <si>
    <t>74353371</t>
  </si>
  <si>
    <t>COTRINA GAITAN, JOSE FRANCISCO</t>
  </si>
  <si>
    <t>70424598</t>
  </si>
  <si>
    <t>ZAMBRANO PAREJA, CLAUDIO ANDRES</t>
  </si>
  <si>
    <t>75376042</t>
  </si>
  <si>
    <t>AMARU MAQUERA, JHON DONNY</t>
  </si>
  <si>
    <t>73611035</t>
  </si>
  <si>
    <t xml:space="preserve">AMES GONZALES, JHON CLINTON </t>
  </si>
  <si>
    <t>72787702</t>
  </si>
  <si>
    <t>DIAZ LEON, JOSE ENRIQUE</t>
  </si>
  <si>
    <t>75356666</t>
  </si>
  <si>
    <t>CARRASCO RAMOS, MIGUEL ANGEL</t>
  </si>
  <si>
    <t>48272761</t>
  </si>
  <si>
    <t>MACHACUAY TOCTO, WILMER</t>
  </si>
  <si>
    <t>43178070</t>
  </si>
  <si>
    <t>PISFIL ESPINOZA, SEGUNDO TEOFILO</t>
  </si>
  <si>
    <t>73827830</t>
  </si>
  <si>
    <t xml:space="preserve">VELASQUEZ CHICHIPE, RENZO DAVID </t>
  </si>
  <si>
    <t>75906040</t>
  </si>
  <si>
    <t>RUIZ MORI, VICENTE ADRIAN</t>
  </si>
  <si>
    <t>72521136</t>
  </si>
  <si>
    <t>PAREJA SILVA, CARLOS LUIS</t>
  </si>
  <si>
    <t>72890158</t>
  </si>
  <si>
    <t>CABANILLAS TUCTO, JOSE RONALDO</t>
  </si>
  <si>
    <t>76094299</t>
  </si>
  <si>
    <t>CUADROS PARRA, LUIS FERNANDO</t>
  </si>
  <si>
    <t>71422135</t>
  </si>
  <si>
    <t>ARCE ARCE, ERICK HANSEL</t>
  </si>
  <si>
    <t>75194230</t>
  </si>
  <si>
    <t>TABOADA SARAVIA, ONEIL DEL PIERO</t>
  </si>
  <si>
    <t>75624024</t>
  </si>
  <si>
    <t>MORAN CHAMORRO, JOSEIN</t>
  </si>
  <si>
    <t>09352258</t>
  </si>
  <si>
    <t>GARCIA GUTIERREZ, CARLOS</t>
  </si>
  <si>
    <t>71562449</t>
  </si>
  <si>
    <t>BALDEON PACHECO, KELLY</t>
  </si>
  <si>
    <t>75157389</t>
  </si>
  <si>
    <t>TIRADO CELIS, MERCI ANGEL ROSA</t>
  </si>
  <si>
    <t>75786199</t>
  </si>
  <si>
    <t>CASTILLO YESQUEN, WILSON ALFREDO</t>
  </si>
  <si>
    <t>72679808</t>
  </si>
  <si>
    <t>ROJAS RODRIGUEZ, IVAN FRANCISCO</t>
  </si>
  <si>
    <t>74399395</t>
  </si>
  <si>
    <t xml:space="preserve">PALOMINO MENDOZA, DIEGO THOMAS </t>
  </si>
  <si>
    <t>74916186</t>
  </si>
  <si>
    <t>TURPO TAYPE, OMAR ALFREDO</t>
  </si>
  <si>
    <t>74741450</t>
  </si>
  <si>
    <t xml:space="preserve">CARMONA MOGOLLÓN, JOHAN ALDHAIR </t>
  </si>
  <si>
    <t>70223136</t>
  </si>
  <si>
    <t xml:space="preserve">CRUZ VARAS, IVAN JAVIER </t>
  </si>
  <si>
    <t>72713189</t>
  </si>
  <si>
    <t xml:space="preserve">ROJAS AGUILAR, SAMUEL LEONARDO </t>
  </si>
  <si>
    <t>77379199</t>
  </si>
  <si>
    <t>TUDELANO ZUÑIGA, JOSE FRANCISCO</t>
  </si>
  <si>
    <t>46175611</t>
  </si>
  <si>
    <t>ZEVALLOS ROQUE, ONESIMO NEHEMIAS</t>
  </si>
  <si>
    <t>40597264</t>
  </si>
  <si>
    <t>MESTANZA TORRES, CESÁR AUGUSTO</t>
  </si>
  <si>
    <t>73241393</t>
  </si>
  <si>
    <t xml:space="preserve">KUTUCALLA AUCCA, ROLANDO </t>
  </si>
  <si>
    <t>76394474</t>
  </si>
  <si>
    <t>CAMIZÁN CASTILLO, ISRAEL ALEJANDRO</t>
  </si>
  <si>
    <t>46990198</t>
  </si>
  <si>
    <t xml:space="preserve">TABOADA PALOMINO, ANGIELO DE JESUS </t>
  </si>
  <si>
    <t>71852973</t>
  </si>
  <si>
    <t>CURITIMA TINOCO, CARLOS ALBERTO</t>
  </si>
  <si>
    <t>44776015</t>
  </si>
  <si>
    <t>HORNA BENITES, VARI</t>
  </si>
  <si>
    <t>72210650</t>
  </si>
  <si>
    <t xml:space="preserve">ZAPATA ROSALES, LUIS ANGEL DEL CARMEN </t>
  </si>
  <si>
    <t>48087431</t>
  </si>
  <si>
    <t xml:space="preserve">HUILLCARIMAY MAQUE, ELMER </t>
  </si>
  <si>
    <t>44588683</t>
  </si>
  <si>
    <t>PONCE PORRAS, ROBERTH</t>
  </si>
  <si>
    <t>01132879</t>
  </si>
  <si>
    <t>BERNAL MANRIQUE, MANUEL</t>
  </si>
  <si>
    <t>75416965</t>
  </si>
  <si>
    <t>CHICLLA ABARCA, OSCAR POOL</t>
  </si>
  <si>
    <t>45985777</t>
  </si>
  <si>
    <t>GANVINE ELIAS, ERNESTO ALONSO</t>
  </si>
  <si>
    <t>75014226</t>
  </si>
  <si>
    <t>CONGA CUICAPUZA, JHANDERI KEYLI</t>
  </si>
  <si>
    <t>76324526</t>
  </si>
  <si>
    <t xml:space="preserve">DÁVILA CHIGUALA, ROLLING ANDREI </t>
  </si>
  <si>
    <t xml:space="preserve">ESPINOZA PEREZ, LUIGUI BRAYAN </t>
  </si>
  <si>
    <t>75780201</t>
  </si>
  <si>
    <t>CORDOVA LOPEZ, ABIMEL</t>
  </si>
  <si>
    <t>76281026</t>
  </si>
  <si>
    <t>QUISPE QUISPE, WILBER FERNANDO</t>
  </si>
  <si>
    <t>45138057</t>
  </si>
  <si>
    <t>GONZALEZ ANTEZANA, ELMER JUAN</t>
  </si>
  <si>
    <t>73545571</t>
  </si>
  <si>
    <t>VILLANUEVA GARCIA, MARLINDO FELICISIMO</t>
  </si>
  <si>
    <t>74933703</t>
  </si>
  <si>
    <t>BUENDÍA PEREZ, LUIS ENRIQUE</t>
  </si>
  <si>
    <t>47131869</t>
  </si>
  <si>
    <t xml:space="preserve">MAURI GUERRERO, TOMAS IVAN </t>
  </si>
  <si>
    <t>46540933</t>
  </si>
  <si>
    <t xml:space="preserve">RODRIGUEZ ZAPATA, YOSHUA ALEXANDER </t>
  </si>
  <si>
    <t>76458055</t>
  </si>
  <si>
    <t>PAREDES URIARTE, YORDAN SAMIR</t>
  </si>
  <si>
    <t>72444272</t>
  </si>
  <si>
    <t>PINO ESPINAL, BRAAM ALEXANDER</t>
  </si>
  <si>
    <t>75371915</t>
  </si>
  <si>
    <t xml:space="preserve">ORCCOTOMA MEJÍA, ALVARO NEICER </t>
  </si>
  <si>
    <t>71968683</t>
  </si>
  <si>
    <t>MAYTA GASPAR, WILMER JAVIER</t>
  </si>
  <si>
    <t>40449816</t>
  </si>
  <si>
    <t xml:space="preserve">ARCA CASTILLO, JUAN ALEJANDRO </t>
  </si>
  <si>
    <t>72573580</t>
  </si>
  <si>
    <t xml:space="preserve">QUISPE LOZANO, RAUL SAMMER </t>
  </si>
  <si>
    <t>76298366</t>
  </si>
  <si>
    <t>MALDONADO BARJA, NICOL STEFANY</t>
  </si>
  <si>
    <t>46829935</t>
  </si>
  <si>
    <t>ALVARADO CHUQUIPOMA, O'BRIAN DONOVAN</t>
  </si>
  <si>
    <t>72439744</t>
  </si>
  <si>
    <t>QUINTANA LORENZO, ALFREDO GONZALO</t>
  </si>
  <si>
    <t>03504701</t>
  </si>
  <si>
    <t>PARDO INFANTE, JOHNNY MARTIN</t>
  </si>
  <si>
    <t>75851927</t>
  </si>
  <si>
    <t>IZAGUIRRE BENDEZU, PABLO BENJAMIN</t>
  </si>
  <si>
    <t>72623787</t>
  </si>
  <si>
    <t>SUAREZ MURILLO, JAIRO LENNYN</t>
  </si>
  <si>
    <t>03691915</t>
  </si>
  <si>
    <t xml:space="preserve">YPANAQUE DIOSES, JUAN CARLOS </t>
  </si>
  <si>
    <t>70059143</t>
  </si>
  <si>
    <t>MOGOLLON RONDOY, EDDY XAVIER</t>
  </si>
  <si>
    <t>71283419</t>
  </si>
  <si>
    <t>TORRES DE LA CRUZ, VLADIMIR</t>
  </si>
  <si>
    <t>76024497</t>
  </si>
  <si>
    <t>CHIPANI VALENCIA, NICOLAS ALONSO</t>
  </si>
  <si>
    <t>72171923</t>
  </si>
  <si>
    <t>CRUZ BALLARDO, BRAULI YEFER</t>
  </si>
  <si>
    <t>76064516</t>
  </si>
  <si>
    <t>URRESTTY PEREZ, CHRISTIAN</t>
  </si>
  <si>
    <t>80629335</t>
  </si>
  <si>
    <t>SANCHEZ PEREZ, EVERLIN MILTON</t>
  </si>
  <si>
    <t>46373209</t>
  </si>
  <si>
    <t>MONTERO SAUCEDO, OCLANDER</t>
  </si>
  <si>
    <t>72239673</t>
  </si>
  <si>
    <t>CAMARENA PARCO, JHON HEINZ</t>
  </si>
  <si>
    <t>10437468</t>
  </si>
  <si>
    <t>HUAYPAR HUAYTA, RAÚL</t>
  </si>
  <si>
    <t>46813942</t>
  </si>
  <si>
    <t>AGUILAR GUAYAC, JUAN ANTONIO</t>
  </si>
  <si>
    <t>48847196</t>
  </si>
  <si>
    <t>ANCHANTE FIGUEROA, MÁXIMO JUNIOR</t>
  </si>
  <si>
    <t>76520327</t>
  </si>
  <si>
    <t xml:space="preserve">HUARI DURAND, CRISTHIAN RUBER </t>
  </si>
  <si>
    <t>48625968</t>
  </si>
  <si>
    <t>IPURRE CRISANTE, MANUEL ALBERTO</t>
  </si>
  <si>
    <t>75463985</t>
  </si>
  <si>
    <t>PALMA BARRENECHEA, LINCOLN JHON</t>
  </si>
  <si>
    <t>72077777</t>
  </si>
  <si>
    <t>SIERRA SAMILLAN, JOHAN PIERO</t>
  </si>
  <si>
    <t>74906452</t>
  </si>
  <si>
    <t xml:space="preserve">ESPINOZA MATEO, JUAN DE DIOS </t>
  </si>
  <si>
    <t>48106585</t>
  </si>
  <si>
    <t>ANDIA ROMERO, EDUARDO AGUSTIN</t>
  </si>
  <si>
    <t>70150642</t>
  </si>
  <si>
    <t>MANYARI MALLMA, PAUL JHANCARLOS</t>
  </si>
  <si>
    <t>42082774</t>
  </si>
  <si>
    <t xml:space="preserve">RODRÍGUEZ SALAZAR, VÍCTOR ANTONIO </t>
  </si>
  <si>
    <t>70107379</t>
  </si>
  <si>
    <t>OROPEZA BORJA, ELIAS PAUL</t>
  </si>
  <si>
    <t>47430740</t>
  </si>
  <si>
    <t>HUACCOTO GOIZUETA, LUDVING DANIEL</t>
  </si>
  <si>
    <t>44578227</t>
  </si>
  <si>
    <t>REYES CHILET, CHARLY JHONY</t>
  </si>
  <si>
    <t>43320571</t>
  </si>
  <si>
    <t>JIMENEZ TINEO, DANIEL ALCIDES</t>
  </si>
  <si>
    <t>71263711</t>
  </si>
  <si>
    <t xml:space="preserve">BRAVO VALLEJOS, DIEGO ALONSO </t>
  </si>
  <si>
    <t>71435293</t>
  </si>
  <si>
    <t>BARRENA ORDINOLA, MARIO ANGEL</t>
  </si>
  <si>
    <t>71696041</t>
  </si>
  <si>
    <t>CANDIA CORDERO, ANDREA CECILIA</t>
  </si>
  <si>
    <t>40877525</t>
  </si>
  <si>
    <t>ZANELLI RUIZ, MICHELL ROBERT</t>
  </si>
  <si>
    <t>76042289</t>
  </si>
  <si>
    <t>HURTADO YUPANQUI, KATHERINE</t>
  </si>
  <si>
    <t>77322414</t>
  </si>
  <si>
    <t>ESQUECHE GALÁN, JESUS ALEXSANDER</t>
  </si>
  <si>
    <t>70111572</t>
  </si>
  <si>
    <t xml:space="preserve">ALARCON GUERRA, ANTHONY ROBERTH </t>
  </si>
  <si>
    <t>72966796</t>
  </si>
  <si>
    <t>CALLA BEGAZO, JHON GABRIEL</t>
  </si>
  <si>
    <t>70387376</t>
  </si>
  <si>
    <t>MARTINEZ HUAMANI, BRYAN ALDAIR</t>
  </si>
  <si>
    <t>76360073</t>
  </si>
  <si>
    <t>PUMASUPA ARCE, BRYAN ANTONIO</t>
  </si>
  <si>
    <t>71985260</t>
  </si>
  <si>
    <t>CARHUA ALANIA, CAYO YOSMIL</t>
  </si>
  <si>
    <t>42765233</t>
  </si>
  <si>
    <t>QUISPE MENDOZA, JOHAN PAUL</t>
  </si>
  <si>
    <t>44454272</t>
  </si>
  <si>
    <t>OLAYA ALVARADO, JOHN YEISON</t>
  </si>
  <si>
    <t>70262435</t>
  </si>
  <si>
    <t xml:space="preserve">PORTAL GIRON, JERIN LYNCOLNS </t>
  </si>
  <si>
    <t>74171460</t>
  </si>
  <si>
    <t xml:space="preserve">SANCHEZ VARGAS, JOSE ANTONIO </t>
  </si>
  <si>
    <t>74093522</t>
  </si>
  <si>
    <t>RAMOS DÁVILA, ROGER ALDAIR</t>
  </si>
  <si>
    <t>08058783</t>
  </si>
  <si>
    <t>RABANAL CHAVEZ, CARLOS ENRIQUE</t>
  </si>
  <si>
    <t>42370205</t>
  </si>
  <si>
    <t>HUAMAN MENDEZ, REX RENE</t>
  </si>
  <si>
    <t>75143039</t>
  </si>
  <si>
    <t>RODRIGUEZ CUBA, FREDY ALFREDO</t>
  </si>
  <si>
    <t>47290444</t>
  </si>
  <si>
    <t>LIMA SIME, GUSTAVO BARTOLOMÉ</t>
  </si>
  <si>
    <t>09603303</t>
  </si>
  <si>
    <t>VASQUEZ ESCALANTE, JORGE LUIS</t>
  </si>
  <si>
    <t>43680818</t>
  </si>
  <si>
    <t>CONDORI CAMA, VICTOR LUIS</t>
  </si>
  <si>
    <t>74700803</t>
  </si>
  <si>
    <t>LUNA AGUILAR, DANTE JEAN FRANCO</t>
  </si>
  <si>
    <t>21128474</t>
  </si>
  <si>
    <t>ESPEJO ROJAS, JORDAN WILSON</t>
  </si>
  <si>
    <t>43004942</t>
  </si>
  <si>
    <t xml:space="preserve">GARAYCOCHEA ASENJO, TXIKI XAVIER </t>
  </si>
  <si>
    <t>71854400</t>
  </si>
  <si>
    <t xml:space="preserve">ELIAS PARIÑAS, ERICK ALEXANDER </t>
  </si>
  <si>
    <t>72776131</t>
  </si>
  <si>
    <t>AVALOS CHIZA, JOSE ARMANDO</t>
  </si>
  <si>
    <t>73374504</t>
  </si>
  <si>
    <t xml:space="preserve">GONZALES COVEÑAS, JUNIOR OMAR </t>
  </si>
  <si>
    <t>47460943</t>
  </si>
  <si>
    <t>LOAYZA LLANOS, JOSÉ WILDER</t>
  </si>
  <si>
    <t>76815117</t>
  </si>
  <si>
    <t>VARGAS AQUIJES, RODOLFO SONY</t>
  </si>
  <si>
    <t>62256198</t>
  </si>
  <si>
    <t>JULCAHUANCA SAAVEDRA, JOSÉ FRANCISCO</t>
  </si>
  <si>
    <t>78720497</t>
  </si>
  <si>
    <t>ROSALES RAMOS, LUIS FERNANDO</t>
  </si>
  <si>
    <t>70313163</t>
  </si>
  <si>
    <t>TORO CHANG, CESAR HUMBERTO</t>
  </si>
  <si>
    <t>70622532</t>
  </si>
  <si>
    <t>MALCA QUIROZ, JEAN CARLOS</t>
  </si>
  <si>
    <t>60960830</t>
  </si>
  <si>
    <t>PEREZ RAMOS, JEAN CARLO</t>
  </si>
  <si>
    <t>09725249</t>
  </si>
  <si>
    <t>KARI OCHOA, GILMER JESUS</t>
  </si>
  <si>
    <t>40353690</t>
  </si>
  <si>
    <t>DELGADO VIGO, OSCAR WILLY</t>
  </si>
  <si>
    <t>45459960</t>
  </si>
  <si>
    <t>AYALA YAURI, DAVID</t>
  </si>
  <si>
    <t>72206132</t>
  </si>
  <si>
    <t xml:space="preserve">HOLGUIN JIMENEZ, ADRIAN IBRAIN </t>
  </si>
  <si>
    <t>42520934</t>
  </si>
  <si>
    <t>MALPARTIDA RAMOS, EDGARD FELIPE</t>
  </si>
  <si>
    <t>70321829</t>
  </si>
  <si>
    <t>VENERO CORNEJO, JEAN CARLO</t>
  </si>
  <si>
    <t>73123785</t>
  </si>
  <si>
    <t>NUNURA JARAMILLO, ANGEL EDUARDO</t>
  </si>
  <si>
    <t>46885808</t>
  </si>
  <si>
    <t>GARCÍA GUTIÉRREZ, MARCO ANTONIO JUSTO</t>
  </si>
  <si>
    <t>41619909</t>
  </si>
  <si>
    <t>MENDOZA MENDOZA, LUIS ANGEL</t>
  </si>
  <si>
    <t>76229793</t>
  </si>
  <si>
    <t>ESPINO ANCHANTE, JESUS ALEXANDER</t>
  </si>
  <si>
    <t>72043515</t>
  </si>
  <si>
    <t>PARIONA ROJAS, EDISON ELVIS</t>
  </si>
  <si>
    <t>74900124</t>
  </si>
  <si>
    <t>PARRA ARBOLEDA, ENRIQUE ALEJANDRO</t>
  </si>
  <si>
    <t>46582543</t>
  </si>
  <si>
    <t xml:space="preserve">ALCEDO CAMACHO, RODOLFO UBER </t>
  </si>
  <si>
    <t>43163792</t>
  </si>
  <si>
    <t>SALDARRIAGA MONTEALBAN, JUAN MANUEL</t>
  </si>
  <si>
    <t>75553847</t>
  </si>
  <si>
    <t>VALDIVIEZO SAONA, ALESSANDRO RAMON</t>
  </si>
  <si>
    <t>47573952</t>
  </si>
  <si>
    <t xml:space="preserve">TINCO PARINA, RUBEN DAVID </t>
  </si>
  <si>
    <t>74762529</t>
  </si>
  <si>
    <t>MENDOZA BUSTAMANTE, CYNTHIA MAYELY</t>
  </si>
  <si>
    <t>46852385</t>
  </si>
  <si>
    <t>VIDAL BUIZA, JUAN CARLOS</t>
  </si>
  <si>
    <t>73900419</t>
  </si>
  <si>
    <t>PUCUHUAYLA ORIHUELA, JORGE LUIS</t>
  </si>
  <si>
    <t>47407058</t>
  </si>
  <si>
    <t>PISCO VERASTEGUI, MARIO ANTONIO</t>
  </si>
  <si>
    <t>73353154</t>
  </si>
  <si>
    <t>BECERRA CORONADO, SAÚL</t>
  </si>
  <si>
    <t>62356089</t>
  </si>
  <si>
    <t>GAMARRA MORALES, EDISON</t>
  </si>
  <si>
    <t>42785949</t>
  </si>
  <si>
    <t>ALFARO RIVERA, ALVARO ROLANDO</t>
  </si>
  <si>
    <t>46592096</t>
  </si>
  <si>
    <t>CALSIN TICONA, LUIS JUNIOR</t>
  </si>
  <si>
    <t>73122116</t>
  </si>
  <si>
    <t>PAREDES LAMA, CARLOS ALEJANDRO</t>
  </si>
  <si>
    <t>75428509</t>
  </si>
  <si>
    <t>QUISPE CORRALES, RENZO</t>
  </si>
  <si>
    <t>72792670</t>
  </si>
  <si>
    <t>TORPOCO ROJAS, WILLIAM ANDRES</t>
  </si>
  <si>
    <t>74490011</t>
  </si>
  <si>
    <t>ABAD NAVARRO, PAULO CESAR</t>
  </si>
  <si>
    <t>73508064</t>
  </si>
  <si>
    <t>CURO CAMPOS, MARCO ANTONIO</t>
  </si>
  <si>
    <t>71754097</t>
  </si>
  <si>
    <t>RUIZ JUAREZ, ANTHONY JOEL</t>
  </si>
  <si>
    <t>47497897</t>
  </si>
  <si>
    <t>CHUQUIHUANGA SAAVEDRA, ELEAZAR</t>
  </si>
  <si>
    <t>74641578</t>
  </si>
  <si>
    <t>POMA SALAS, MOISES AARON</t>
  </si>
  <si>
    <t>47054107</t>
  </si>
  <si>
    <t>BENITES CHIROQUE, SAULO SAUL</t>
  </si>
  <si>
    <t>73193399</t>
  </si>
  <si>
    <t>SAAVEDRA YOVERA, MARCO</t>
  </si>
  <si>
    <t>72316852</t>
  </si>
  <si>
    <t>ATAUCUSI ABARCA, ALVARO HENRY</t>
  </si>
  <si>
    <t>005905582</t>
  </si>
  <si>
    <t>LEDEZMA NAVARRO, LUIS</t>
  </si>
  <si>
    <t>75357838</t>
  </si>
  <si>
    <t>URTECHO CASTRO, ALEXANDER</t>
  </si>
  <si>
    <t>73858226</t>
  </si>
  <si>
    <t>ROMAN HUACHOHUILLCA, LAURA</t>
  </si>
  <si>
    <t>71914391</t>
  </si>
  <si>
    <t>CONDORCAHUANA CONDORCAHUANA, FREDY</t>
  </si>
  <si>
    <t>71502476</t>
  </si>
  <si>
    <t xml:space="preserve">CHUNGA SHIMOKAWA, DIEGO ALFONSO </t>
  </si>
  <si>
    <t>72857265</t>
  </si>
  <si>
    <t>CARHUANCHO ALMANZA, DANIEL JUSTO</t>
  </si>
  <si>
    <t>71419289</t>
  </si>
  <si>
    <t>LLANOS AGUILAR, ALAN JEAN PIERRE</t>
  </si>
  <si>
    <t>42013908</t>
  </si>
  <si>
    <t>MAGUIÑA MALDONADO, EFRAIN AQUILES</t>
  </si>
  <si>
    <t>74994958</t>
  </si>
  <si>
    <t>VILLEGAS MENDOZA, JOSE ERARDO</t>
  </si>
  <si>
    <t>00126496</t>
  </si>
  <si>
    <t>GUERE DAGA, SAUL</t>
  </si>
  <si>
    <t>72243976</t>
  </si>
  <si>
    <t>HUAMAN CABRERA, RODRIGO MICHEL</t>
  </si>
  <si>
    <t>75081363</t>
  </si>
  <si>
    <t>DAORTA ROJAS, ALVARO SEBASTIÁN</t>
  </si>
  <si>
    <t>10662442</t>
  </si>
  <si>
    <t>MEZA NANO, DEYVI YULI</t>
  </si>
  <si>
    <t>74533802</t>
  </si>
  <si>
    <t>VELÁSQUEZ PARIONA, GIAN CARLO</t>
  </si>
  <si>
    <t>76077072</t>
  </si>
  <si>
    <t>PAYAJO HERRERA, JONATHAN</t>
  </si>
  <si>
    <t>77464512</t>
  </si>
  <si>
    <t>SERON SANABRIA, ANTHONY EDUARDO</t>
  </si>
  <si>
    <t>73018898</t>
  </si>
  <si>
    <t xml:space="preserve">PASACHE SANDOVAL, EDINSON IVAN </t>
  </si>
  <si>
    <t>75831113</t>
  </si>
  <si>
    <t>VILCHERRES GARCÉS, AARON</t>
  </si>
  <si>
    <t>48060004</t>
  </si>
  <si>
    <t>CARHUAS GASPAR, JOEL ALBERTO</t>
  </si>
  <si>
    <t>61554809</t>
  </si>
  <si>
    <t>BALDEON INGA, ELMER JESUS</t>
  </si>
  <si>
    <t>76635820</t>
  </si>
  <si>
    <t>SANTIAGO MOGOLLON, ANDERSON MIGUEL</t>
  </si>
  <si>
    <t>42738226</t>
  </si>
  <si>
    <t>RUESTA SANDOVAL, JULIO RAMIRO</t>
  </si>
  <si>
    <t>76553052</t>
  </si>
  <si>
    <t>SAMANIEGO PIZARRO, ANTHONY ALEXANDER</t>
  </si>
  <si>
    <t>ALCALA GALLARDO, JOSE VICTOR MARTIN</t>
  </si>
  <si>
    <t>CARMONA MOGOLLÓN, JOHAN ALDHAIR</t>
  </si>
  <si>
    <t>MARIN PIZANGO, GUILLERMO HARY</t>
  </si>
  <si>
    <t>72223894</t>
  </si>
  <si>
    <t>HUAMAN CASTRO, FRANCISCO EDUARDO</t>
  </si>
  <si>
    <t>70317411</t>
  </si>
  <si>
    <t>RAMOS PEREDA, GIANMARCO ANTONY</t>
  </si>
  <si>
    <t>72838897</t>
  </si>
  <si>
    <t>VARGAS CUADROS, JOSSLY PAUL</t>
  </si>
  <si>
    <t>44028454</t>
  </si>
  <si>
    <t>QUIROZ ROJAS, CESAR</t>
  </si>
  <si>
    <t>76508212</t>
  </si>
  <si>
    <t>ORIONDO DE LA CRUZ, FABRICIO</t>
  </si>
  <si>
    <t>46229768</t>
  </si>
  <si>
    <t>RIOS GARAY, ANTONIO DAVID</t>
  </si>
  <si>
    <t>72941031</t>
  </si>
  <si>
    <t>HUANCA CASTILLO, CARLOS ALEJANDRO</t>
  </si>
  <si>
    <t>71085374</t>
  </si>
  <si>
    <t>QUISPE CARDENAS, ROMULO</t>
  </si>
  <si>
    <t>75598100</t>
  </si>
  <si>
    <t>SANTIVAÑEZ ZACARIAS, JHANCARLOS ANDRÉS</t>
  </si>
  <si>
    <t>75396403</t>
  </si>
  <si>
    <t>MENDO CASTAÑEDA, EDUARDO FRANCO</t>
  </si>
  <si>
    <t>76188068</t>
  </si>
  <si>
    <t>CAPCHA APAZA, LUIS</t>
  </si>
  <si>
    <t>74737996</t>
  </si>
  <si>
    <t>RONDON CHAVEZ, GREGORIO JAMPIER</t>
  </si>
  <si>
    <t>77491958</t>
  </si>
  <si>
    <t>COLLAZOS ZACARIAS, OWENH HIPOLITO</t>
  </si>
  <si>
    <t>73527165</t>
  </si>
  <si>
    <t>VIRREYRA PREIS, RODRIGO DIEGO</t>
  </si>
  <si>
    <t>70093793</t>
  </si>
  <si>
    <t>QUISPE HUAMAN, JESUS YONY</t>
  </si>
  <si>
    <t>72634536</t>
  </si>
  <si>
    <t xml:space="preserve">QUISPE LUNA, LEMNIS LINO </t>
  </si>
  <si>
    <t>46858864</t>
  </si>
  <si>
    <t>ARANDA TIPISMANA, EBERTH OMAR</t>
  </si>
  <si>
    <t>76350192</t>
  </si>
  <si>
    <t>COAQUIRA PACCORI, DIEGO DOUGLAS</t>
  </si>
  <si>
    <t>70666387</t>
  </si>
  <si>
    <t>GARCIA SINCHE, JAIME FERNANDO</t>
  </si>
  <si>
    <t>74715476</t>
  </si>
  <si>
    <t>HURTADO FARIAS, ADRIANA LUCIA</t>
  </si>
  <si>
    <t>75391800</t>
  </si>
  <si>
    <t>SEMINARIO SILVA, JULIO ALEXANDER</t>
  </si>
  <si>
    <t>09572369</t>
  </si>
  <si>
    <t>VILLA ZORRILLA, ALEJANDRO MARTIN</t>
  </si>
  <si>
    <t>76681205</t>
  </si>
  <si>
    <t>ORELLANA SURCO, GABRIEL OSWALDO</t>
  </si>
  <si>
    <t>44229927</t>
  </si>
  <si>
    <t>PEREZ PAREDES, EDWAR YSRAEL</t>
  </si>
  <si>
    <t>06671306</t>
  </si>
  <si>
    <t>VASQUEZ RIMARACHIN, ELMER</t>
  </si>
  <si>
    <t>70218131</t>
  </si>
  <si>
    <t>QUINCHO ABAD, JOSÉ MIGUEL</t>
  </si>
  <si>
    <t>41361657</t>
  </si>
  <si>
    <t>CANO RAMIREZ, MARCO ANTONIO</t>
  </si>
  <si>
    <t>44921398</t>
  </si>
  <si>
    <t>MORALES CHINGUEL, MIGUEL GUILLERMO</t>
  </si>
  <si>
    <t>74983073</t>
  </si>
  <si>
    <t>DUEÑAS CHOQUE, RODRIGO MARCEL</t>
  </si>
  <si>
    <t>70763976</t>
  </si>
  <si>
    <t>MACHUCA VARGAS, JULIO CESAR</t>
  </si>
  <si>
    <t>72460577</t>
  </si>
  <si>
    <t>AGUILAR VASQUEZ, ALAMIRO</t>
  </si>
  <si>
    <t>70103445</t>
  </si>
  <si>
    <t>CHINO GRANDEZ, WILLIAN FRANS</t>
  </si>
  <si>
    <t>73872493</t>
  </si>
  <si>
    <t xml:space="preserve">PEREZ FIGUEROA, CRISTHIAN MICHELL </t>
  </si>
  <si>
    <t>74318723</t>
  </si>
  <si>
    <t>DIAZ VILLEGAS, ANDERSON BRANDOM</t>
  </si>
  <si>
    <t>41844387</t>
  </si>
  <si>
    <t xml:space="preserve">MINCHOLA ZAVALA, GILMER JAVIER </t>
  </si>
  <si>
    <t>73449345</t>
  </si>
  <si>
    <t>ALARCON ZANABRIA, JERSON JAIR</t>
  </si>
  <si>
    <t>72980861</t>
  </si>
  <si>
    <t xml:space="preserve">ALVARO GUTIERREZ, NILTON ALEXANDER JEAN PIER </t>
  </si>
  <si>
    <t>78968955</t>
  </si>
  <si>
    <t>BAUTISTA CUSMA, ELCER</t>
  </si>
  <si>
    <t>47117604</t>
  </si>
  <si>
    <t xml:space="preserve">PAUCAR ALDANA, CARLOS FERNANDO </t>
  </si>
  <si>
    <t>40749734</t>
  </si>
  <si>
    <t>REQUEJO ROJAS, NILTON CÉSAR</t>
  </si>
  <si>
    <t>42442494</t>
  </si>
  <si>
    <t>MENDOZA ALVARADO, JOHAN CARLO</t>
  </si>
  <si>
    <t>75443859</t>
  </si>
  <si>
    <t>ATOCHE VINCES, JERCY ARMANDO</t>
  </si>
  <si>
    <t>70970251</t>
  </si>
  <si>
    <t>CHUNGA RUIZ, ELVIS GEANMARCO</t>
  </si>
  <si>
    <t>70486874</t>
  </si>
  <si>
    <t>QUIROZ VASQUEZ, CHRISTOPHER BRYAN</t>
  </si>
  <si>
    <t>73245944</t>
  </si>
  <si>
    <t>RAMIREZ SEGOVIA, ITHER ALVARO</t>
  </si>
  <si>
    <t>42628404</t>
  </si>
  <si>
    <t>ALCANTARA ROJAS, JULIO CESAR</t>
  </si>
  <si>
    <t>70836884</t>
  </si>
  <si>
    <t>GALLO ZAPATA, EMILIO ALBERTO</t>
  </si>
  <si>
    <t>73992875</t>
  </si>
  <si>
    <t>MIRANDA VELEZ, CALEB ISMAEL</t>
  </si>
  <si>
    <t>71450988</t>
  </si>
  <si>
    <t>HUAMANI CALLOSANI, FRAY HECTOR</t>
  </si>
  <si>
    <t>47496281</t>
  </si>
  <si>
    <t>LECCA TAPIA, ADOLFO TITO</t>
  </si>
  <si>
    <t>74119665</t>
  </si>
  <si>
    <t>FERNANDEZ ATAMARI, CRISTHIAN ALEXANDER</t>
  </si>
  <si>
    <t xml:space="preserve">76185474 </t>
  </si>
  <si>
    <t>SANTOS SANTOS, LUZGARDO BLADIMIR</t>
  </si>
  <si>
    <t>73420512</t>
  </si>
  <si>
    <t>ROJAS CHOQUE, YIMI JEFFERSON</t>
  </si>
  <si>
    <t>74163049</t>
  </si>
  <si>
    <t>TURPO CONDORI, JULVER</t>
  </si>
  <si>
    <t>74077488</t>
  </si>
  <si>
    <t>URIARTE RAMOS, AXEL</t>
  </si>
  <si>
    <t>70412935</t>
  </si>
  <si>
    <t>MONTES BEJAR, CHRISTIAN ROBERTO</t>
  </si>
  <si>
    <t>74459980</t>
  </si>
  <si>
    <t>CASTAÑEDA MEZA, JUAN ISAI</t>
  </si>
  <si>
    <t>70172100</t>
  </si>
  <si>
    <t>ACOSTA TORRES, JULIO CESAR</t>
  </si>
  <si>
    <t>74995248</t>
  </si>
  <si>
    <t>CRUZ GONZALES, YORK ALEXANDER</t>
  </si>
  <si>
    <t>46516343</t>
  </si>
  <si>
    <t>CONDE ARCE, JOB ESTEBAN</t>
  </si>
  <si>
    <t>74618733</t>
  </si>
  <si>
    <t>RAMOS NAVARRO, MOISES NEHEMIAS</t>
  </si>
  <si>
    <t>47916517</t>
  </si>
  <si>
    <t>MONTALVAN YAHUARA, DENIS_x000D_</t>
  </si>
  <si>
    <t>77131717</t>
  </si>
  <si>
    <t>VICUÑA CAJAHUANCA, MANUEL FRANCISCO</t>
  </si>
  <si>
    <t>71935584</t>
  </si>
  <si>
    <t>HUAMAN CABALLON, LUIS FERNANDO</t>
  </si>
  <si>
    <t>45599405</t>
  </si>
  <si>
    <t>ÑIHUIN HERRERA, EDWIN RODRIGO</t>
  </si>
  <si>
    <t>72645782</t>
  </si>
  <si>
    <t>SUAREZ DELGADO, MIGUEL ANGEL</t>
  </si>
  <si>
    <t>72220834</t>
  </si>
  <si>
    <t>MENDOZA DIAZ, JUNIOR MELANIO</t>
  </si>
  <si>
    <t>40800480</t>
  </si>
  <si>
    <t xml:space="preserve">CAMPOS PONCE, HANS JAIRS </t>
  </si>
  <si>
    <t>48472896</t>
  </si>
  <si>
    <t>ARROYO MORALES, EDGAR YHORDI</t>
  </si>
  <si>
    <t>73759182</t>
  </si>
  <si>
    <t>DUEÑAS HUAYAMA, MAURICIO JESUS</t>
  </si>
  <si>
    <t>47696895</t>
  </si>
  <si>
    <t>OBLEA CHERO, VICTOR RAUL</t>
  </si>
  <si>
    <t>72677707</t>
  </si>
  <si>
    <t>HURTADO ALCANTARA, JORGE JAIR</t>
  </si>
  <si>
    <t>46980059</t>
  </si>
  <si>
    <t>LAURA TOSCANO, YEFFERSON PIERRE</t>
  </si>
  <si>
    <t>44232043</t>
  </si>
  <si>
    <t>VITE CELEDONIO, PEDRO MANUEL</t>
  </si>
  <si>
    <t>75469898</t>
  </si>
  <si>
    <t>ZEVALLOS RAMOS, MICHAEL SMITH</t>
  </si>
  <si>
    <t>74095638</t>
  </si>
  <si>
    <t xml:space="preserve">FERNANDEZ VILLEGAS, MARCELO </t>
  </si>
  <si>
    <t>48279915</t>
  </si>
  <si>
    <t>IPANAQUE TUÑOQUE, JESUS ALBERTO</t>
  </si>
  <si>
    <t>73530871</t>
  </si>
  <si>
    <t>HINOJOSA ORDOÑEZ, DIEGO ALVARO</t>
  </si>
  <si>
    <t>74810766</t>
  </si>
  <si>
    <t>CACERES ANGELES, ANGEL NILTON</t>
  </si>
  <si>
    <t>75164658</t>
  </si>
  <si>
    <t>DAVALOS GALICIA, ROMAY BRYAN</t>
  </si>
  <si>
    <t>72794468</t>
  </si>
  <si>
    <t>ARIAS PANEBRA, CARLOS ANTONIO</t>
  </si>
  <si>
    <t>74299254</t>
  </si>
  <si>
    <t>ALVARADO MEDINA, RODRIGO ENRIQUE</t>
  </si>
  <si>
    <t>16563357</t>
  </si>
  <si>
    <t>GALLEGOS ABAD, GEYNER</t>
  </si>
  <si>
    <t>72945652</t>
  </si>
  <si>
    <t>VIERA GARRIDO, GUSTAVO ERNESTO</t>
  </si>
  <si>
    <t>74730082</t>
  </si>
  <si>
    <t>BEDOYA PIANO, ALEX JERRY</t>
  </si>
  <si>
    <t>48174765</t>
  </si>
  <si>
    <t>MORE VILLEGAS, EDGAR IVAN</t>
  </si>
  <si>
    <t>74720095</t>
  </si>
  <si>
    <t>VASQUEZ GARCIA, FERNANDO JOEL</t>
  </si>
  <si>
    <t>72387145</t>
  </si>
  <si>
    <t>VELIZ LIZARRAGA, CRISTOFER</t>
  </si>
  <si>
    <t>78623521</t>
  </si>
  <si>
    <t>NEYRA GOMEZ, HENRY</t>
  </si>
  <si>
    <t>71746787</t>
  </si>
  <si>
    <t>CORREA FIGUEROA, CESAR ISRAEL</t>
  </si>
  <si>
    <t>70881220</t>
  </si>
  <si>
    <t>CHAVEZ AYALA, WALTER ADRIAN</t>
  </si>
  <si>
    <t>75151602</t>
  </si>
  <si>
    <t>RODRIGUEZ MAMANI, WILBER</t>
  </si>
  <si>
    <t>70175057</t>
  </si>
  <si>
    <t>PEREZ ALBINO, WILDER VICTOR</t>
  </si>
  <si>
    <t>44841695</t>
  </si>
  <si>
    <t>ORTIZ DE LA CRUZ, HIVAR LEONIDES</t>
  </si>
  <si>
    <t>72427914</t>
  </si>
  <si>
    <t>GUILLEN TUBILLAS, JUAN DANIEL</t>
  </si>
  <si>
    <t>72547482</t>
  </si>
  <si>
    <t>FLORES ACUÑA, IAN ANTHONY</t>
  </si>
  <si>
    <t>75697071</t>
  </si>
  <si>
    <t>BALDEON CANCHUMANYA, ANDRES YOSBALL</t>
  </si>
  <si>
    <t>72480766</t>
  </si>
  <si>
    <t>POCCO GOMEZ, CARLOS SIMON</t>
  </si>
  <si>
    <t>42122588</t>
  </si>
  <si>
    <t>OLIVA LEON, ERICK VLADIMIR</t>
  </si>
  <si>
    <t>71498135</t>
  </si>
  <si>
    <t>CARRERA CONTRERAS, CLAUDIA AMERICA ESTHER</t>
  </si>
  <si>
    <t>72863018</t>
  </si>
  <si>
    <t>TIMANA AGUIRRE, JOSE ROBERT</t>
  </si>
  <si>
    <t>62747680</t>
  </si>
  <si>
    <t>MAGUIÑA OSORIO, ANGELO</t>
  </si>
  <si>
    <t>73331711</t>
  </si>
  <si>
    <t>VASQUEZ LUERA, AQUILES REMIGIO</t>
  </si>
  <si>
    <t>76216049</t>
  </si>
  <si>
    <t>CHAVEZ CHALAN, FRANKLIN</t>
  </si>
  <si>
    <t>10035746</t>
  </si>
  <si>
    <t>GUTIERREZ RAMIREZ, MARTIN</t>
  </si>
  <si>
    <t>79469013</t>
  </si>
  <si>
    <t>CHOCCE BERMUDES, FLOR CARLA</t>
  </si>
  <si>
    <t>70102401</t>
  </si>
  <si>
    <t>QUISPE MAMANI, JOSE GERMAN</t>
  </si>
  <si>
    <t>72631147</t>
  </si>
  <si>
    <t xml:space="preserve">SOLANO ZAVALA, EVER JOSÉ MANUEL  </t>
  </si>
  <si>
    <t>CORREO</t>
  </si>
  <si>
    <t>jozevalentin26@gmail.com</t>
  </si>
  <si>
    <t>ederec150688@gmail.com</t>
  </si>
  <si>
    <t>jose_vilchezyovera@hotmail.com</t>
  </si>
  <si>
    <t>Covalopezjuliocesar51@gmail.com</t>
  </si>
  <si>
    <t>juarez.quijaite@gmail.com</t>
  </si>
  <si>
    <t>jespinozapampas@gmail.com</t>
  </si>
  <si>
    <t>henryortegatello@gmail.com</t>
  </si>
  <si>
    <t>wilfredoshar4@gmail.com</t>
  </si>
  <si>
    <t>alvaradosagitario1983@gmail.com</t>
  </si>
  <si>
    <t>jeffersojuniorgaticamozombite@gmail.com</t>
  </si>
  <si>
    <t>mike250892@gmail.com</t>
  </si>
  <si>
    <t>raultajadacaceres@gmail.com</t>
  </si>
  <si>
    <t>kevinramoschumbes@gmail.com</t>
  </si>
  <si>
    <t>torresbenitesjuancarlosivan@gmail.com</t>
  </si>
  <si>
    <t>felixaguuu@gmail.com</t>
  </si>
  <si>
    <t>calerolopezeulalio1523@gmail.com</t>
  </si>
  <si>
    <t>maguinalucio01@gmail.com</t>
  </si>
  <si>
    <t>apuppoch@gmail.com</t>
  </si>
  <si>
    <t>lenynprocabana999@gmail.com</t>
  </si>
  <si>
    <t>miguel_22_11_97@outlook.es</t>
  </si>
  <si>
    <t>bladimirmucha37@gmail.com</t>
  </si>
  <si>
    <t>Alexander.casqui@gmail.com</t>
  </si>
  <si>
    <t>jhanchipana70@gmail.com</t>
  </si>
  <si>
    <t>JA</t>
  </si>
  <si>
    <t>rivaldohuamanizaa@gmail.com</t>
  </si>
  <si>
    <t>rivascmaycolt@gmail.com</t>
  </si>
  <si>
    <t>davidm.lopezv@gmail.com</t>
  </si>
  <si>
    <t>jajokagames@gmail.com</t>
  </si>
  <si>
    <t>gilmarloaiza9@gmail.com</t>
  </si>
  <si>
    <t>gazmey75@gmail.com</t>
  </si>
  <si>
    <t>rcondormurrugarra@gmail.com</t>
  </si>
  <si>
    <t>jenrique.diazleon@gmail.com</t>
  </si>
  <si>
    <t>96julio.com@gmail.com</t>
  </si>
  <si>
    <t>davidcovat6@gmail.com</t>
  </si>
  <si>
    <t>luis.9970@hotmail.com</t>
  </si>
  <si>
    <t>jhanmartin0608@gmail.com</t>
  </si>
  <si>
    <t>augustomestanzat@gmail.com</t>
  </si>
  <si>
    <t>juliocba5@hotmail.com</t>
  </si>
  <si>
    <t>rojasipanaqueluis4@gmail.com</t>
  </si>
  <si>
    <t>gonzalez.antezana@gmail.com</t>
  </si>
  <si>
    <t>braampino@gmail.com</t>
  </si>
  <si>
    <t>wilmer.970586755@gmail.com</t>
  </si>
  <si>
    <t>torrejonterrerosj@gmail.com</t>
  </si>
  <si>
    <t>raul.huaypar.huayta@gmail.com</t>
  </si>
  <si>
    <t>espinozamateojuandedioa@gmail.com</t>
  </si>
  <si>
    <t>elias147borja@gmail.com</t>
  </si>
  <si>
    <t>daronielhg@hotmail.com</t>
  </si>
  <si>
    <t>diegobravo.2005680@gmail.com</t>
  </si>
  <si>
    <t>ivan.mauri1@hotmail.com</t>
  </si>
  <si>
    <t>michellzanelliruiz@gmail.com</t>
  </si>
  <si>
    <t>jhongabrielcallabegazo159@hotmail.com</t>
  </si>
  <si>
    <t>johanquispemendoza5@gmail.com</t>
  </si>
  <si>
    <t>john.olaya1987@gmail.com</t>
  </si>
  <si>
    <t>darwinllacri@gmail.com</t>
  </si>
  <si>
    <t>guillefom@gmail.com</t>
  </si>
  <si>
    <t>jesusoc.2412@gmail.com</t>
  </si>
  <si>
    <t>shinder.tlvv@gmail.com</t>
  </si>
  <si>
    <t>gustavokmmp26@hotmail.com</t>
  </si>
  <si>
    <t>jeanfrancoluna06@gmail.com</t>
  </si>
  <si>
    <t>junioromargonazlescovenas@gmail.com</t>
  </si>
  <si>
    <t>Joseloayzallanos92@gmail.com</t>
  </si>
  <si>
    <t>vargasaquijes44@gmail.com</t>
  </si>
  <si>
    <t>jeancarlosmalcaquiroz@gmail.com</t>
  </si>
  <si>
    <t>perezjeancarlosramos@gmail.com</t>
  </si>
  <si>
    <t>gilmerjesuskari@gmail.com</t>
  </si>
  <si>
    <t>nunjar08@gmail.com</t>
  </si>
  <si>
    <t>tecnicoalexan@gmail.com</t>
  </si>
  <si>
    <t>parionarojase@gmail.com</t>
  </si>
  <si>
    <t>parraarboledaenriquealejandro@gmail.com</t>
  </si>
  <si>
    <t>ualcedo.90@gmail.com</t>
  </si>
  <si>
    <t>juampi030985@gmail.com</t>
  </si>
  <si>
    <t>valdiviezosaonaramonalesaandro@gmail.com</t>
  </si>
  <si>
    <t>tomvidal91@gmail.com</t>
  </si>
  <si>
    <t>jorgeluispucuhuaylaorihuela@gmail.com</t>
  </si>
  <si>
    <t>gamarramorales10@gmail.com</t>
  </si>
  <si>
    <t> luis.calsin@tecsup.edu.pe</t>
  </si>
  <si>
    <t>gonzalesmazam@gmail.com</t>
  </si>
  <si>
    <t>renzo-20-1@hotmail.com</t>
  </si>
  <si>
    <t>wilver2014@hotmail.com</t>
  </si>
  <si>
    <t>andreswilly60@hotmail.com</t>
  </si>
  <si>
    <t>marco.curo@tecsup.edu.pe</t>
  </si>
  <si>
    <t>chuquihuangasaavedrae@gmail.com</t>
  </si>
  <si>
    <t>aronpomasalas@gmail.com</t>
  </si>
  <si>
    <t>s.saulbenites@gmail.com</t>
  </si>
  <si>
    <t>saavedramarco259@gmail.com</t>
  </si>
  <si>
    <t>ataucusiabarcaalvarohenry@gmail.com</t>
  </si>
  <si>
    <t>becerra_saul@hotmail.com'</t>
  </si>
  <si>
    <t>condorcahuanafredy77@gmail.com</t>
  </si>
  <si>
    <t>alchu238@gmail.com</t>
  </si>
  <si>
    <t>llanos28402@gmail.com</t>
  </si>
  <si>
    <t>aquilesefrain949@gmail.com</t>
  </si>
  <si>
    <t>arpalomino93@gmail.com</t>
  </si>
  <si>
    <t>saulgueredaga@gmail.com</t>
  </si>
  <si>
    <t>rh413430@gmail.com</t>
  </si>
  <si>
    <t>allvarodr07@gmail.com</t>
  </si>
  <si>
    <t>mezadeyvi689@gma¡l.com</t>
  </si>
  <si>
    <t>gian.velasquez@tecsup.edu.pe</t>
  </si>
  <si>
    <t>estefan_deimond@hotmail.com</t>
  </si>
  <si>
    <t>anthonysanabria03@gmail.com</t>
  </si>
  <si>
    <t>edinsonpasache16@gmail.com</t>
  </si>
  <si>
    <t>vilcherresgarcesaaron@gmail.com</t>
  </si>
  <si>
    <t>Joelcarhuasjcg@gmail.com</t>
  </si>
  <si>
    <t>elmerbaldeon0906@gmail.com</t>
  </si>
  <si>
    <t>anderson12feito@gmail.com</t>
  </si>
  <si>
    <t>ramirosandoval651@gmail.com</t>
  </si>
  <si>
    <t>ale.pirz.17@gmail.com</t>
  </si>
  <si>
    <t>hornabenitesvari@gmail.com</t>
  </si>
  <si>
    <t>Hmarinpizango@gmail.com</t>
  </si>
  <si>
    <t>quisperomulo.c@gmail.com</t>
  </si>
  <si>
    <t>franco.mendo2018@gmail.com</t>
  </si>
  <si>
    <t>jampier.senati@gmail.com</t>
  </si>
  <si>
    <t>rodrigo_diego24@hotmail.com</t>
  </si>
  <si>
    <t>tony.quispe19@gmail.com</t>
  </si>
  <si>
    <t>lemnisq@gmail.com</t>
  </si>
  <si>
    <t>aranda.sendo@gmail.com</t>
  </si>
  <si>
    <t xml:space="preserve">diego.coaquira07@hotmail.com </t>
  </si>
  <si>
    <t>gnando325@gmail.com</t>
  </si>
  <si>
    <t>edwar3615@gmail.com</t>
  </si>
  <si>
    <t xml:space="preserve">guimosac.34@gmail.com </t>
  </si>
  <si>
    <t>duenasrodri4@gmail.com</t>
  </si>
  <si>
    <t>Juliocesarmachucavargas2@gmail.com</t>
  </si>
  <si>
    <t>alamiroaguilar08@gmail.com</t>
  </si>
  <si>
    <t>willianchinograndez@outlook.es</t>
  </si>
  <si>
    <t>michell.cri.1811@gmail.com</t>
  </si>
  <si>
    <t>and.er4@hotmail.com</t>
  </si>
  <si>
    <t>Samti_2000@hotmail.com</t>
  </si>
  <si>
    <t>Alvar777alex@gmail.com</t>
  </si>
  <si>
    <t>Bautistaelcer@gmail.com</t>
  </si>
  <si>
    <t>fernandopau_aldana@hotmail.com</t>
  </si>
  <si>
    <t>nrequejorojas@gmail.com</t>
  </si>
  <si>
    <t>Johan.05.27@hotmail.com</t>
  </si>
  <si>
    <t>jercy.19.atoche@gmail.com</t>
  </si>
  <si>
    <t>chungaruizelvis@gmail.com</t>
  </si>
  <si>
    <t>bryanquiroz42@gmail.com</t>
  </si>
  <si>
    <t>ither.ramirez@gmail.com</t>
  </si>
  <si>
    <t>barman3084@gmail.com</t>
  </si>
  <si>
    <t>calebmirandavelez@gmail.com</t>
  </si>
  <si>
    <t>adolfoleccat17@hotmail.com</t>
  </si>
  <si>
    <t>cristhian.fernandez@tecsup.edu.pe</t>
  </si>
  <si>
    <t>luzgardo.santos@hotmail.com</t>
  </si>
  <si>
    <t>rojaschoquey@gmail.com</t>
  </si>
  <si>
    <t>turpojul9@gmail.com</t>
  </si>
  <si>
    <t>york.alexander.31@gmail.com</t>
  </si>
  <si>
    <t>jobesteban.conde@gmail.com</t>
  </si>
  <si>
    <t>mismoises731@gmail.com</t>
  </si>
  <si>
    <t>demontalvan93@gmail.com</t>
  </si>
  <si>
    <t>manuel.vicuna@tecsup.edu.pe</t>
  </si>
  <si>
    <t>Siulfernandohc1999@gmail.com</t>
  </si>
  <si>
    <t>rodrigo_2854@hotmail.com</t>
  </si>
  <si>
    <t>miguel.suarez@tecsup.edu.pe</t>
  </si>
  <si>
    <t>juniormendozadiaz5@gmail.com</t>
  </si>
  <si>
    <t>hansjair1980@gmail.com</t>
  </si>
  <si>
    <t>yhordielunico@gmail.com</t>
  </si>
  <si>
    <t>mauriciojesusduenashuayama@gmail.com</t>
  </si>
  <si>
    <t>rauloblea@gmail.com</t>
  </si>
  <si>
    <t>industrialha@hotmail.com</t>
  </si>
  <si>
    <t>delpiero_yelato@hotmail.com</t>
  </si>
  <si>
    <t>Taller337@gmail.com</t>
  </si>
  <si>
    <t>marcelofervill@gmail.com</t>
  </si>
  <si>
    <t>jesusipanaque4991@gmail.com</t>
  </si>
  <si>
    <t>caceres.95a@outlook.com</t>
  </si>
  <si>
    <t>gbryanromay@gmail.com</t>
  </si>
  <si>
    <t>carlosantonioariaspanebra@gmail.com</t>
  </si>
  <si>
    <t>tavo_1193@hotmail.es</t>
  </si>
  <si>
    <t>bepiano97@gmail.com</t>
  </si>
  <si>
    <t>edgar.morevillegas@gmail.com</t>
  </si>
  <si>
    <t>vasquezgarcia0912@gmail.com</t>
  </si>
  <si>
    <t>velizlizarragac@gmail.com</t>
  </si>
  <si>
    <t>rasec.cf09@gmail.com</t>
  </si>
  <si>
    <t>achavezayala30@gmail.com</t>
  </si>
  <si>
    <t>wilderperezalbino4@gmail.com</t>
  </si>
  <si>
    <t>hivar.ortiz@hotmail.com</t>
  </si>
  <si>
    <t>superblaster.2017@gmail.com</t>
  </si>
  <si>
    <t>carlos.pg20@hotmail.com</t>
  </si>
  <si>
    <t>clau170195@gmail.com</t>
  </si>
  <si>
    <t>jose.timana.aguirre@gmail.com</t>
  </si>
  <si>
    <t>angelo.maguina@tecsup.edu.pe</t>
  </si>
  <si>
    <t>vasqz02@hotmail.com</t>
  </si>
  <si>
    <t>Franklincha68@gmail.com</t>
  </si>
  <si>
    <t>carlachoccebermudes@gmail.com</t>
  </si>
  <si>
    <t>jose_german_ypt@hotmail.com</t>
  </si>
  <si>
    <t>GENERO</t>
  </si>
  <si>
    <t>M</t>
  </si>
  <si>
    <t>F</t>
  </si>
  <si>
    <t>FECHA DE NACIMIENTO</t>
  </si>
  <si>
    <t>CENTRO DE COSTO PRINCIPAL</t>
  </si>
  <si>
    <t>NOMBRE CENTRO DE COSTO PRINCIPAL</t>
  </si>
  <si>
    <t>02G1001154</t>
  </si>
  <si>
    <t>GERENCIA GENERAL</t>
  </si>
  <si>
    <t>02A1112154</t>
  </si>
  <si>
    <t>TESORERIA LURIN</t>
  </si>
  <si>
    <t>02S0865154</t>
  </si>
  <si>
    <t>AREA TECNICA LURIN</t>
  </si>
  <si>
    <t>02A1109154</t>
  </si>
  <si>
    <t>SISTEMAS TI LURIN</t>
  </si>
  <si>
    <t>02A1104154</t>
  </si>
  <si>
    <t>SERVICIOS GENERALES LURIN</t>
  </si>
  <si>
    <t>02C1602200</t>
  </si>
  <si>
    <t>ADMINISTRACION DE SUCURSALES PIURA</t>
  </si>
  <si>
    <t>02C1602080</t>
  </si>
  <si>
    <t>ADMINISTRACION DE SUCURSALES CUSCO</t>
  </si>
  <si>
    <t>02S0869154</t>
  </si>
  <si>
    <t>TÉCNICOS B - CAMPO LURIN</t>
  </si>
  <si>
    <t>02O1303154</t>
  </si>
  <si>
    <t>COMPRAS LURIN</t>
  </si>
  <si>
    <t>02S0867040</t>
  </si>
  <si>
    <t>CAMPO AREQUIPA</t>
  </si>
  <si>
    <t>02S0869040</t>
  </si>
  <si>
    <t>TÉCNICOS B - CAMPO AREQUIPA</t>
  </si>
  <si>
    <t>02S0836040</t>
  </si>
  <si>
    <t>TÉCNICOS C - TALLER AREQUIPA</t>
  </si>
  <si>
    <t>02S0867154</t>
  </si>
  <si>
    <t>CAMPO LURIN</t>
  </si>
  <si>
    <t>02S0870200</t>
  </si>
  <si>
    <t>TÉCNICOS C - CAMPO PIURA</t>
  </si>
  <si>
    <t>02A1114154</t>
  </si>
  <si>
    <t>CRÉDITOS, COBRANZAS Y APALANCAMIENTO FINANCIERO</t>
  </si>
  <si>
    <t>02S0832200</t>
  </si>
  <si>
    <t>TALLER PIURA</t>
  </si>
  <si>
    <t>02S0835154</t>
  </si>
  <si>
    <t>TÉCNICOS B - TALLER LURIN</t>
  </si>
  <si>
    <t>02S0867200</t>
  </si>
  <si>
    <t>CAMPO PIURA</t>
  </si>
  <si>
    <t>02S0832080</t>
  </si>
  <si>
    <t>TALLER CUSCO</t>
  </si>
  <si>
    <t>02C1622080</t>
  </si>
  <si>
    <t>VENTA USADOS CUSCO</t>
  </si>
  <si>
    <t>02S0835040</t>
  </si>
  <si>
    <t>TÉCNICOS B - TALLER AREQUIPA</t>
  </si>
  <si>
    <t>02O0724152</t>
  </si>
  <si>
    <t>REPUESTOS LA VICTORIA</t>
  </si>
  <si>
    <t>02C1602040</t>
  </si>
  <si>
    <t>ADMINISTRACION DE SUCURSALES AREQUIPA</t>
  </si>
  <si>
    <t>02S0832154</t>
  </si>
  <si>
    <t>TALLER LURIN</t>
  </si>
  <si>
    <t>02O1382154</t>
  </si>
  <si>
    <t>GESTIÓN DE EQUIPOS Y CONTRATOS LURIN</t>
  </si>
  <si>
    <t>02C1463154</t>
  </si>
  <si>
    <t>ARRIENDO CONSTRUCCION LURIN</t>
  </si>
  <si>
    <t>02C1622154</t>
  </si>
  <si>
    <t>VENTA USADOS LURIN</t>
  </si>
  <si>
    <t>02E0865154</t>
  </si>
  <si>
    <t>02S080D154</t>
  </si>
  <si>
    <t>PLANEAMIENTO SERVICIO TECNICO LURIN</t>
  </si>
  <si>
    <t>02O1321080</t>
  </si>
  <si>
    <t>ALMACENAMIENTO CUSCO</t>
  </si>
  <si>
    <t>02O1305154</t>
  </si>
  <si>
    <t>DISTRIBUCIÓN LURIN</t>
  </si>
  <si>
    <t>02S0870154</t>
  </si>
  <si>
    <t>TÉCNICOS C - CAMPO LURIN</t>
  </si>
  <si>
    <t>02S0835080</t>
  </si>
  <si>
    <t>TÉCNICOS B - TALLER CUSCO</t>
  </si>
  <si>
    <t>02S0834200</t>
  </si>
  <si>
    <t>TÉCNICOS A - TALLER PIURA</t>
  </si>
  <si>
    <t>02S0869080</t>
  </si>
  <si>
    <t>TÉCNICOS B - CAMPO CUSCO</t>
  </si>
  <si>
    <t>02S0868040</t>
  </si>
  <si>
    <t>TÉCNICOS A - CAMPO AREQUIPA</t>
  </si>
  <si>
    <t>02S0840154</t>
  </si>
  <si>
    <t>TÉCNICOS I - TALLER LURIN</t>
  </si>
  <si>
    <t>02A1108154</t>
  </si>
  <si>
    <t>FINANZAS LURIN</t>
  </si>
  <si>
    <t>02C0163154</t>
  </si>
  <si>
    <t>ARRIENDO AGRICOLA LURIN</t>
  </si>
  <si>
    <t>02A1118154</t>
  </si>
  <si>
    <t>RECURSOS HUMANOS LURIN</t>
  </si>
  <si>
    <t>02O0724154</t>
  </si>
  <si>
    <t>REPUESTOS LURIN</t>
  </si>
  <si>
    <t>02C1463040</t>
  </si>
  <si>
    <t>ARRIENDO CONSTRUCCION AREQUIPA</t>
  </si>
  <si>
    <t>02A1162154</t>
  </si>
  <si>
    <t>PLANIFICACIÓN Y CONTROL LURIN</t>
  </si>
  <si>
    <t>02S0869200</t>
  </si>
  <si>
    <t>TÉCNICOS B - CAMPO PIURA</t>
  </si>
  <si>
    <t>02C0163200</t>
  </si>
  <si>
    <t>ARRIENDO AGRICOLA PIURA</t>
  </si>
  <si>
    <t>02O1306154</t>
  </si>
  <si>
    <t>SISTEMA INTEGRADO DE GESTION LURIN</t>
  </si>
  <si>
    <t>02O1398154</t>
  </si>
  <si>
    <t>VALORACION Y FACTURACION LURIN</t>
  </si>
  <si>
    <t>02S0867080</t>
  </si>
  <si>
    <t>CAMPO CUSCO</t>
  </si>
  <si>
    <t>02C0463154</t>
  </si>
  <si>
    <t>ARRIENDO ENERGIA LURIN</t>
  </si>
  <si>
    <t>02S0868200</t>
  </si>
  <si>
    <t>TÉCNICOS A - CAMPO PIURA</t>
  </si>
  <si>
    <t>02E0868040</t>
  </si>
  <si>
    <t>02E0868154</t>
  </si>
  <si>
    <t>TÉCNICOS A - CAMPO LURIN</t>
  </si>
  <si>
    <t>02S0868154</t>
  </si>
  <si>
    <t>02S0839154</t>
  </si>
  <si>
    <t>TÉCNICOS M - TALLER LURIN</t>
  </si>
  <si>
    <t>02A1107154</t>
  </si>
  <si>
    <t>CONTABILIDAD LURIN</t>
  </si>
  <si>
    <t>02O1321152</t>
  </si>
  <si>
    <t>ALMACENAMIENTO LA VICTORIA</t>
  </si>
  <si>
    <t>02O1311154</t>
  </si>
  <si>
    <t>INNOVACIÓN LURIN</t>
  </si>
  <si>
    <t>02O1321154</t>
  </si>
  <si>
    <t>ALMACENAMIENTO LURIN</t>
  </si>
  <si>
    <t>02C1320080</t>
  </si>
  <si>
    <t>LOGISTICA CUSCO</t>
  </si>
  <si>
    <t>02E0834040</t>
  </si>
  <si>
    <t>TÉCNICOS A - TALLER AREQUIPA</t>
  </si>
  <si>
    <t>02O0724040</t>
  </si>
  <si>
    <t>REPUESTOS AREQUIPA</t>
  </si>
  <si>
    <t>02E0832040</t>
  </si>
  <si>
    <t>TALLER AREQUIPA</t>
  </si>
  <si>
    <t>02S0868080</t>
  </si>
  <si>
    <t>TÉCNICOS A - CAMPO CUSCO</t>
  </si>
  <si>
    <t>02C1622040</t>
  </si>
  <si>
    <t>VENTA USADOS AREQUIPA</t>
  </si>
  <si>
    <t>02C1320154</t>
  </si>
  <si>
    <t>LOGISTICA LURIN</t>
  </si>
  <si>
    <t>02E0834200</t>
  </si>
  <si>
    <t>02C1617154</t>
  </si>
  <si>
    <t>MARKETING LURIN</t>
  </si>
  <si>
    <t>02S0835200</t>
  </si>
  <si>
    <t>TÉCNICOS B - TALLER PIURA</t>
  </si>
  <si>
    <t>02S0834154</t>
  </si>
  <si>
    <t>TÉCNICOS A - TALLER LURIN</t>
  </si>
  <si>
    <t>02E0834080</t>
  </si>
  <si>
    <t>TÉCNICOS A - TALLER CUSCO</t>
  </si>
  <si>
    <t>02E0832154</t>
  </si>
  <si>
    <t>02S0840200</t>
  </si>
  <si>
    <t>TÉCNICOS I - TALLER PIURA</t>
  </si>
  <si>
    <t>02B1463154</t>
  </si>
  <si>
    <t>02C1601154</t>
  </si>
  <si>
    <t>GERENCIA COMERCIAL LURIN</t>
  </si>
  <si>
    <t>02O1321200</t>
  </si>
  <si>
    <t>ALMACENAMIENTO PIURA</t>
  </si>
  <si>
    <t>02C1311154</t>
  </si>
  <si>
    <t>02C1463080</t>
  </si>
  <si>
    <t>ARRIENDO CONSTRUCCION CUSCO</t>
  </si>
  <si>
    <t>02E0867200</t>
  </si>
  <si>
    <t>02S0839040</t>
  </si>
  <si>
    <t>TÉCNICOS M - TALLER AREQUIPA</t>
  </si>
  <si>
    <t>02C1463200</t>
  </si>
  <si>
    <t>ARRIENDO CONSTRUCCION PIURA</t>
  </si>
  <si>
    <t>02E0834154</t>
  </si>
  <si>
    <t>02E0867154</t>
  </si>
  <si>
    <t>02O1305200</t>
  </si>
  <si>
    <t>DISTRIBUCIÓN PIURA</t>
  </si>
  <si>
    <t>02E0868080</t>
  </si>
  <si>
    <t>02C160C154</t>
  </si>
  <si>
    <t>INTELIGENCIA COMERCIAL LURIN</t>
  </si>
  <si>
    <t>02B1617154</t>
  </si>
  <si>
    <t>02S0836154</t>
  </si>
  <si>
    <t>TÉCNICOS C - TALLER LURIN</t>
  </si>
  <si>
    <t>02S0834040</t>
  </si>
  <si>
    <t>02A1104040</t>
  </si>
  <si>
    <t>SERVICIOS GENERALES AREQUIPA</t>
  </si>
  <si>
    <t>02S0832040</t>
  </si>
  <si>
    <t>02O1321040</t>
  </si>
  <si>
    <t>ALMACENAMIENTO AREQUIPA</t>
  </si>
  <si>
    <t>02C1563154</t>
  </si>
  <si>
    <t>ARRIENDO MEDIANA MINERIA LURIN</t>
  </si>
  <si>
    <t>02C1364154</t>
  </si>
  <si>
    <t>CAPACITA LURIN</t>
  </si>
  <si>
    <t>02C1320040</t>
  </si>
  <si>
    <t>LOGISTICA AREQUIPA</t>
  </si>
  <si>
    <t>02O1303152</t>
  </si>
  <si>
    <t>COMPRAS LA VICTORIA</t>
  </si>
  <si>
    <t>02S0864154</t>
  </si>
  <si>
    <t>COORDINACION COMERCIAL LURIN</t>
  </si>
  <si>
    <t>02O0724200</t>
  </si>
  <si>
    <t>REPUESTOS PIURA</t>
  </si>
  <si>
    <t>02S0834080</t>
  </si>
  <si>
    <t>02O1303200</t>
  </si>
  <si>
    <t>COMPRAS PIURA</t>
  </si>
  <si>
    <t>COMPRAS AREQUIPA</t>
  </si>
  <si>
    <t>02A1104200</t>
  </si>
  <si>
    <t>SERVICIOS GENERALES PIURA</t>
  </si>
  <si>
    <t>02S0866154</t>
  </si>
  <si>
    <t>ESPECIALISTAS ST LURIN</t>
  </si>
  <si>
    <t>02O1305152</t>
  </si>
  <si>
    <t>DISTRIBUCIÓN LA VICTORIA</t>
  </si>
  <si>
    <t>02C1622200</t>
  </si>
  <si>
    <t>VENTA USADOS PIURA</t>
  </si>
  <si>
    <t>02A110B154</t>
  </si>
  <si>
    <t>SSOMA LURIN</t>
  </si>
  <si>
    <t>02O0724080</t>
  </si>
  <si>
    <t>REPUESTOS CUSCO</t>
  </si>
  <si>
    <t>02S0888154</t>
  </si>
  <si>
    <t>CAMPO MATRIZ LURIN</t>
  </si>
  <si>
    <t>02O1305040</t>
  </si>
  <si>
    <t>DISTRIBUCIÓN AREQUIPA</t>
  </si>
  <si>
    <t>02S0892154</t>
  </si>
  <si>
    <t>TALLER MATRIZ LURIN</t>
  </si>
  <si>
    <t>02O1397154</t>
  </si>
  <si>
    <t>TRANSPORTE CGM LURIN</t>
  </si>
  <si>
    <t>02A110A154</t>
  </si>
  <si>
    <t>LEGAL LURIN</t>
  </si>
  <si>
    <t>APELLIDO</t>
  </si>
  <si>
    <t>APELLIDO PATERNO</t>
  </si>
  <si>
    <t>APELLIDO MATERNO</t>
  </si>
  <si>
    <t>NOMBRES</t>
  </si>
  <si>
    <t>BOZA</t>
  </si>
  <si>
    <t>ARLOTTI</t>
  </si>
  <si>
    <t>OLIVOS</t>
  </si>
  <si>
    <t>REYNALTE</t>
  </si>
  <si>
    <t>ESPINOZA</t>
  </si>
  <si>
    <t>HERRERA</t>
  </si>
  <si>
    <t>LAURA</t>
  </si>
  <si>
    <t>SALAZAR</t>
  </si>
  <si>
    <t>CAMPOS</t>
  </si>
  <si>
    <t>FLORES</t>
  </si>
  <si>
    <t>CASIMIRO</t>
  </si>
  <si>
    <t>QUISPE</t>
  </si>
  <si>
    <t>CABEZAS</t>
  </si>
  <si>
    <t>ISUIZA</t>
  </si>
  <si>
    <t>CALERO</t>
  </si>
  <si>
    <t>LOPEZ</t>
  </si>
  <si>
    <t>VILLEGAS</t>
  </si>
  <si>
    <t>DIAZ</t>
  </si>
  <si>
    <t>ARELLANO</t>
  </si>
  <si>
    <t>GARCÍA</t>
  </si>
  <si>
    <t>YALTA</t>
  </si>
  <si>
    <t>GUADALUPE</t>
  </si>
  <si>
    <t>ESCOBAR</t>
  </si>
  <si>
    <t>PACHECO</t>
  </si>
  <si>
    <t>YAMPUFE</t>
  </si>
  <si>
    <t>MOORE</t>
  </si>
  <si>
    <t>TTITO</t>
  </si>
  <si>
    <t>MARISCAL</t>
  </si>
  <si>
    <t>RIVERA</t>
  </si>
  <si>
    <t>GONZALES</t>
  </si>
  <si>
    <t>MONTOYA</t>
  </si>
  <si>
    <t>PALOMINO</t>
  </si>
  <si>
    <t>CALCINA</t>
  </si>
  <si>
    <t>ORMEÑO</t>
  </si>
  <si>
    <t>ARGUMEDO</t>
  </si>
  <si>
    <t>AGUILAR</t>
  </si>
  <si>
    <t>SANTILLAN</t>
  </si>
  <si>
    <t>FERNANDEZ</t>
  </si>
  <si>
    <t>HORNA</t>
  </si>
  <si>
    <t>ABANTO</t>
  </si>
  <si>
    <t>MICHELINI</t>
  </si>
  <si>
    <t>PACORA</t>
  </si>
  <si>
    <t>TAVARA</t>
  </si>
  <si>
    <t>ARANIBAR</t>
  </si>
  <si>
    <t>CHIQUILLAN</t>
  </si>
  <si>
    <t>CCEÑUA</t>
  </si>
  <si>
    <t>ROJAS</t>
  </si>
  <si>
    <t>LAURENTE</t>
  </si>
  <si>
    <t>SEVERINO</t>
  </si>
  <si>
    <t>SUAREZ</t>
  </si>
  <si>
    <t>MIRANDA</t>
  </si>
  <si>
    <t>LIÑAN</t>
  </si>
  <si>
    <t>FERNÁNDEZ</t>
  </si>
  <si>
    <t>GUEVARA</t>
  </si>
  <si>
    <t>GUTIERREZ</t>
  </si>
  <si>
    <t>MOHANNA</t>
  </si>
  <si>
    <t>GARCIA</t>
  </si>
  <si>
    <t>BARTUREN</t>
  </si>
  <si>
    <t>DUQUE</t>
  </si>
  <si>
    <t>VADILLO</t>
  </si>
  <si>
    <t>GUZMAN</t>
  </si>
  <si>
    <t>SANCHEZ</t>
  </si>
  <si>
    <t>HUAMANI</t>
  </si>
  <si>
    <t>CHAPARRO</t>
  </si>
  <si>
    <t>CASTRO</t>
  </si>
  <si>
    <t>LAZO</t>
  </si>
  <si>
    <t>CONDORI</t>
  </si>
  <si>
    <t>ANDAGUA</t>
  </si>
  <si>
    <t>HILARIO</t>
  </si>
  <si>
    <t>ZAMORA</t>
  </si>
  <si>
    <t>RODRIGUEZ</t>
  </si>
  <si>
    <t>ORTIZ</t>
  </si>
  <si>
    <t>MEZA</t>
  </si>
  <si>
    <t>ARTICA</t>
  </si>
  <si>
    <t>NORES</t>
  </si>
  <si>
    <t>OCHOA</t>
  </si>
  <si>
    <t>ZAFRA</t>
  </si>
  <si>
    <t>DOMINGUEZ</t>
  </si>
  <si>
    <t>AYMA</t>
  </si>
  <si>
    <t>VILLAR</t>
  </si>
  <si>
    <t>MENDOZA</t>
  </si>
  <si>
    <t>RENGIFO</t>
  </si>
  <si>
    <t>REVILLA</t>
  </si>
  <si>
    <t>VELASQUEZ</t>
  </si>
  <si>
    <t>CHACALTANA</t>
  </si>
  <si>
    <t>RAMIREZ</t>
  </si>
  <si>
    <t>PLAZA</t>
  </si>
  <si>
    <t>OJEDA</t>
  </si>
  <si>
    <t>CAMERO</t>
  </si>
  <si>
    <t>MEJIA</t>
  </si>
  <si>
    <t>VILLANUEVA</t>
  </si>
  <si>
    <t>TAIRO</t>
  </si>
  <si>
    <t>LAZARO</t>
  </si>
  <si>
    <t>GOICOCHEA</t>
  </si>
  <si>
    <t>RIOS</t>
  </si>
  <si>
    <t>ALEJO</t>
  </si>
  <si>
    <t>ACERO</t>
  </si>
  <si>
    <t>DE</t>
  </si>
  <si>
    <t>LA PIEDRA RAMOS</t>
  </si>
  <si>
    <t>DIANDERAS</t>
  </si>
  <si>
    <t>CCORAHUA</t>
  </si>
  <si>
    <t>ARIAS</t>
  </si>
  <si>
    <t>RAMOS</t>
  </si>
  <si>
    <t>CHUQUIJA</t>
  </si>
  <si>
    <t>VARGAS</t>
  </si>
  <si>
    <t>PAYANO</t>
  </si>
  <si>
    <t>CARHUAMACA</t>
  </si>
  <si>
    <t>GATICA</t>
  </si>
  <si>
    <t>MOZOMBITE</t>
  </si>
  <si>
    <t>YUCRA</t>
  </si>
  <si>
    <t>CCANASI</t>
  </si>
  <si>
    <t>CHERO</t>
  </si>
  <si>
    <t>GRANDA</t>
  </si>
  <si>
    <t>ALVARADO</t>
  </si>
  <si>
    <t>CHAVEZ</t>
  </si>
  <si>
    <t>COSTA</t>
  </si>
  <si>
    <t>TORRES</t>
  </si>
  <si>
    <t>CALDERON</t>
  </si>
  <si>
    <t>AGAMA</t>
  </si>
  <si>
    <t>OCAÑA</t>
  </si>
  <si>
    <t>REQUENA</t>
  </si>
  <si>
    <t>GOMEZ</t>
  </si>
  <si>
    <t>HUALLPA</t>
  </si>
  <si>
    <t>ALVAREZ</t>
  </si>
  <si>
    <t>GALLEGO</t>
  </si>
  <si>
    <t>TEJADA</t>
  </si>
  <si>
    <t>ATAHUALPA</t>
  </si>
  <si>
    <t>PAREDES</t>
  </si>
  <si>
    <t>BORJAS</t>
  </si>
  <si>
    <t>MESONES</t>
  </si>
  <si>
    <t>VASQUEZ</t>
  </si>
  <si>
    <t>CAMAC</t>
  </si>
  <si>
    <t>OVIEDO</t>
  </si>
  <si>
    <t>CIÑA</t>
  </si>
  <si>
    <t>CRISTOBAL</t>
  </si>
  <si>
    <t>BASILIO</t>
  </si>
  <si>
    <t>PINO</t>
  </si>
  <si>
    <t>CONTRERAS</t>
  </si>
  <si>
    <t>TIPULA</t>
  </si>
  <si>
    <t>REGENTE</t>
  </si>
  <si>
    <t>ISASA</t>
  </si>
  <si>
    <t>SKECHE</t>
  </si>
  <si>
    <t>LLANOS</t>
  </si>
  <si>
    <t>PEREZ</t>
  </si>
  <si>
    <t>AVILA</t>
  </si>
  <si>
    <t>ANTAY</t>
  </si>
  <si>
    <t>VILLA</t>
  </si>
  <si>
    <t>BOBADILLA</t>
  </si>
  <si>
    <t>CANALES</t>
  </si>
  <si>
    <t>MEMBRILLO</t>
  </si>
  <si>
    <t>PIZARRO</t>
  </si>
  <si>
    <t>URRUTIA</t>
  </si>
  <si>
    <t>ESCURRA</t>
  </si>
  <si>
    <t>CHUCTAYA</t>
  </si>
  <si>
    <t>HUASHUAYO</t>
  </si>
  <si>
    <t>CHACONDORI</t>
  </si>
  <si>
    <t>OBREGON</t>
  </si>
  <si>
    <t>VILLAFUERTE</t>
  </si>
  <si>
    <t>YAURI</t>
  </si>
  <si>
    <t>ZAVALETA</t>
  </si>
  <si>
    <t>VILCHEZ</t>
  </si>
  <si>
    <t>YOVERA</t>
  </si>
  <si>
    <t>SANTIAGO</t>
  </si>
  <si>
    <t>CAYRA</t>
  </si>
  <si>
    <t>YANQUI</t>
  </si>
  <si>
    <t>LAVADO</t>
  </si>
  <si>
    <t>POLANCO</t>
  </si>
  <si>
    <t>RUIZ</t>
  </si>
  <si>
    <t>CARRILLO</t>
  </si>
  <si>
    <t>ANGELES</t>
  </si>
  <si>
    <t>LOAYZA</t>
  </si>
  <si>
    <t>ARATA</t>
  </si>
  <si>
    <t>ANDA</t>
  </si>
  <si>
    <t>MACHACA</t>
  </si>
  <si>
    <t>AROCUTIPA</t>
  </si>
  <si>
    <t>URBINA</t>
  </si>
  <si>
    <t>ZAPATA</t>
  </si>
  <si>
    <t>ORBEGOSO</t>
  </si>
  <si>
    <t>MEREGILDO</t>
  </si>
  <si>
    <t>MOROCCO</t>
  </si>
  <si>
    <t>SAAVEDRA</t>
  </si>
  <si>
    <t>JAVE</t>
  </si>
  <si>
    <t>ECHEVARRIA</t>
  </si>
  <si>
    <t>FALCON</t>
  </si>
  <si>
    <t>VARAS</t>
  </si>
  <si>
    <t>TORREJON</t>
  </si>
  <si>
    <t>TERREROS</t>
  </si>
  <si>
    <t>CCAMA</t>
  </si>
  <si>
    <t>COVA</t>
  </si>
  <si>
    <t>BENAVENTE</t>
  </si>
  <si>
    <t>CALAHUILLE</t>
  </si>
  <si>
    <t>CUADRA</t>
  </si>
  <si>
    <t>PASQUEL</t>
  </si>
  <si>
    <t>BUSTAMANTE</t>
  </si>
  <si>
    <t>REYES</t>
  </si>
  <si>
    <t>PEÑALOZA</t>
  </si>
  <si>
    <t>ALMONACID</t>
  </si>
  <si>
    <t>IRIGOIN</t>
  </si>
  <si>
    <t>POMAYA</t>
  </si>
  <si>
    <t>HUAMAN</t>
  </si>
  <si>
    <t>BAZALAR</t>
  </si>
  <si>
    <t>AMACHE</t>
  </si>
  <si>
    <t>AVENDAÑO</t>
  </si>
  <si>
    <t>MENESES</t>
  </si>
  <si>
    <t>UTURUNCO</t>
  </si>
  <si>
    <t>ARAPA</t>
  </si>
  <si>
    <t>AGURTO</t>
  </si>
  <si>
    <t>CRISPIN</t>
  </si>
  <si>
    <t>QUIJAITE</t>
  </si>
  <si>
    <t>JUAREZ</t>
  </si>
  <si>
    <t>VALZ</t>
  </si>
  <si>
    <t>POMA</t>
  </si>
  <si>
    <t>PUCUHUAYLA</t>
  </si>
  <si>
    <t>ALFARO</t>
  </si>
  <si>
    <t>PARILLO</t>
  </si>
  <si>
    <t>SILVA</t>
  </si>
  <si>
    <t>JOHANSON</t>
  </si>
  <si>
    <t>PALACIOS</t>
  </si>
  <si>
    <t>SOTA</t>
  </si>
  <si>
    <t>FIGUEROA</t>
  </si>
  <si>
    <t>CCALLA</t>
  </si>
  <si>
    <t>PAMPAS</t>
  </si>
  <si>
    <t>CHOQUE</t>
  </si>
  <si>
    <t>VILCA</t>
  </si>
  <si>
    <t>MALPARTIDA</t>
  </si>
  <si>
    <t>BARJA</t>
  </si>
  <si>
    <t>NUÑEZ</t>
  </si>
  <si>
    <t>CHINO</t>
  </si>
  <si>
    <t>ADUVIRI</t>
  </si>
  <si>
    <t>APAZA</t>
  </si>
  <si>
    <t>PUMA</t>
  </si>
  <si>
    <t>CABELLO</t>
  </si>
  <si>
    <t>ROMERO</t>
  </si>
  <si>
    <t>VEGA</t>
  </si>
  <si>
    <t>VENTO</t>
  </si>
  <si>
    <t>CASAS</t>
  </si>
  <si>
    <t>CRIOLLO</t>
  </si>
  <si>
    <t>QUIROGA</t>
  </si>
  <si>
    <t>PALMA</t>
  </si>
  <si>
    <t>IMAN</t>
  </si>
  <si>
    <t>TINCO</t>
  </si>
  <si>
    <t>AUCCAHUASI</t>
  </si>
  <si>
    <t>ALMEYDA</t>
  </si>
  <si>
    <t>CAMACHO</t>
  </si>
  <si>
    <t>SILVERIO</t>
  </si>
  <si>
    <t>HUILLCA</t>
  </si>
  <si>
    <t>MOGOLLON</t>
  </si>
  <si>
    <t>TOSCANO</t>
  </si>
  <si>
    <t>JIMENEZ</t>
  </si>
  <si>
    <t>BARTESAGHI</t>
  </si>
  <si>
    <t>HUACAUSI</t>
  </si>
  <si>
    <t>RIVADENEYRA</t>
  </si>
  <si>
    <t>ZAMBRANO</t>
  </si>
  <si>
    <t>SALDIVAR</t>
  </si>
  <si>
    <t>SEQUEIROS</t>
  </si>
  <si>
    <t>CISNEROS</t>
  </si>
  <si>
    <t>YESAN</t>
  </si>
  <si>
    <t>LAMPA</t>
  </si>
  <si>
    <t>CCASO</t>
  </si>
  <si>
    <t>PACCO</t>
  </si>
  <si>
    <t>MONTECINO</t>
  </si>
  <si>
    <t>HUACHO</t>
  </si>
  <si>
    <t>CELIS</t>
  </si>
  <si>
    <t>SALAS</t>
  </si>
  <si>
    <t>BRAVO</t>
  </si>
  <si>
    <t>ALEGRIA</t>
  </si>
  <si>
    <t>PELAYO</t>
  </si>
  <si>
    <t>GIL</t>
  </si>
  <si>
    <t>CUSIHUALLPA</t>
  </si>
  <si>
    <t>CAPUÑAY</t>
  </si>
  <si>
    <t>ACEVEDO</t>
  </si>
  <si>
    <t>OCUPA</t>
  </si>
  <si>
    <t>LABAN</t>
  </si>
  <si>
    <t>ANCIETA</t>
  </si>
  <si>
    <t>HUALLAMARES</t>
  </si>
  <si>
    <t>NORIEGA</t>
  </si>
  <si>
    <t>HINOJOSA</t>
  </si>
  <si>
    <t>SUPA</t>
  </si>
  <si>
    <t>ALFONZO</t>
  </si>
  <si>
    <t>SABINO</t>
  </si>
  <si>
    <t>ROSALINO</t>
  </si>
  <si>
    <t>FEIJOO</t>
  </si>
  <si>
    <t>HUANQUI</t>
  </si>
  <si>
    <t>CHUNGA</t>
  </si>
  <si>
    <t>VALVERDE</t>
  </si>
  <si>
    <t>MUÑOZ</t>
  </si>
  <si>
    <t>DAMIAN</t>
  </si>
  <si>
    <t>SULLON</t>
  </si>
  <si>
    <t>MONTALVO</t>
  </si>
  <si>
    <t>AGUIRRE</t>
  </si>
  <si>
    <t>TEZEN</t>
  </si>
  <si>
    <t>ZURITA</t>
  </si>
  <si>
    <t>PINTADO</t>
  </si>
  <si>
    <t>CHAMBA</t>
  </si>
  <si>
    <t>SOTO</t>
  </si>
  <si>
    <t>REATEGUI</t>
  </si>
  <si>
    <t>YBAÑEZ</t>
  </si>
  <si>
    <t>NAVARRO</t>
  </si>
  <si>
    <t>VEINTIMILLA</t>
  </si>
  <si>
    <t>MENA</t>
  </si>
  <si>
    <t>ABAD</t>
  </si>
  <si>
    <t>CRUZ</t>
  </si>
  <si>
    <t>SERNA</t>
  </si>
  <si>
    <t>SULLCA</t>
  </si>
  <si>
    <t>CACMA</t>
  </si>
  <si>
    <t>MEGO</t>
  </si>
  <si>
    <t>ALARCON</t>
  </si>
  <si>
    <t>LEON</t>
  </si>
  <si>
    <t>ALVAN</t>
  </si>
  <si>
    <t>RISCO</t>
  </si>
  <si>
    <t>DURAN</t>
  </si>
  <si>
    <t>CAMONES</t>
  </si>
  <si>
    <t>SUCSO</t>
  </si>
  <si>
    <t>TICLAVILCA</t>
  </si>
  <si>
    <t>ZEVALLOS</t>
  </si>
  <si>
    <t>ARREGUI</t>
  </si>
  <si>
    <t>NOLORBE</t>
  </si>
  <si>
    <t>SAMPAYO</t>
  </si>
  <si>
    <t>ALVARO</t>
  </si>
  <si>
    <t>CACHI</t>
  </si>
  <si>
    <t>CORTEZ</t>
  </si>
  <si>
    <t>ALMEIDA LIRA</t>
  </si>
  <si>
    <t>ZEÑA</t>
  </si>
  <si>
    <t>ORE</t>
  </si>
  <si>
    <t>CONCHA</t>
  </si>
  <si>
    <t>CÁCERES</t>
  </si>
  <si>
    <t>JOSÉ</t>
  </si>
  <si>
    <t>SANDOVAL</t>
  </si>
  <si>
    <t>ARBULU</t>
  </si>
  <si>
    <t>VERGARA</t>
  </si>
  <si>
    <t>ATAUCURI</t>
  </si>
  <si>
    <t>COBEÑAS</t>
  </si>
  <si>
    <t>MARIN</t>
  </si>
  <si>
    <t>MOTTA</t>
  </si>
  <si>
    <t>ROSADA</t>
  </si>
  <si>
    <t>BANDA</t>
  </si>
  <si>
    <t>CACERES</t>
  </si>
  <si>
    <t>ARELLAN</t>
  </si>
  <si>
    <t>JARA</t>
  </si>
  <si>
    <t>HUARICALLA</t>
  </si>
  <si>
    <t>PANCCA</t>
  </si>
  <si>
    <t>BENITES</t>
  </si>
  <si>
    <t>CCOLQUE</t>
  </si>
  <si>
    <t>ALATA</t>
  </si>
  <si>
    <t>ROBLEDO</t>
  </si>
  <si>
    <t>MOLERO</t>
  </si>
  <si>
    <t>BURGOS</t>
  </si>
  <si>
    <t>ATAUCHI</t>
  </si>
  <si>
    <t>CHUMBES</t>
  </si>
  <si>
    <t>MUÑANTE</t>
  </si>
  <si>
    <t>MANCO</t>
  </si>
  <si>
    <t>TALLEDO</t>
  </si>
  <si>
    <t>GUERRERO</t>
  </si>
  <si>
    <t>FUENTES</t>
  </si>
  <si>
    <t>URDANIGA</t>
  </si>
  <si>
    <t>MAYORÍA</t>
  </si>
  <si>
    <t>PUPPO</t>
  </si>
  <si>
    <t>CHACON</t>
  </si>
  <si>
    <t>SANTIVAÑEZ</t>
  </si>
  <si>
    <t>CANO</t>
  </si>
  <si>
    <t>VELARDE</t>
  </si>
  <si>
    <t>GALARZA</t>
  </si>
  <si>
    <t>FEBRES</t>
  </si>
  <si>
    <t>PICHARDO</t>
  </si>
  <si>
    <t>SOVERO</t>
  </si>
  <si>
    <t>URQUÍA</t>
  </si>
  <si>
    <t>PAZ</t>
  </si>
  <si>
    <t>ARICA</t>
  </si>
  <si>
    <t>RUFINO</t>
  </si>
  <si>
    <t>PANTA</t>
  </si>
  <si>
    <t>HURTADO</t>
  </si>
  <si>
    <t>REVOLLEDO</t>
  </si>
  <si>
    <t>CALDERÓN</t>
  </si>
  <si>
    <t>GUERRA</t>
  </si>
  <si>
    <t>CARDENAS</t>
  </si>
  <si>
    <t>CAMPANA</t>
  </si>
  <si>
    <t>ATAJO</t>
  </si>
  <si>
    <t>BARRIENTOS</t>
  </si>
  <si>
    <t>CHINCHAY</t>
  </si>
  <si>
    <t>MERINO</t>
  </si>
  <si>
    <t>MEDINA</t>
  </si>
  <si>
    <t>SAMANIEGO</t>
  </si>
  <si>
    <t>CORDOVA</t>
  </si>
  <si>
    <t>MACHUCA</t>
  </si>
  <si>
    <t>DE LA CRUZ</t>
  </si>
  <si>
    <t>RIVAS</t>
  </si>
  <si>
    <t>AVELLANEDA</t>
  </si>
  <si>
    <t>TUPAYACHI</t>
  </si>
  <si>
    <t>CORAL</t>
  </si>
  <si>
    <t>RIVA</t>
  </si>
  <si>
    <t>ORBEZO</t>
  </si>
  <si>
    <t>VIDAL</t>
  </si>
  <si>
    <t>PÉREZ</t>
  </si>
  <si>
    <t>CHALCO</t>
  </si>
  <si>
    <t>ÑAUPARI</t>
  </si>
  <si>
    <t>BALDEON</t>
  </si>
  <si>
    <t>ERASMO</t>
  </si>
  <si>
    <t>BERRIOS</t>
  </si>
  <si>
    <t>OLIVERA</t>
  </si>
  <si>
    <t>TICONA</t>
  </si>
  <si>
    <t>CANRE</t>
  </si>
  <si>
    <t>SALCEDO</t>
  </si>
  <si>
    <t>ORELLANA</t>
  </si>
  <si>
    <t>SANTOS</t>
  </si>
  <si>
    <t>MARTINEZ</t>
  </si>
  <si>
    <t>RODRÍGUEZ</t>
  </si>
  <si>
    <t>DAVILA</t>
  </si>
  <si>
    <t>RAFAEL</t>
  </si>
  <si>
    <t>VERA</t>
  </si>
  <si>
    <t>ANCULLE</t>
  </si>
  <si>
    <t>SIERRA</t>
  </si>
  <si>
    <t>VALLEJOS</t>
  </si>
  <si>
    <t>AYALA</t>
  </si>
  <si>
    <t>LA</t>
  </si>
  <si>
    <t>CRUZ CHEQUERA</t>
  </si>
  <si>
    <t>MARCES</t>
  </si>
  <si>
    <t>CALLE</t>
  </si>
  <si>
    <t>PASAPERA</t>
  </si>
  <si>
    <t>PEÑA</t>
  </si>
  <si>
    <t>MARTÍNEZ</t>
  </si>
  <si>
    <t>ARÉVALO</t>
  </si>
  <si>
    <t>EGUES</t>
  </si>
  <si>
    <t>HUACHACA</t>
  </si>
  <si>
    <t>MURAYARI</t>
  </si>
  <si>
    <t>PAIMA</t>
  </si>
  <si>
    <t>LAZARTE</t>
  </si>
  <si>
    <t>CHOQUEHUANCA</t>
  </si>
  <si>
    <t>MAMANI</t>
  </si>
  <si>
    <t>CUELLO</t>
  </si>
  <si>
    <t>PINEDO</t>
  </si>
  <si>
    <t>SOLANO</t>
  </si>
  <si>
    <t>BERNAL</t>
  </si>
  <si>
    <t>LICAS</t>
  </si>
  <si>
    <t>TAMAYO</t>
  </si>
  <si>
    <t>SERNAQUE</t>
  </si>
  <si>
    <t>LAUREANO</t>
  </si>
  <si>
    <t>CARUAJULCA</t>
  </si>
  <si>
    <t>SISNIEGAS</t>
  </si>
  <si>
    <t>VALDIVIA</t>
  </si>
  <si>
    <t>MONASTERIO</t>
  </si>
  <si>
    <t>TORREZ</t>
  </si>
  <si>
    <t>CARRION</t>
  </si>
  <si>
    <t>CHUCO</t>
  </si>
  <si>
    <t>DURAND</t>
  </si>
  <si>
    <t>VENEGAS</t>
  </si>
  <si>
    <t>ANCAJIMA</t>
  </si>
  <si>
    <t>BARRENECHEA</t>
  </si>
  <si>
    <t>GALLARDO</t>
  </si>
  <si>
    <t>ARCOS</t>
  </si>
  <si>
    <t>ANCO</t>
  </si>
  <si>
    <t>MORON</t>
  </si>
  <si>
    <t>BUITRON</t>
  </si>
  <si>
    <t>CUSI</t>
  </si>
  <si>
    <t>CHUQUIPOMA</t>
  </si>
  <si>
    <t>DOLORES</t>
  </si>
  <si>
    <t>BEGAZO</t>
  </si>
  <si>
    <t>QUENAYA</t>
  </si>
  <si>
    <t>MUÑICO</t>
  </si>
  <si>
    <t>VALENTIN</t>
  </si>
  <si>
    <t>ANAMPA</t>
  </si>
  <si>
    <t>CHUMACERO</t>
  </si>
  <si>
    <t>PHACSI</t>
  </si>
  <si>
    <t>REJAS</t>
  </si>
  <si>
    <t>TEJEDA</t>
  </si>
  <si>
    <t>BREÑA</t>
  </si>
  <si>
    <t>MORALES</t>
  </si>
  <si>
    <t>USCAMAYTA</t>
  </si>
  <si>
    <t>PATIÑO</t>
  </si>
  <si>
    <t>PRATO</t>
  </si>
  <si>
    <t>SOSA</t>
  </si>
  <si>
    <t>LALUPU</t>
  </si>
  <si>
    <t>SIVINA</t>
  </si>
  <si>
    <t>PONCE</t>
  </si>
  <si>
    <t>CRUZADO</t>
  </si>
  <si>
    <t>CATASI</t>
  </si>
  <si>
    <t>GALVEZ</t>
  </si>
  <si>
    <t>CAJAS</t>
  </si>
  <si>
    <t>CHAPOÑAN</t>
  </si>
  <si>
    <t>FARROÑAN</t>
  </si>
  <si>
    <t>CABANA</t>
  </si>
  <si>
    <t>PAUCARA</t>
  </si>
  <si>
    <t>LAYME</t>
  </si>
  <si>
    <t>ATAMARI</t>
  </si>
  <si>
    <t>CHAHUARA</t>
  </si>
  <si>
    <t>ZUÑIGA</t>
  </si>
  <si>
    <t>HUAYTA</t>
  </si>
  <si>
    <t>ARNERO</t>
  </si>
  <si>
    <t>BARRETO</t>
  </si>
  <si>
    <t>RAVINES</t>
  </si>
  <si>
    <t>ENRIQUEZ</t>
  </si>
  <si>
    <t>CUEVA</t>
  </si>
  <si>
    <t>ORTEGA</t>
  </si>
  <si>
    <t>MOLLO</t>
  </si>
  <si>
    <t>ACUÑA</t>
  </si>
  <si>
    <t>ESTELA</t>
  </si>
  <si>
    <t>DONAYRE</t>
  </si>
  <si>
    <t>MORA</t>
  </si>
  <si>
    <t>PORTALATINO</t>
  </si>
  <si>
    <t>NINA</t>
  </si>
  <si>
    <t>BAUTISTA</t>
  </si>
  <si>
    <t>QUINTANILLA</t>
  </si>
  <si>
    <t>CARDOZO</t>
  </si>
  <si>
    <t>HUAMANCAYO</t>
  </si>
  <si>
    <t>VICENTE</t>
  </si>
  <si>
    <t>ACOSTA</t>
  </si>
  <si>
    <t>PACHERRE</t>
  </si>
  <si>
    <t>TRUJILLO</t>
  </si>
  <si>
    <t>JULCA</t>
  </si>
  <si>
    <t>MUCHA</t>
  </si>
  <si>
    <t>ESPIRITU</t>
  </si>
  <si>
    <t>ALIAGA</t>
  </si>
  <si>
    <t>PANDURO</t>
  </si>
  <si>
    <t>CCALLO</t>
  </si>
  <si>
    <t>VALENZUELA</t>
  </si>
  <si>
    <t>BARROSO</t>
  </si>
  <si>
    <t>TUMBA</t>
  </si>
  <si>
    <t>SANCHO</t>
  </si>
  <si>
    <t>HUARSAYA</t>
  </si>
  <si>
    <t>VICTORIO</t>
  </si>
  <si>
    <t>CARAZAS</t>
  </si>
  <si>
    <t>LLONTOP</t>
  </si>
  <si>
    <t>MONTES</t>
  </si>
  <si>
    <t>HENRIQUEZ</t>
  </si>
  <si>
    <t>ROBLEDILLO</t>
  </si>
  <si>
    <t>DEL CASTILLO</t>
  </si>
  <si>
    <t>GUANILO</t>
  </si>
  <si>
    <t>SALDAÑA</t>
  </si>
  <si>
    <t>ALCALA</t>
  </si>
  <si>
    <t>CASTILLO</t>
  </si>
  <si>
    <t>ESTRELLA</t>
  </si>
  <si>
    <t>SALOMÉ</t>
  </si>
  <si>
    <t>MENDIZABAL</t>
  </si>
  <si>
    <t>TELLO</t>
  </si>
  <si>
    <t>BARDALES</t>
  </si>
  <si>
    <t>AGUILA</t>
  </si>
  <si>
    <t>CASQUI</t>
  </si>
  <si>
    <t>IPANAQUE</t>
  </si>
  <si>
    <t>QUIÑONES</t>
  </si>
  <si>
    <t>HERNANDEZ</t>
  </si>
  <si>
    <t>CONDE</t>
  </si>
  <si>
    <t>DONAIRES</t>
  </si>
  <si>
    <t>GABRIEL</t>
  </si>
  <si>
    <t>PAUCAR</t>
  </si>
  <si>
    <t>CINCE</t>
  </si>
  <si>
    <t>VALENCIA</t>
  </si>
  <si>
    <t>ASPILCUETA</t>
  </si>
  <si>
    <t>IDONE</t>
  </si>
  <si>
    <t>YUPANQUI</t>
  </si>
  <si>
    <t>CUBA</t>
  </si>
  <si>
    <t>HUACCACHI</t>
  </si>
  <si>
    <t>YLLAHUAMAN</t>
  </si>
  <si>
    <t>CHIPANA</t>
  </si>
  <si>
    <t>RAYME</t>
  </si>
  <si>
    <t>LIMA</t>
  </si>
  <si>
    <t>VIVEROS</t>
  </si>
  <si>
    <t>ESTEVEZ</t>
  </si>
  <si>
    <t>HUIMAN</t>
  </si>
  <si>
    <t>GASTELU</t>
  </si>
  <si>
    <t>ZAVALA</t>
  </si>
  <si>
    <t>FIGUERAS</t>
  </si>
  <si>
    <t>PARIONA</t>
  </si>
  <si>
    <t>CERVERA</t>
  </si>
  <si>
    <t>ANDRADE</t>
  </si>
  <si>
    <t>MALDONADO</t>
  </si>
  <si>
    <t>YAULI</t>
  </si>
  <si>
    <t>RONDINEL</t>
  </si>
  <si>
    <t>ZAA</t>
  </si>
  <si>
    <t>ÑAUPA</t>
  </si>
  <si>
    <t>CALLA</t>
  </si>
  <si>
    <t>ARANDA</t>
  </si>
  <si>
    <t>DAZA</t>
  </si>
  <si>
    <t>CHINGUEL</t>
  </si>
  <si>
    <t>LANDIVAR</t>
  </si>
  <si>
    <t>CORNEJO</t>
  </si>
  <si>
    <t>OLLAGUEZ</t>
  </si>
  <si>
    <t>NOVOA</t>
  </si>
  <si>
    <t>CABRERA</t>
  </si>
  <si>
    <t>ARPITA</t>
  </si>
  <si>
    <t>AGUILERA</t>
  </si>
  <si>
    <t>ALEGRE</t>
  </si>
  <si>
    <t>GRANADOS</t>
  </si>
  <si>
    <t>CHIHUAN</t>
  </si>
  <si>
    <t>CHUMBILE</t>
  </si>
  <si>
    <t>COTRINA</t>
  </si>
  <si>
    <t>JAVIER</t>
  </si>
  <si>
    <t>PALPA</t>
  </si>
  <si>
    <t>BRICEÑO</t>
  </si>
  <si>
    <t>ALVA</t>
  </si>
  <si>
    <t>SEDANO</t>
  </si>
  <si>
    <t>ESPARZA</t>
  </si>
  <si>
    <t>GALLO</t>
  </si>
  <si>
    <t>CANCAPA</t>
  </si>
  <si>
    <t>YANA</t>
  </si>
  <si>
    <t>VALERA</t>
  </si>
  <si>
    <t>MANRIQUE</t>
  </si>
  <si>
    <t>PIZANGO</t>
  </si>
  <si>
    <t>YLUQUIS</t>
  </si>
  <si>
    <t>SONCO</t>
  </si>
  <si>
    <t>TOLEDO</t>
  </si>
  <si>
    <t>PAICO</t>
  </si>
  <si>
    <t>ROSALES</t>
  </si>
  <si>
    <t>CCOICCA</t>
  </si>
  <si>
    <t>ZELADA</t>
  </si>
  <si>
    <t>MENDEZ</t>
  </si>
  <si>
    <t>CUETO</t>
  </si>
  <si>
    <t>MAZA</t>
  </si>
  <si>
    <t>LLACSAHUACHE</t>
  </si>
  <si>
    <t>CRISANTO</t>
  </si>
  <si>
    <t>LOAIZA</t>
  </si>
  <si>
    <t>CONDOR</t>
  </si>
  <si>
    <t>MURRUGARRA</t>
  </si>
  <si>
    <t>PUMAHUALCCA</t>
  </si>
  <si>
    <t>ALCANTARA</t>
  </si>
  <si>
    <t>GAITAN</t>
  </si>
  <si>
    <t>PAREJA</t>
  </si>
  <si>
    <t>AMARU</t>
  </si>
  <si>
    <t>MAQUERA</t>
  </si>
  <si>
    <t>AMES</t>
  </si>
  <si>
    <t>CARRASCO</t>
  </si>
  <si>
    <t>MACHACUAY</t>
  </si>
  <si>
    <t>TOCTO</t>
  </si>
  <si>
    <t>PISFIL</t>
  </si>
  <si>
    <t>CHICHIPE</t>
  </si>
  <si>
    <t>MORI</t>
  </si>
  <si>
    <t>CABANILLAS</t>
  </si>
  <si>
    <t>TUCTO</t>
  </si>
  <si>
    <t>CUADROS</t>
  </si>
  <si>
    <t>PARRA</t>
  </si>
  <si>
    <t>ARCE</t>
  </si>
  <si>
    <t>TABOADA</t>
  </si>
  <si>
    <t>SARAVIA</t>
  </si>
  <si>
    <t>MORAN</t>
  </si>
  <si>
    <t>CHAMORRO</t>
  </si>
  <si>
    <t>TIRADO</t>
  </si>
  <si>
    <t>YESQUEN</t>
  </si>
  <si>
    <t>TURPO</t>
  </si>
  <si>
    <t>TAYPE</t>
  </si>
  <si>
    <t>CARMONA</t>
  </si>
  <si>
    <t>MOGOLLÓN</t>
  </si>
  <si>
    <t>TUDELANO</t>
  </si>
  <si>
    <t>ROQUE</t>
  </si>
  <si>
    <t>MESTANZA</t>
  </si>
  <si>
    <t>KUTUCALLA</t>
  </si>
  <si>
    <t>AUCCA</t>
  </si>
  <si>
    <t>CAMIZÁN</t>
  </si>
  <si>
    <t>CURITIMA</t>
  </si>
  <si>
    <t>TINOCO</t>
  </si>
  <si>
    <t>HUILLCARIMAY</t>
  </si>
  <si>
    <t>MAQUE</t>
  </si>
  <si>
    <t>PORRAS</t>
  </si>
  <si>
    <t>CHICLLA</t>
  </si>
  <si>
    <t>ABARCA</t>
  </si>
  <si>
    <t>GANVINE</t>
  </si>
  <si>
    <t>ELIAS</t>
  </si>
  <si>
    <t>CONGA</t>
  </si>
  <si>
    <t>CUICAPUZA</t>
  </si>
  <si>
    <t>DÁVILA</t>
  </si>
  <si>
    <t>CHIGUALA</t>
  </si>
  <si>
    <t>GONZALEZ</t>
  </si>
  <si>
    <t>ANTEZANA</t>
  </si>
  <si>
    <t>BUENDÍA</t>
  </si>
  <si>
    <t>MAURI</t>
  </si>
  <si>
    <t>URIARTE</t>
  </si>
  <si>
    <t>ESPINAL</t>
  </si>
  <si>
    <t>ORCCOTOMA</t>
  </si>
  <si>
    <t>MEJÍA</t>
  </si>
  <si>
    <t>MAYTA</t>
  </si>
  <si>
    <t>GASPAR</t>
  </si>
  <si>
    <t>ARCA</t>
  </si>
  <si>
    <t>LOZANO</t>
  </si>
  <si>
    <t>QUINTANA</t>
  </si>
  <si>
    <t>LORENZO</t>
  </si>
  <si>
    <t>PARDO</t>
  </si>
  <si>
    <t>INFANTE</t>
  </si>
  <si>
    <t>IZAGUIRRE</t>
  </si>
  <si>
    <t>BENDEZU</t>
  </si>
  <si>
    <t>MURILLO</t>
  </si>
  <si>
    <t>YPANAQUE</t>
  </si>
  <si>
    <t>DIOSES</t>
  </si>
  <si>
    <t>RONDOY</t>
  </si>
  <si>
    <t>CHIPANI</t>
  </si>
  <si>
    <t>BALLARDO</t>
  </si>
  <si>
    <t>URRESTTY</t>
  </si>
  <si>
    <t>MONTERO</t>
  </si>
  <si>
    <t>SAUCEDO</t>
  </si>
  <si>
    <t>CAMARENA</t>
  </si>
  <si>
    <t>PARCO</t>
  </si>
  <si>
    <t>HUAYPAR</t>
  </si>
  <si>
    <t>GUAYAC</t>
  </si>
  <si>
    <t>ANCHANTE</t>
  </si>
  <si>
    <t>HUARI</t>
  </si>
  <si>
    <t>IPURRE</t>
  </si>
  <si>
    <t>CRISANTE</t>
  </si>
  <si>
    <t>SAMILLAN</t>
  </si>
  <si>
    <t>MATEO</t>
  </si>
  <si>
    <t>ANDIA</t>
  </si>
  <si>
    <t>MANYARI</t>
  </si>
  <si>
    <t>MALLMA</t>
  </si>
  <si>
    <t>OROPEZA</t>
  </si>
  <si>
    <t>BORJA</t>
  </si>
  <si>
    <t>HUACCOTO</t>
  </si>
  <si>
    <t>GOIZUETA</t>
  </si>
  <si>
    <t>CHILET</t>
  </si>
  <si>
    <t>TINEO</t>
  </si>
  <si>
    <t>BARRENA</t>
  </si>
  <si>
    <t>ORDINOLA</t>
  </si>
  <si>
    <t>CANDIA</t>
  </si>
  <si>
    <t>CORDERO</t>
  </si>
  <si>
    <t>ZANELLI</t>
  </si>
  <si>
    <t>ESQUECHE</t>
  </si>
  <si>
    <t>GALÁN</t>
  </si>
  <si>
    <t>PUMASUPA</t>
  </si>
  <si>
    <t>CARHUA</t>
  </si>
  <si>
    <t>ALANIA</t>
  </si>
  <si>
    <t>OLAYA</t>
  </si>
  <si>
    <t>PORTAL</t>
  </si>
  <si>
    <t>GIRON</t>
  </si>
  <si>
    <t>RABANAL</t>
  </si>
  <si>
    <t>SIME</t>
  </si>
  <si>
    <t>ESCALANTE</t>
  </si>
  <si>
    <t>CAMA</t>
  </si>
  <si>
    <t>LUNA</t>
  </si>
  <si>
    <t>ESPEJO</t>
  </si>
  <si>
    <t>GARAYCOCHEA</t>
  </si>
  <si>
    <t>ASENJO</t>
  </si>
  <si>
    <t>PARIÑAS</t>
  </si>
  <si>
    <t>AVALOS</t>
  </si>
  <si>
    <t>CHIZA</t>
  </si>
  <si>
    <t>COVEÑAS</t>
  </si>
  <si>
    <t>AQUIJES</t>
  </si>
  <si>
    <t>JULCAHUANCA</t>
  </si>
  <si>
    <t>TORO</t>
  </si>
  <si>
    <t>CHANG</t>
  </si>
  <si>
    <t>MALCA</t>
  </si>
  <si>
    <t>QUIROZ</t>
  </si>
  <si>
    <t>KARI</t>
  </si>
  <si>
    <t>DELGADO</t>
  </si>
  <si>
    <t>VIGO</t>
  </si>
  <si>
    <t>HOLGUIN</t>
  </si>
  <si>
    <t>VENERO</t>
  </si>
  <si>
    <t>NUNURA</t>
  </si>
  <si>
    <t>JARAMILLO</t>
  </si>
  <si>
    <t>GUTIÉRREZ</t>
  </si>
  <si>
    <t>ESPINO</t>
  </si>
  <si>
    <t>ARBOLEDA</t>
  </si>
  <si>
    <t>ALCEDO</t>
  </si>
  <si>
    <t>SALDARRIAGA</t>
  </si>
  <si>
    <t>MONTEALBAN</t>
  </si>
  <si>
    <t>VALDIVIEZO</t>
  </si>
  <si>
    <t>SAONA</t>
  </si>
  <si>
    <t>PARINA</t>
  </si>
  <si>
    <t>BUIZA</t>
  </si>
  <si>
    <t>ORIHUELA</t>
  </si>
  <si>
    <t>PISCO</t>
  </si>
  <si>
    <t>VERASTEGUI</t>
  </si>
  <si>
    <t>BECERRA</t>
  </si>
  <si>
    <t>CORONADO</t>
  </si>
  <si>
    <t>GAMARRA</t>
  </si>
  <si>
    <t>CALSIN</t>
  </si>
  <si>
    <t>LAMA</t>
  </si>
  <si>
    <t>CORRALES</t>
  </si>
  <si>
    <t>TORPOCO</t>
  </si>
  <si>
    <t>CURO</t>
  </si>
  <si>
    <t>CHUQUIHUANGA</t>
  </si>
  <si>
    <t>CHIROQUE</t>
  </si>
  <si>
    <t>ATAUCUSI</t>
  </si>
  <si>
    <t>LEDEZMA</t>
  </si>
  <si>
    <t>URTECHO</t>
  </si>
  <si>
    <t>ROMAN</t>
  </si>
  <si>
    <t>HUACHOHUILLCA</t>
  </si>
  <si>
    <t>CONDORCAHUANA</t>
  </si>
  <si>
    <t>SHIMOKAWA</t>
  </si>
  <si>
    <t>CARHUANCHO</t>
  </si>
  <si>
    <t>ALMANZA</t>
  </si>
  <si>
    <t>MAGUIÑA</t>
  </si>
  <si>
    <t>GUERE</t>
  </si>
  <si>
    <t>DAGA</t>
  </si>
  <si>
    <t>DAORTA</t>
  </si>
  <si>
    <t>NANO</t>
  </si>
  <si>
    <t>VELÁSQUEZ</t>
  </si>
  <si>
    <t>PAYAJO</t>
  </si>
  <si>
    <t>SERON</t>
  </si>
  <si>
    <t>SANABRIA</t>
  </si>
  <si>
    <t>PASACHE</t>
  </si>
  <si>
    <t>VILCHERRES</t>
  </si>
  <si>
    <t>GARCÉS</t>
  </si>
  <si>
    <t>CARHUAS</t>
  </si>
  <si>
    <t>INGA</t>
  </si>
  <si>
    <t>RUESTA</t>
  </si>
  <si>
    <t>PEREDA</t>
  </si>
  <si>
    <t>ORIONDO</t>
  </si>
  <si>
    <t>GARAY</t>
  </si>
  <si>
    <t>HUANCA</t>
  </si>
  <si>
    <t>ZACARIAS</t>
  </si>
  <si>
    <t>MENDO</t>
  </si>
  <si>
    <t>CASTAÑEDA</t>
  </si>
  <si>
    <t>CAPCHA</t>
  </si>
  <si>
    <t>RONDON</t>
  </si>
  <si>
    <t>COLLAZOS</t>
  </si>
  <si>
    <t>VIRREYRA</t>
  </si>
  <si>
    <t>PREIS</t>
  </si>
  <si>
    <t>TIPISMANA</t>
  </si>
  <si>
    <t>COAQUIRA</t>
  </si>
  <si>
    <t>PACCORI</t>
  </si>
  <si>
    <t>SINCHE</t>
  </si>
  <si>
    <t>FARIAS</t>
  </si>
  <si>
    <t>SEMINARIO</t>
  </si>
  <si>
    <t>ZORRILLA</t>
  </si>
  <si>
    <t>SURCO</t>
  </si>
  <si>
    <t>RIMARACHIN</t>
  </si>
  <si>
    <t>QUINCHO</t>
  </si>
  <si>
    <t>DUEÑAS</t>
  </si>
  <si>
    <t>GRANDEZ</t>
  </si>
  <si>
    <t>MINCHOLA</t>
  </si>
  <si>
    <t>ZANABRIA</t>
  </si>
  <si>
    <t>CUSMA</t>
  </si>
  <si>
    <t>ALDANA</t>
  </si>
  <si>
    <t>REQUEJO</t>
  </si>
  <si>
    <t>ATOCHE</t>
  </si>
  <si>
    <t>VINCES</t>
  </si>
  <si>
    <t>SEGOVIA</t>
  </si>
  <si>
    <t>VELEZ</t>
  </si>
  <si>
    <t>CALLOSANI</t>
  </si>
  <si>
    <t>LECCA</t>
  </si>
  <si>
    <t>TAPIA</t>
  </si>
  <si>
    <t>BEJAR</t>
  </si>
  <si>
    <t>MONTALVAN</t>
  </si>
  <si>
    <t>YAHUARA</t>
  </si>
  <si>
    <t>VICUÑA</t>
  </si>
  <si>
    <t>CAJAHUANCA</t>
  </si>
  <si>
    <t>CABALLON</t>
  </si>
  <si>
    <t>ÑIHUIN</t>
  </si>
  <si>
    <t>ARROYO</t>
  </si>
  <si>
    <t>HUAYAMA</t>
  </si>
  <si>
    <t>OBLEA</t>
  </si>
  <si>
    <t>VITE</t>
  </si>
  <si>
    <t>CELEDONIO</t>
  </si>
  <si>
    <t>TUÑOQUE</t>
  </si>
  <si>
    <t>ORDOÑEZ</t>
  </si>
  <si>
    <t>DAVALOS</t>
  </si>
  <si>
    <t>GALICIA</t>
  </si>
  <si>
    <t>PANEBRA</t>
  </si>
  <si>
    <t>GALLEGOS</t>
  </si>
  <si>
    <t>VIERA</t>
  </si>
  <si>
    <t>GARRIDO</t>
  </si>
  <si>
    <t>BEDOYA</t>
  </si>
  <si>
    <t>PIANO</t>
  </si>
  <si>
    <t>MORE</t>
  </si>
  <si>
    <t>VELIZ</t>
  </si>
  <si>
    <t>LIZARRAGA</t>
  </si>
  <si>
    <t>NEYRA</t>
  </si>
  <si>
    <t>CORREA</t>
  </si>
  <si>
    <t>ALBINO</t>
  </si>
  <si>
    <t>GUILLEN</t>
  </si>
  <si>
    <t>TUBILLAS</t>
  </si>
  <si>
    <t>CANCHUMANYA</t>
  </si>
  <si>
    <t>POCCO</t>
  </si>
  <si>
    <t>OLIVA</t>
  </si>
  <si>
    <t>CARRERA</t>
  </si>
  <si>
    <t>TIMANA</t>
  </si>
  <si>
    <t>OSORIO</t>
  </si>
  <si>
    <t>LUERA</t>
  </si>
  <si>
    <t>CHALAN</t>
  </si>
  <si>
    <t>CHOCCE</t>
  </si>
  <si>
    <t>BERMUDES</t>
  </si>
  <si>
    <t>1959-02-03</t>
  </si>
  <si>
    <t>1977-09-09</t>
  </si>
  <si>
    <t>1979-05-26</t>
  </si>
  <si>
    <t>1994-03-06</t>
  </si>
  <si>
    <t>1991-03-30</t>
  </si>
  <si>
    <t>1988-08-02</t>
  </si>
  <si>
    <t>1980-02-15</t>
  </si>
  <si>
    <t>1965-03-20</t>
  </si>
  <si>
    <t>1996-02-01</t>
  </si>
  <si>
    <t>1987-04-22</t>
  </si>
  <si>
    <t>1987-01-12</t>
  </si>
  <si>
    <t>1991-07-11</t>
  </si>
  <si>
    <t>1984-08-07</t>
  </si>
  <si>
    <t>1985-02-21</t>
  </si>
  <si>
    <t>1986-09-29</t>
  </si>
  <si>
    <t>1975-04-13</t>
  </si>
  <si>
    <t>1991-08-29</t>
  </si>
  <si>
    <t>1986-08-29</t>
  </si>
  <si>
    <t>1990-05-24</t>
  </si>
  <si>
    <t>1988-02-10</t>
  </si>
  <si>
    <t>1984-08-19</t>
  </si>
  <si>
    <t>1990-07-20</t>
  </si>
  <si>
    <t>1978-11-28</t>
  </si>
  <si>
    <t>1972-09-30</t>
  </si>
  <si>
    <t>1984-01-18</t>
  </si>
  <si>
    <t>1994-05-25</t>
  </si>
  <si>
    <t>1995-03-19</t>
  </si>
  <si>
    <t>1987-09-30</t>
  </si>
  <si>
    <t>1988-02-12</t>
  </si>
  <si>
    <t>1986-01-12</t>
  </si>
  <si>
    <t>1985-09-18</t>
  </si>
  <si>
    <t>1982-03-21</t>
  </si>
  <si>
    <t>1988-07-16</t>
  </si>
  <si>
    <t>1990-11-05</t>
  </si>
  <si>
    <t>1987-10-08</t>
  </si>
  <si>
    <t>1988-10-28</t>
  </si>
  <si>
    <t>1991-06-30</t>
  </si>
  <si>
    <t>1987-04-17</t>
  </si>
  <si>
    <t>1990-03-29</t>
  </si>
  <si>
    <t>1988-04-22</t>
  </si>
  <si>
    <t>1984-11-28</t>
  </si>
  <si>
    <t>1992-04-29</t>
  </si>
  <si>
    <t>1989-03-12</t>
  </si>
  <si>
    <t>1987-01-10</t>
  </si>
  <si>
    <t>1990-04-30</t>
  </si>
  <si>
    <t>1975-11-03</t>
  </si>
  <si>
    <t>1997-03-22</t>
  </si>
  <si>
    <t>1986-10-31</t>
  </si>
  <si>
    <t>1988-08-19</t>
  </si>
  <si>
    <t>1989-10-27</t>
  </si>
  <si>
    <t>1988-02-27</t>
  </si>
  <si>
    <t>1986-11-11</t>
  </si>
  <si>
    <t>1993-07-31</t>
  </si>
  <si>
    <t>1991-05-03</t>
  </si>
  <si>
    <t>1992-11-04</t>
  </si>
  <si>
    <t>1983-11-28</t>
  </si>
  <si>
    <t>1981-04-28</t>
  </si>
  <si>
    <t>1993-08-15</t>
  </si>
  <si>
    <t>1988-09-16</t>
  </si>
  <si>
    <t>1990-02-02</t>
  </si>
  <si>
    <t>1989-01-18</t>
  </si>
  <si>
    <t>1991-09-07</t>
  </si>
  <si>
    <t>1982-11-20</t>
  </si>
  <si>
    <t>1986-11-03</t>
  </si>
  <si>
    <t>1989-02-12</t>
  </si>
  <si>
    <t>1977-09-04</t>
  </si>
  <si>
    <t>1988-06-15</t>
  </si>
  <si>
    <t>1993-02-24</t>
  </si>
  <si>
    <t>1977-02-24</t>
  </si>
  <si>
    <t>1991-01-28</t>
  </si>
  <si>
    <t>1994-06-20</t>
  </si>
  <si>
    <t>1970-10-08</t>
  </si>
  <si>
    <t>1988-02-25</t>
  </si>
  <si>
    <t>1987-06-17</t>
  </si>
  <si>
    <t>1986-07-27</t>
  </si>
  <si>
    <t>1993-09-29</t>
  </si>
  <si>
    <t>1984-02-26</t>
  </si>
  <si>
    <t>1989-05-15</t>
  </si>
  <si>
    <t>1995-12-13</t>
  </si>
  <si>
    <t>1986-11-09</t>
  </si>
  <si>
    <t>1995-05-18</t>
  </si>
  <si>
    <t>1987-08-22</t>
  </si>
  <si>
    <t>1995-02-11</t>
  </si>
  <si>
    <t>1985-01-12</t>
  </si>
  <si>
    <t>1993-04-06</t>
  </si>
  <si>
    <t>1991-03-24</t>
  </si>
  <si>
    <t>1980-08-08</t>
  </si>
  <si>
    <t>1986-03-31</t>
  </si>
  <si>
    <t>1988-11-04</t>
  </si>
  <si>
    <t>1992-02-04</t>
  </si>
  <si>
    <t>1975-08-26</t>
  </si>
  <si>
    <t>1988-03-27</t>
  </si>
  <si>
    <t>1995-03-21</t>
  </si>
  <si>
    <t>2002-12-22</t>
  </si>
  <si>
    <t>1996-09-13</t>
  </si>
  <si>
    <t>1995-04-05</t>
  </si>
  <si>
    <t>1992-02-14</t>
  </si>
  <si>
    <t>2000-01-12</t>
  </si>
  <si>
    <t>2002-07-18</t>
  </si>
  <si>
    <t>1990-03-22</t>
  </si>
  <si>
    <t>1998-01-29</t>
  </si>
  <si>
    <t>1990-01-04</t>
  </si>
  <si>
    <t>1991-06-15</t>
  </si>
  <si>
    <t>1999-04-21</t>
  </si>
  <si>
    <t>1995-03-20</t>
  </si>
  <si>
    <t>2000-07-25</t>
  </si>
  <si>
    <t>1993-10-22</t>
  </si>
  <si>
    <t>1989-01-31</t>
  </si>
  <si>
    <t>1995-08-28</t>
  </si>
  <si>
    <t>1982-07-15</t>
  </si>
  <si>
    <t>1973-06-30</t>
  </si>
  <si>
    <t>1997-07-28</t>
  </si>
  <si>
    <t>1992-10-03</t>
  </si>
  <si>
    <t>1998-07-21</t>
  </si>
  <si>
    <t>1999-05-21</t>
  </si>
  <si>
    <t>1993-02-07</t>
  </si>
  <si>
    <t>1997-06-03</t>
  </si>
  <si>
    <t>1990-12-08</t>
  </si>
  <si>
    <t>1997-03-02</t>
  </si>
  <si>
    <t>1998-11-18</t>
  </si>
  <si>
    <t>1988-03-07</t>
  </si>
  <si>
    <t>2000-03-23</t>
  </si>
  <si>
    <t>1983-04-16</t>
  </si>
  <si>
    <t>1998-10-05</t>
  </si>
  <si>
    <t>1994-12-04</t>
  </si>
  <si>
    <t>1995-04-14</t>
  </si>
  <si>
    <t>1999-09-22</t>
  </si>
  <si>
    <t>1995-08-25</t>
  </si>
  <si>
    <t>1995-01-09</t>
  </si>
  <si>
    <t>2000-12-04</t>
  </si>
  <si>
    <t>1999-05-26</t>
  </si>
  <si>
    <t>1997-09-12</t>
  </si>
  <si>
    <t>1992-11-17</t>
  </si>
  <si>
    <t>1996-11-19</t>
  </si>
  <si>
    <t>1993-10-18</t>
  </si>
  <si>
    <t>1995-04-19</t>
  </si>
  <si>
    <t>1992-08-08</t>
  </si>
  <si>
    <t>1999-04-29</t>
  </si>
  <si>
    <t>1991-11-16</t>
  </si>
  <si>
    <t>1991-07-14</t>
  </si>
  <si>
    <t>1994-06-09</t>
  </si>
  <si>
    <t>1995-08-15</t>
  </si>
  <si>
    <t>1998-09-24</t>
  </si>
  <si>
    <t>1994-11-13</t>
  </si>
  <si>
    <t>1993-08-08</t>
  </si>
  <si>
    <t>1985-08-14</t>
  </si>
  <si>
    <t>1985-10-22</t>
  </si>
  <si>
    <t>1980-04-28</t>
  </si>
  <si>
    <t>1997-07-25</t>
  </si>
  <si>
    <t>1989-01-16</t>
  </si>
  <si>
    <t>1970-04-26</t>
  </si>
  <si>
    <t>1979-05-19</t>
  </si>
  <si>
    <t>1986-08-05</t>
  </si>
  <si>
    <t>1999-01-06</t>
  </si>
  <si>
    <t>1996-06-11</t>
  </si>
  <si>
    <t>1996-09-06</t>
  </si>
  <si>
    <t>1994-07-30</t>
  </si>
  <si>
    <t>1996-05-05</t>
  </si>
  <si>
    <t>1994-03-24</t>
  </si>
  <si>
    <t>2000-04-10</t>
  </si>
  <si>
    <t>1995-02-17</t>
  </si>
  <si>
    <t>2000-07-20</t>
  </si>
  <si>
    <t>1994-10-18</t>
  </si>
  <si>
    <t>1987-06-09</t>
  </si>
  <si>
    <t>1982-06-09</t>
  </si>
  <si>
    <t>1982-08-20</t>
  </si>
  <si>
    <t>2001-05-11</t>
  </si>
  <si>
    <t>1990-08-17</t>
  </si>
  <si>
    <t>1998-07-13</t>
  </si>
  <si>
    <t>1991-04-24</t>
  </si>
  <si>
    <t>1999-10-30</t>
  </si>
  <si>
    <t>1996-03-28</t>
  </si>
  <si>
    <t>1998-09-23</t>
  </si>
  <si>
    <t>1992-04-02</t>
  </si>
  <si>
    <t>1987-05-12</t>
  </si>
  <si>
    <t>1992-08-25</t>
  </si>
  <si>
    <t>1998-08-14</t>
  </si>
  <si>
    <t>1998-12-14</t>
  </si>
  <si>
    <t>1996-08-04</t>
  </si>
  <si>
    <t>1995-11-14</t>
  </si>
  <si>
    <t>2000-01-18</t>
  </si>
  <si>
    <t>1992-05-05</t>
  </si>
  <si>
    <t>1988-11-17</t>
  </si>
  <si>
    <t>1994-12-24</t>
  </si>
  <si>
    <t>1989-05-23</t>
  </si>
  <si>
    <t>1994-03-30</t>
  </si>
  <si>
    <t>1992-12-12</t>
  </si>
  <si>
    <t>2001-09-24</t>
  </si>
  <si>
    <t>1996-07-29</t>
  </si>
  <si>
    <t>1977-08-30</t>
  </si>
  <si>
    <t>1996-06-18</t>
  </si>
  <si>
    <t>1994-10-09</t>
  </si>
  <si>
    <t>1998-03-06</t>
  </si>
  <si>
    <t>1981-08-25</t>
  </si>
  <si>
    <t>1998-05-08</t>
  </si>
  <si>
    <t>2000-08-30</t>
  </si>
  <si>
    <t>1994-11-05</t>
  </si>
  <si>
    <t>1988-09-14</t>
  </si>
  <si>
    <t>1998-02-12</t>
  </si>
  <si>
    <t>1999-04-03</t>
  </si>
  <si>
    <t>1996-11-21</t>
  </si>
  <si>
    <t>1992-01-03</t>
  </si>
  <si>
    <t>1997-05-20</t>
  </si>
  <si>
    <t>1998-08-31</t>
  </si>
  <si>
    <t>1986-07-29</t>
  </si>
  <si>
    <t>1989-07-07</t>
  </si>
  <si>
    <t>1990-07-05</t>
  </si>
  <si>
    <t>1992-10-11</t>
  </si>
  <si>
    <t>2000-02-18</t>
  </si>
  <si>
    <t>1995-10-28</t>
  </si>
  <si>
    <t>1986-06-11</t>
  </si>
  <si>
    <t>1994-12-29</t>
  </si>
  <si>
    <t>1966-10-30</t>
  </si>
  <si>
    <t>1978-07-01</t>
  </si>
  <si>
    <t>1991-06-23</t>
  </si>
  <si>
    <t>1985-08-06</t>
  </si>
  <si>
    <t>1998-02-05</t>
  </si>
  <si>
    <t>1992-11-22</t>
  </si>
  <si>
    <t>1999-03-06</t>
  </si>
  <si>
    <t>2000-03-09</t>
  </si>
  <si>
    <t>1998-09-11</t>
  </si>
  <si>
    <t>1988-07-18</t>
  </si>
  <si>
    <t>2001-03-21</t>
  </si>
  <si>
    <t>2002-10-25</t>
  </si>
  <si>
    <t>1993-07-20</t>
  </si>
  <si>
    <t>1990-11-18</t>
  </si>
  <si>
    <t>1985-01-10</t>
  </si>
  <si>
    <t>1985-05-30</t>
  </si>
  <si>
    <t>1991-06-25</t>
  </si>
  <si>
    <t>1990-09-25</t>
  </si>
  <si>
    <t>1986-11-22</t>
  </si>
  <si>
    <t>2000-04-22</t>
  </si>
  <si>
    <t>1999-09-13</t>
  </si>
  <si>
    <t>1998-06-19</t>
  </si>
  <si>
    <t>2003-07-01</t>
  </si>
  <si>
    <t>2000-06-20</t>
  </si>
  <si>
    <t>2000-12-24</t>
  </si>
  <si>
    <t>1997-05-14</t>
  </si>
  <si>
    <t>1981-12-22</t>
  </si>
  <si>
    <t>1987-04-29</t>
  </si>
  <si>
    <t>1978-05-26</t>
  </si>
  <si>
    <t>1997-10-26</t>
  </si>
  <si>
    <t>1995-05-26</t>
  </si>
  <si>
    <t>1987-06-30</t>
  </si>
  <si>
    <t>1997-11-09</t>
  </si>
  <si>
    <t>2002-11-01</t>
  </si>
  <si>
    <t>1997-03-12</t>
  </si>
  <si>
    <t>1993-10-15</t>
  </si>
  <si>
    <t>1999-09-25</t>
  </si>
  <si>
    <t>1966-03-12</t>
  </si>
  <si>
    <t>1997-07-15</t>
  </si>
  <si>
    <t>1988-12-06</t>
  </si>
  <si>
    <t>1991-11-24</t>
  </si>
  <si>
    <t>1991-06-02</t>
  </si>
  <si>
    <t>1996-10-24</t>
  </si>
  <si>
    <t>1995-01-15</t>
  </si>
  <si>
    <t>2000-08-23</t>
  </si>
  <si>
    <t>1996-06-16</t>
  </si>
  <si>
    <t>2000-08-17</t>
  </si>
  <si>
    <t>1997-10-12</t>
  </si>
  <si>
    <t>1996-03-25</t>
  </si>
  <si>
    <t>1981-06-23</t>
  </si>
  <si>
    <t>1995-01-27</t>
  </si>
  <si>
    <t>1994-11-08</t>
  </si>
  <si>
    <t>1998-12-28</t>
  </si>
  <si>
    <t>2003-08-11</t>
  </si>
  <si>
    <t>2000-11-03</t>
  </si>
  <si>
    <t>2001-02-15</t>
  </si>
  <si>
    <t>1991-04-26</t>
  </si>
  <si>
    <t>1994-08-01</t>
  </si>
  <si>
    <t>2000-03-16</t>
  </si>
  <si>
    <t>1996-09-22</t>
  </si>
  <si>
    <t>1985-12-04</t>
  </si>
  <si>
    <t>1999-01-01</t>
  </si>
  <si>
    <t>1992-04-21</t>
  </si>
  <si>
    <t>1996-06-10</t>
  </si>
  <si>
    <t>1993-01-09</t>
  </si>
  <si>
    <t>1997-04-06</t>
  </si>
  <si>
    <t>1997-09-27</t>
  </si>
  <si>
    <t>2005-02-25</t>
  </si>
  <si>
    <t>1992-03-16</t>
  </si>
  <si>
    <t>1996-12-02</t>
  </si>
  <si>
    <t>1971-10-03</t>
  </si>
  <si>
    <t>1988-09-19</t>
  </si>
  <si>
    <t>1988-03-05</t>
  </si>
  <si>
    <t>1982-11-29</t>
  </si>
  <si>
    <t>1992-07-24</t>
  </si>
  <si>
    <t>1983-05-30</t>
  </si>
  <si>
    <t>1969-06-08</t>
  </si>
  <si>
    <t>1998-02-14</t>
  </si>
  <si>
    <t>1995-12-24</t>
  </si>
  <si>
    <t>1999-10-27</t>
  </si>
  <si>
    <t>1994-09-26</t>
  </si>
  <si>
    <t>1998-12-10</t>
  </si>
  <si>
    <t>2002-12-17</t>
  </si>
  <si>
    <t>2000-05-13</t>
  </si>
  <si>
    <t>1986-10-21</t>
  </si>
  <si>
    <t>1997-11-07</t>
  </si>
  <si>
    <t>1991-03-22</t>
  </si>
  <si>
    <t>1999-05-17</t>
  </si>
  <si>
    <t>2000-03-03</t>
  </si>
  <si>
    <t>1991-04-12</t>
  </si>
  <si>
    <t>2001-06-21</t>
  </si>
  <si>
    <t>1992-11-09</t>
  </si>
  <si>
    <t>2001-04-05</t>
  </si>
  <si>
    <t>1990-08-08</t>
  </si>
  <si>
    <t>1994-03-31</t>
  </si>
  <si>
    <t>1993-07-12</t>
  </si>
  <si>
    <t>1991-08-01</t>
  </si>
  <si>
    <t>1991-07-08</t>
  </si>
  <si>
    <t>1988-11-16</t>
  </si>
  <si>
    <t>1983-05-19</t>
  </si>
  <si>
    <t>1993-12-18</t>
  </si>
  <si>
    <t>2001-05-22</t>
  </si>
  <si>
    <t>1997-07-30</t>
  </si>
  <si>
    <t>1993-04-13</t>
  </si>
  <si>
    <t>1973-06-23</t>
  </si>
  <si>
    <t>1999-06-09</t>
  </si>
  <si>
    <t>1996-02-08</t>
  </si>
  <si>
    <t>1986-10-23</t>
  </si>
  <si>
    <t>1990-09-08</t>
  </si>
  <si>
    <t>1997-06-20</t>
  </si>
  <si>
    <t>1989-12-08</t>
  </si>
  <si>
    <t>1992-07-10</t>
  </si>
  <si>
    <t>2001-01-19</t>
  </si>
  <si>
    <t>1996-04-29</t>
  </si>
  <si>
    <t>1981-06-08</t>
  </si>
  <si>
    <t>1997-11-22</t>
  </si>
  <si>
    <t>1977-04-23</t>
  </si>
  <si>
    <t>1994-05-30</t>
  </si>
  <si>
    <t>1993-04-02</t>
  </si>
  <si>
    <t>1996-08-19</t>
  </si>
  <si>
    <t>1997-09-03</t>
  </si>
  <si>
    <t>1999-09-05</t>
  </si>
  <si>
    <t>1994-07-19</t>
  </si>
  <si>
    <t>1994-04-27</t>
  </si>
  <si>
    <t>1997-01-18</t>
  </si>
  <si>
    <t>1999-05-25</t>
  </si>
  <si>
    <t>1996-09-30</t>
  </si>
  <si>
    <t>1999-05-20</t>
  </si>
  <si>
    <t>1987-01-06</t>
  </si>
  <si>
    <t>1984-06-29</t>
  </si>
  <si>
    <t>1982-05-11</t>
  </si>
  <si>
    <t>2003-04-11</t>
  </si>
  <si>
    <t>1985-04-09</t>
  </si>
  <si>
    <t>1989-09-13</t>
  </si>
  <si>
    <t>2002-11-15</t>
  </si>
  <si>
    <t>1986-09-02</t>
  </si>
  <si>
    <t>2001-06-30</t>
  </si>
  <si>
    <t>2002-01-16</t>
  </si>
  <si>
    <t>2002-06-23</t>
  </si>
  <si>
    <t>1995-08-09</t>
  </si>
  <si>
    <t>1969-11-25</t>
  </si>
  <si>
    <t>1993-06-18</t>
  </si>
  <si>
    <t>1996-03-22</t>
  </si>
  <si>
    <t>1996-12-30</t>
  </si>
  <si>
    <t>1998-09-22</t>
  </si>
  <si>
    <t>1989-08-17</t>
  </si>
  <si>
    <t>1998-12-29</t>
  </si>
  <si>
    <t>1989-12-25</t>
  </si>
  <si>
    <t>1984-07-08</t>
  </si>
  <si>
    <t>2001-04-03</t>
  </si>
  <si>
    <t>2000-09-15</t>
  </si>
  <si>
    <t>1984-11-11</t>
  </si>
  <si>
    <t>1989-01-03</t>
  </si>
  <si>
    <t>1999-12-03</t>
  </si>
  <si>
    <t>1998-09-14</t>
  </si>
  <si>
    <t>2002-09-26</t>
  </si>
  <si>
    <t>2002-12-14</t>
  </si>
  <si>
    <t>1995-06-07</t>
  </si>
  <si>
    <t>1999-06-04</t>
  </si>
  <si>
    <t>2004-08-29</t>
  </si>
  <si>
    <t>2003-05-07</t>
  </si>
  <si>
    <t>1985-12-13</t>
  </si>
  <si>
    <t>2002-02-16</t>
  </si>
  <si>
    <t>1986-06-03</t>
  </si>
  <si>
    <t>1993-03-23</t>
  </si>
  <si>
    <t>1992-06-11</t>
  </si>
  <si>
    <t>1978-03-12</t>
  </si>
  <si>
    <t>1999-03-13</t>
  </si>
  <si>
    <t>1981-06-24</t>
  </si>
  <si>
    <t>1998-10-09</t>
  </si>
  <si>
    <t>1988-12-22</t>
  </si>
  <si>
    <t>1998-03-23</t>
  </si>
  <si>
    <t>1989-10-05</t>
  </si>
  <si>
    <t>1997-12-22</t>
  </si>
  <si>
    <t>2002-07-06</t>
  </si>
  <si>
    <t>1995-03-23</t>
  </si>
  <si>
    <t>1995-04-12</t>
  </si>
  <si>
    <t>1994-09-13</t>
  </si>
  <si>
    <t>1988-10-29</t>
  </si>
  <si>
    <t>1989-02-26</t>
  </si>
  <si>
    <t>1998-06-07</t>
  </si>
  <si>
    <t>1992-05-27</t>
  </si>
  <si>
    <t>1983-04-13</t>
  </si>
  <si>
    <t>1997-08-04</t>
  </si>
  <si>
    <t>1990-02-12</t>
  </si>
  <si>
    <t>1984-02-10</t>
  </si>
  <si>
    <t>2001-03-12</t>
  </si>
  <si>
    <t>1994-02-08</t>
  </si>
  <si>
    <t>1990-04-07</t>
  </si>
  <si>
    <t>1994-12-11</t>
  </si>
  <si>
    <t>1991-08-07</t>
  </si>
  <si>
    <t>1999-02-03</t>
  </si>
  <si>
    <t>1998-04-02</t>
  </si>
  <si>
    <t>2003-04-15</t>
  </si>
  <si>
    <t>1994-04-19</t>
  </si>
  <si>
    <t>1990-09-13</t>
  </si>
  <si>
    <t>2000-01-10</t>
  </si>
  <si>
    <t>2004-05-11</t>
  </si>
  <si>
    <t>2000-07-02</t>
  </si>
  <si>
    <t>1998-01-25</t>
  </si>
  <si>
    <t>1994-04-02</t>
  </si>
  <si>
    <t>1992-06-18</t>
  </si>
  <si>
    <t>2001-12-23</t>
  </si>
  <si>
    <t>1993-03-01</t>
  </si>
  <si>
    <t>1977-03-15</t>
  </si>
  <si>
    <t>1990-07-13</t>
  </si>
  <si>
    <t>2001-06-20</t>
  </si>
  <si>
    <t>1994-09-18</t>
  </si>
  <si>
    <t>1989-11-01</t>
  </si>
  <si>
    <t>2003-09-30</t>
  </si>
  <si>
    <t>1995-09-15</t>
  </si>
  <si>
    <t>1997-03-03</t>
  </si>
  <si>
    <t>1981-12-30</t>
  </si>
  <si>
    <t>1999-02-04</t>
  </si>
  <si>
    <t>1996-01-19</t>
  </si>
  <si>
    <t>1997-08-24</t>
  </si>
  <si>
    <t>1996-04-14</t>
  </si>
  <si>
    <t>1998-10-31</t>
  </si>
  <si>
    <t>1996-07-22</t>
  </si>
  <si>
    <t>1994-04-09</t>
  </si>
  <si>
    <t>1985-09-29</t>
  </si>
  <si>
    <t>2000-11-30</t>
  </si>
  <si>
    <t>1998-11-19</t>
  </si>
  <si>
    <t>1999-09-08</t>
  </si>
  <si>
    <t>1997-06-27</t>
  </si>
  <si>
    <t>1997-01-13</t>
  </si>
  <si>
    <t>1994-02-22</t>
  </si>
  <si>
    <t>2002-06-22</t>
  </si>
  <si>
    <t>2001-04-30</t>
  </si>
  <si>
    <t>1967-10-02</t>
  </si>
  <si>
    <t>2000-11-17</t>
  </si>
  <si>
    <t>1996-06-27</t>
  </si>
  <si>
    <t>1996-07-07</t>
  </si>
  <si>
    <t>2000-09-29</t>
  </si>
  <si>
    <t>1989-12-13</t>
  </si>
  <si>
    <t>1998-08-02</t>
  </si>
  <si>
    <t>1999-01-12</t>
  </si>
  <si>
    <t>1998-08-10</t>
  </si>
  <si>
    <t>1989-06-03</t>
  </si>
  <si>
    <t>1993-02-25</t>
  </si>
  <si>
    <t>1999-08-26</t>
  </si>
  <si>
    <t>1990-01-30</t>
  </si>
  <si>
    <t>1977-09-10</t>
  </si>
  <si>
    <t>1996-06-30</t>
  </si>
  <si>
    <t>1994-09-23</t>
  </si>
  <si>
    <t>1992-05-12</t>
  </si>
  <si>
    <t>1992-07-26</t>
  </si>
  <si>
    <t>1988-01-11</t>
  </si>
  <si>
    <t>1994-11-24</t>
  </si>
  <si>
    <t>1993-05-12</t>
  </si>
  <si>
    <t>1987-06-13</t>
  </si>
  <si>
    <t>1970-03-20</t>
  </si>
  <si>
    <t>1999-01-07</t>
  </si>
  <si>
    <t>1978-07-21</t>
  </si>
  <si>
    <t>1996-12-24</t>
  </si>
  <si>
    <t>1995-09-14</t>
  </si>
  <si>
    <t>1997-12-01</t>
  </si>
  <si>
    <t>1999-05-28</t>
  </si>
  <si>
    <t>1988-05-27</t>
  </si>
  <si>
    <t>1994-08-16</t>
  </si>
  <si>
    <t>2000-09-14</t>
  </si>
  <si>
    <t>1992-07-15</t>
  </si>
  <si>
    <t>1990-10-02</t>
  </si>
  <si>
    <t>1995-07-10</t>
  </si>
  <si>
    <t>2001-11-30</t>
  </si>
  <si>
    <t>2002-08-26</t>
  </si>
  <si>
    <t>1976-12-13</t>
  </si>
  <si>
    <t>2003-04-27</t>
  </si>
  <si>
    <t>2001-02-14</t>
  </si>
  <si>
    <t>1992-01-16</t>
  </si>
  <si>
    <t>1976-05-19</t>
  </si>
  <si>
    <t>2001-04-13</t>
  </si>
  <si>
    <t>2001-08-03</t>
  </si>
  <si>
    <t>1978-04-30</t>
  </si>
  <si>
    <t>1998-05-12</t>
  </si>
  <si>
    <t>1990-10-11</t>
  </si>
  <si>
    <t>2001-09-28</t>
  </si>
  <si>
    <t>2001-09-26</t>
  </si>
  <si>
    <t>1995-05-21</t>
  </si>
  <si>
    <t>1979-11-15</t>
  </si>
  <si>
    <t>1990-06-05</t>
  </si>
  <si>
    <t>2001-06-03</t>
  </si>
  <si>
    <t>1976-12-09</t>
  </si>
  <si>
    <t>1991-05-10</t>
  </si>
  <si>
    <t>1996-10-01</t>
  </si>
  <si>
    <t>1994-12-13</t>
  </si>
  <si>
    <t>1995-10-01</t>
  </si>
  <si>
    <t>1996-05-18</t>
  </si>
  <si>
    <t>1999-10-23</t>
  </si>
  <si>
    <t>2005-03-17</t>
  </si>
  <si>
    <t>1994-01-28</t>
  </si>
  <si>
    <t>1991-07-16</t>
  </si>
  <si>
    <t>1983-09-19</t>
  </si>
  <si>
    <t>1998-03-27</t>
  </si>
  <si>
    <t>1987-10-18</t>
  </si>
  <si>
    <t>1985-09-15</t>
  </si>
  <si>
    <t>2005-04-09</t>
  </si>
  <si>
    <t>1999-09-06</t>
  </si>
  <si>
    <t>1999-11-06</t>
  </si>
  <si>
    <t>1979-01-14</t>
  </si>
  <si>
    <t>2001-05-15</t>
  </si>
  <si>
    <t>1994-06-04</t>
  </si>
  <si>
    <t>2001-05-13</t>
  </si>
  <si>
    <t>2000-03-22</t>
  </si>
  <si>
    <t>1997-07-29</t>
  </si>
  <si>
    <t>1985-01-02</t>
  </si>
  <si>
    <t>1987-08-06</t>
  </si>
  <si>
    <t>1998-06-01</t>
  </si>
  <si>
    <t>1994-07-03</t>
  </si>
  <si>
    <t>1964-02-19</t>
  </si>
  <si>
    <t>1984-04-11</t>
  </si>
  <si>
    <t>1992-11-21</t>
  </si>
  <si>
    <t>1992-09-24</t>
  </si>
  <si>
    <t>1970-10-30</t>
  </si>
  <si>
    <t>1985-11-25</t>
  </si>
  <si>
    <t>2000-12-03</t>
  </si>
  <si>
    <t>1978-08-30</t>
  </si>
  <si>
    <t>1985-05-13</t>
  </si>
  <si>
    <t>1991-02-23</t>
  </si>
  <si>
    <t>1999-05-11</t>
  </si>
  <si>
    <t>1992-09-14</t>
  </si>
  <si>
    <t>2002-04-04</t>
  </si>
  <si>
    <t>1994-03-09</t>
  </si>
  <si>
    <t>1990-03-21</t>
  </si>
  <si>
    <t>2004-01-27</t>
  </si>
  <si>
    <t>2002-04-03</t>
  </si>
  <si>
    <t>1972-11-11</t>
  </si>
  <si>
    <t>1979-10-04</t>
  </si>
  <si>
    <t>1988-05-04</t>
  </si>
  <si>
    <t>1999-06-15</t>
  </si>
  <si>
    <t>1984-06-28</t>
  </si>
  <si>
    <t>1990-06-07</t>
  </si>
  <si>
    <t>2002-08-01</t>
  </si>
  <si>
    <t>1992-01-29</t>
  </si>
  <si>
    <t>1982-07-05</t>
  </si>
  <si>
    <t>1995-09-20</t>
  </si>
  <si>
    <t>2004-01-29</t>
  </si>
  <si>
    <t>1990-08-28</t>
  </si>
  <si>
    <t>1985-09-03</t>
  </si>
  <si>
    <t>2004-06-09</t>
  </si>
  <si>
    <t>1994-05-18</t>
  </si>
  <si>
    <t>1991-10-03</t>
  </si>
  <si>
    <t>1998-08-20</t>
  </si>
  <si>
    <t>1992-05-22</t>
  </si>
  <si>
    <t>1993-02-10</t>
  </si>
  <si>
    <t>2000-11-21</t>
  </si>
  <si>
    <t>1984-12-08</t>
  </si>
  <si>
    <t>1990-01-31</t>
  </si>
  <si>
    <t>2000-03-14</t>
  </si>
  <si>
    <t>2001-03-20</t>
  </si>
  <si>
    <t>1998-06-14</t>
  </si>
  <si>
    <t>1999-04-16</t>
  </si>
  <si>
    <t>1999-01-16</t>
  </si>
  <si>
    <t>1999-04-24</t>
  </si>
  <si>
    <t>2003-10-07</t>
  </si>
  <si>
    <t>1992-04-05</t>
  </si>
  <si>
    <t>2003-05-29</t>
  </si>
  <si>
    <t>1993-06-30</t>
  </si>
  <si>
    <t>1979-09-09</t>
  </si>
  <si>
    <t>2001-02-20</t>
  </si>
  <si>
    <t>1998-11-04</t>
  </si>
  <si>
    <t>1999-12-17</t>
  </si>
  <si>
    <t>2002-08-23</t>
  </si>
  <si>
    <t>1998-08-01</t>
  </si>
  <si>
    <t>2002-04-28</t>
  </si>
  <si>
    <t>1983-06-16</t>
  </si>
  <si>
    <t>2001-01-08</t>
  </si>
  <si>
    <t>1978-04-12</t>
  </si>
  <si>
    <t>2001-04-09</t>
  </si>
  <si>
    <t>2005-07-13</t>
  </si>
  <si>
    <t>1977-08-22</t>
  </si>
  <si>
    <t>1999-02-17</t>
  </si>
  <si>
    <t>2000-10-12</t>
  </si>
  <si>
    <t>2003-01-03</t>
  </si>
  <si>
    <t>2003-06-16</t>
  </si>
  <si>
    <t>2001-10-17</t>
  </si>
  <si>
    <t>1993-12-28</t>
  </si>
  <si>
    <t>2004-05-29</t>
  </si>
  <si>
    <t>1984-09-20</t>
  </si>
  <si>
    <t>1996-09-17</t>
  </si>
  <si>
    <t>1995-03-18</t>
  </si>
  <si>
    <t>1998-10-17</t>
  </si>
  <si>
    <t>1996-04-22</t>
  </si>
  <si>
    <t>1986-05-29</t>
  </si>
  <si>
    <t>2000-08-07</t>
  </si>
  <si>
    <t>1990-02-13</t>
  </si>
  <si>
    <t>2000-04-05</t>
  </si>
  <si>
    <t>1992-01-01</t>
  </si>
  <si>
    <t>2002-05-25</t>
  </si>
  <si>
    <t>2000-07-03</t>
  </si>
  <si>
    <t>2001-01-26</t>
  </si>
  <si>
    <t>1999-01-09</t>
  </si>
  <si>
    <t>1998-07-24</t>
  </si>
  <si>
    <t>1993-05-07</t>
  </si>
  <si>
    <t>1999-08-31</t>
  </si>
  <si>
    <t>1991-02-04</t>
  </si>
  <si>
    <t>2000-06-23</t>
  </si>
  <si>
    <t>1996-02-29</t>
  </si>
  <si>
    <t>1997-10-13</t>
  </si>
  <si>
    <t>1997-01-29</t>
  </si>
  <si>
    <t>1967-08-31</t>
  </si>
  <si>
    <t>2002-06-04</t>
  </si>
  <si>
    <t>1974-04-20</t>
  </si>
  <si>
    <t>1990-02-17</t>
  </si>
  <si>
    <t>1982-07-02</t>
  </si>
  <si>
    <t>1988-02-19</t>
  </si>
  <si>
    <t>2004-04-12</t>
  </si>
  <si>
    <t>1998-07-28</t>
  </si>
  <si>
    <t>1998-07-08</t>
  </si>
  <si>
    <t>1993-04-28</t>
  </si>
  <si>
    <t>1998-01-14</t>
  </si>
  <si>
    <t>2004-09-04</t>
  </si>
  <si>
    <t>1983-07-08</t>
  </si>
  <si>
    <t>1993-11-09</t>
  </si>
  <si>
    <t>1996-12-16</t>
  </si>
  <si>
    <t>1999-07-16</t>
  </si>
  <si>
    <t>1991-06-20</t>
  </si>
  <si>
    <t>1980-12-04</t>
  </si>
  <si>
    <t>1984-05-27</t>
  </si>
  <si>
    <t>1998-12-19</t>
  </si>
  <si>
    <t>1996-03-01</t>
  </si>
  <si>
    <t>2001-08-24</t>
  </si>
  <si>
    <t>1993-07-15</t>
  </si>
  <si>
    <t>1984-04-10</t>
  </si>
  <si>
    <t>1995-02-18</t>
  </si>
  <si>
    <t>2000-05-30</t>
  </si>
  <si>
    <t>2001-02-08</t>
  </si>
  <si>
    <t>1992-09-17</t>
  </si>
  <si>
    <t>1995-10-04</t>
  </si>
  <si>
    <t>1999-10-04</t>
  </si>
  <si>
    <t>2000-01-09</t>
  </si>
  <si>
    <t>1997-11-01</t>
  </si>
  <si>
    <t>1992-12-02</t>
  </si>
  <si>
    <t>1996-04-21</t>
  </si>
  <si>
    <t>1995-10-14</t>
  </si>
  <si>
    <t>2004-12-31</t>
  </si>
  <si>
    <t>1990-08-03</t>
  </si>
  <si>
    <t>2003-03-17</t>
  </si>
  <si>
    <t>1993-07-19</t>
  </si>
  <si>
    <t>2001-05-05</t>
  </si>
  <si>
    <t>1992-06-28</t>
  </si>
  <si>
    <t>1997-11-18</t>
  </si>
  <si>
    <t>1980-08-10</t>
  </si>
  <si>
    <t>1994-01-07</t>
  </si>
  <si>
    <t>1998-04-10</t>
  </si>
  <si>
    <t>1993-03-09</t>
  </si>
  <si>
    <t>1994-02-13</t>
  </si>
  <si>
    <t>1992-03-06</t>
  </si>
  <si>
    <t>1986-11-18</t>
  </si>
  <si>
    <t>2000-08-04</t>
  </si>
  <si>
    <t>1999-03-18</t>
  </si>
  <si>
    <t>1994-06-22</t>
  </si>
  <si>
    <t>1997-12-31</t>
  </si>
  <si>
    <t>1995-12-09</t>
  </si>
  <si>
    <t>1996-03-18</t>
  </si>
  <si>
    <t>1997-01-03</t>
  </si>
  <si>
    <t>2002-09-20</t>
  </si>
  <si>
    <t>1974-08-20</t>
  </si>
  <si>
    <t>1993-04-11</t>
  </si>
  <si>
    <t>1997-09-15</t>
  </si>
  <si>
    <t>1994-02-28</t>
  </si>
  <si>
    <t>2000-12-09</t>
  </si>
  <si>
    <t>2002-01-28</t>
  </si>
  <si>
    <t>1997-06-15</t>
  </si>
  <si>
    <t>1999-05-09</t>
  </si>
  <si>
    <t>2005-11-02</t>
  </si>
  <si>
    <t>1994-06-12</t>
  </si>
  <si>
    <t>2000-02-04</t>
  </si>
  <si>
    <t>1987-01-26</t>
  </si>
  <si>
    <t>1997-07-22</t>
  </si>
  <si>
    <t>2003-05-20</t>
  </si>
  <si>
    <t>1998-02-20</t>
  </si>
  <si>
    <t>1997-09-13</t>
  </si>
  <si>
    <t>1983-10-28</t>
  </si>
  <si>
    <t>1995-01-17</t>
  </si>
  <si>
    <t>2000-07-07</t>
  </si>
  <si>
    <t>2003-06-04</t>
  </si>
  <si>
    <t>1995-01-16</t>
  </si>
  <si>
    <t>1997-05-21</t>
  </si>
  <si>
    <t>1976-04-02</t>
  </si>
  <si>
    <t>1996-01-16</t>
  </si>
  <si>
    <t>1996-12-26</t>
  </si>
  <si>
    <t>QUIJAITE GRANADOS, FRANKLIN YAN</t>
  </si>
  <si>
    <t>TORREJON GUTIERREZ, JESUS HUMBERTO</t>
  </si>
  <si>
    <t>MAGUIÑA MALDONADO, LUCIO ALFREDO</t>
  </si>
  <si>
    <t>SERNAQUE ZAPATA, OSCAR</t>
  </si>
  <si>
    <t>MARTINEZ BUSTAMANTE, CHRISTIAN MANUEL</t>
  </si>
  <si>
    <t>RAMOS ANCO, JESUS ENRIQUE</t>
  </si>
  <si>
    <t>MANAYAY SERQUEN, BERNANDINO ALEXANDER</t>
  </si>
  <si>
    <t>RUFINO RIOFRIO, JEAN CARLOS</t>
  </si>
  <si>
    <t>JUNIOR ORLANDO, BERRU ZAPATA</t>
  </si>
  <si>
    <t>ORTEGA TELLO, HENRY LUIS</t>
  </si>
  <si>
    <t>SOTO HUARNIZ, MIGUEL ANTHONY</t>
  </si>
  <si>
    <t>JORDAN TAPARA, RODRIGO</t>
  </si>
  <si>
    <t>VARGAS HARO, GARY JUNIOR</t>
  </si>
  <si>
    <t>MALLMA MOSQUERA, RELVI ORLAN</t>
  </si>
  <si>
    <t>LLAXA ACASIO, CARLOS GABRIEL</t>
  </si>
  <si>
    <t>MARQUEZ PRIETO, BILLY JOEL</t>
  </si>
  <si>
    <t>GADEA SANTISTEBAN, GERARDO MANUEL DE JESUS</t>
  </si>
  <si>
    <t>VENTOCILLA CHOQUE, PETER SAM</t>
  </si>
  <si>
    <t>BACA ALFARO, FRANCISCO EULOGIO</t>
  </si>
  <si>
    <t>MIRANDA ANAMPA, OSCAR</t>
  </si>
  <si>
    <t>CAVERO JUNGBLUTH, LUIS ERNETO GERMAN</t>
  </si>
  <si>
    <t>GARCÍA REGALADO, CESAR FERNANDO JUNNIOR</t>
  </si>
  <si>
    <t>MANAYAY</t>
  </si>
  <si>
    <t>SERQUEN</t>
  </si>
  <si>
    <t>RIOFRIO</t>
  </si>
  <si>
    <t>JUNIOR</t>
  </si>
  <si>
    <t>ORLANDO</t>
  </si>
  <si>
    <t>HUARNIZ</t>
  </si>
  <si>
    <t>JORDAN</t>
  </si>
  <si>
    <t>TAPARA</t>
  </si>
  <si>
    <t>HARO</t>
  </si>
  <si>
    <t>MOSQUERA</t>
  </si>
  <si>
    <t>LLAXA</t>
  </si>
  <si>
    <t>ACASIO</t>
  </si>
  <si>
    <t>MARQUEZ</t>
  </si>
  <si>
    <t>PRIETO</t>
  </si>
  <si>
    <t>GADEA</t>
  </si>
  <si>
    <t>SANTISTEBAN</t>
  </si>
  <si>
    <t>VENTOCILLA</t>
  </si>
  <si>
    <t>BACA</t>
  </si>
  <si>
    <t>CAVERO</t>
  </si>
  <si>
    <t>JUNGBLUTH</t>
  </si>
  <si>
    <t>REGALADO</t>
  </si>
  <si>
    <t>JAIME ENRIQUE LAZARO</t>
  </si>
  <si>
    <t>RICARDO GALDINO</t>
  </si>
  <si>
    <t>IVAN</t>
  </si>
  <si>
    <t>KATTY MARIBEL</t>
  </si>
  <si>
    <t>JOSÉ BERNARD</t>
  </si>
  <si>
    <t>HENDRIK ELISEO</t>
  </si>
  <si>
    <t>MARCOS JEFFERSON</t>
  </si>
  <si>
    <t>JUAN EDILBERTO</t>
  </si>
  <si>
    <t>FRANCISCO JAVIER</t>
  </si>
  <si>
    <t>JAIRO</t>
  </si>
  <si>
    <t>GIANFRANCO</t>
  </si>
  <si>
    <t>PABLO JESUS</t>
  </si>
  <si>
    <t>NINO</t>
  </si>
  <si>
    <t>MARIO VÍCTOR</t>
  </si>
  <si>
    <t>NESTOR EAIDAN</t>
  </si>
  <si>
    <t>MARCOS FELIX</t>
  </si>
  <si>
    <t>RICHARD JAVIER</t>
  </si>
  <si>
    <t>EBER</t>
  </si>
  <si>
    <t>NORMAN</t>
  </si>
  <si>
    <t>ALDO</t>
  </si>
  <si>
    <t>GONZALO</t>
  </si>
  <si>
    <t>ESTEBAN SANTIAGO</t>
  </si>
  <si>
    <t>FERMIN</t>
  </si>
  <si>
    <t>FERNANDO</t>
  </si>
  <si>
    <t>JOSE ALEXANDER</t>
  </si>
  <si>
    <t>LUIS ANTONIO</t>
  </si>
  <si>
    <t>DAVID</t>
  </si>
  <si>
    <t>RONALD REYNALDO</t>
  </si>
  <si>
    <t>CESAR JAVIER</t>
  </si>
  <si>
    <t>PABLO ALBERTO</t>
  </si>
  <si>
    <t>ALEX NOBEL</t>
  </si>
  <si>
    <t>NIWTON</t>
  </si>
  <si>
    <t>WILBERTH</t>
  </si>
  <si>
    <t>MARIO FERNANDO</t>
  </si>
  <si>
    <t>JAIME NICOLAS</t>
  </si>
  <si>
    <t>RODOMIRO ENRIQUE</t>
  </si>
  <si>
    <t>MIRELLA PATRICIA</t>
  </si>
  <si>
    <t>LUIS MAXIMO</t>
  </si>
  <si>
    <t>CRISTHIAN OSMAR</t>
  </si>
  <si>
    <t>EDUAR</t>
  </si>
  <si>
    <t>JENNIFER</t>
  </si>
  <si>
    <t>VICTOR MANUEL</t>
  </si>
  <si>
    <t>JOSE LUIS</t>
  </si>
  <si>
    <t>JESUS MANUEL</t>
  </si>
  <si>
    <t>JIMMY JOEL</t>
  </si>
  <si>
    <t>MICHAEL HAMLET</t>
  </si>
  <si>
    <t>OSWALDO ANTONIO</t>
  </si>
  <si>
    <t>ALIRIO</t>
  </si>
  <si>
    <t>ALVARO ALIPIO</t>
  </si>
  <si>
    <t>CARLO FRANCO</t>
  </si>
  <si>
    <t>HAROLD</t>
  </si>
  <si>
    <t>PATRICIO AUGUSTO</t>
  </si>
  <si>
    <t>JOSETH JONATHAN</t>
  </si>
  <si>
    <t>FRANKLIN YAN</t>
  </si>
  <si>
    <t>HENRY ERICSSON</t>
  </si>
  <si>
    <t>WINAIKER STEWEN</t>
  </si>
  <si>
    <t>DIEGO ARMANDO</t>
  </si>
  <si>
    <t>ANTHONY MARTIN</t>
  </si>
  <si>
    <t>LUIS ALBERTO</t>
  </si>
  <si>
    <t>VLADIMIR</t>
  </si>
  <si>
    <t>WASHINGTON</t>
  </si>
  <si>
    <t>STALIN JOSUE</t>
  </si>
  <si>
    <t>MARDONIO</t>
  </si>
  <si>
    <t>EDGARD SIXTO</t>
  </si>
  <si>
    <t>RENSO</t>
  </si>
  <si>
    <t>WITTMAN GODOY</t>
  </si>
  <si>
    <t>DANIEL ADRIANO</t>
  </si>
  <si>
    <t>JOSE ARMANDO</t>
  </si>
  <si>
    <t>ALEX</t>
  </si>
  <si>
    <t>JUAN CARLOS</t>
  </si>
  <si>
    <t>GIANCARLO</t>
  </si>
  <si>
    <t>CESAR HUMBERTO</t>
  </si>
  <si>
    <t>ANGEL JESUS</t>
  </si>
  <si>
    <t>ROXANA GIOVANNA</t>
  </si>
  <si>
    <t>JUAN EISER</t>
  </si>
  <si>
    <t>EDER ADDERLY</t>
  </si>
  <si>
    <t>JEAN CARLO</t>
  </si>
  <si>
    <t>JOSE VICTOR MARTIN</t>
  </si>
  <si>
    <t>LUCIO ALFREDO</t>
  </si>
  <si>
    <t>ANDERSEN DINO</t>
  </si>
  <si>
    <t>CARLOS ALBERTO</t>
  </si>
  <si>
    <t>ALEJANDRO</t>
  </si>
  <si>
    <t>ALEXIS MIGUEL</t>
  </si>
  <si>
    <t>ADRIAN ALEXIS</t>
  </si>
  <si>
    <t>CRISTHIAN FABIO</t>
  </si>
  <si>
    <t>VANIA ANDREA</t>
  </si>
  <si>
    <t>MARCO ANTONIO</t>
  </si>
  <si>
    <t>OSCAR</t>
  </si>
  <si>
    <t>PAULO RODRIGO</t>
  </si>
  <si>
    <t>LEONARD MICHAEL</t>
  </si>
  <si>
    <t>JOSE ANTONIO</t>
  </si>
  <si>
    <t>JOSIMAR FINDLAY</t>
  </si>
  <si>
    <t>NORMA JIMENA</t>
  </si>
  <si>
    <t>JEAN FRANCO</t>
  </si>
  <si>
    <t>GUILLERMO RENE</t>
  </si>
  <si>
    <t>SERGIO</t>
  </si>
  <si>
    <t>PERCY EDGARDO</t>
  </si>
  <si>
    <t>FRANK FELIX</t>
  </si>
  <si>
    <t>JORGE LUIS</t>
  </si>
  <si>
    <t>ALFREDO EDUARDO</t>
  </si>
  <si>
    <t>RONAL</t>
  </si>
  <si>
    <t>IRVING GERARDO</t>
  </si>
  <si>
    <t>ITALO JEANCARLO</t>
  </si>
  <si>
    <t>WILVER</t>
  </si>
  <si>
    <t>CHRISTIAN MANUEL</t>
  </si>
  <si>
    <t>SERGIO ANDRE</t>
  </si>
  <si>
    <t>DILMER BENJAMÍN</t>
  </si>
  <si>
    <t>LAURA MARICIELO</t>
  </si>
  <si>
    <t>JAIR</t>
  </si>
  <si>
    <t>JESUS ENRIQUE</t>
  </si>
  <si>
    <t>JERSON LEONCIO</t>
  </si>
  <si>
    <t>YUGERT JEFFERSSON</t>
  </si>
  <si>
    <t>JHON CARLOS</t>
  </si>
  <si>
    <t>JULIO CESAR</t>
  </si>
  <si>
    <t>JHOSEPH OSMAR</t>
  </si>
  <si>
    <t>WILBER</t>
  </si>
  <si>
    <t>CESAR</t>
  </si>
  <si>
    <t>FRANK ANDERSON</t>
  </si>
  <si>
    <t>ALEJANDRO JUNIOR</t>
  </si>
  <si>
    <t>BERNANDINO ALEXANDER</t>
  </si>
  <si>
    <t>FREDESVICTOR</t>
  </si>
  <si>
    <t>RUSEL DILVER</t>
  </si>
  <si>
    <t>JHONATAN</t>
  </si>
  <si>
    <t>JEAN PIERRE</t>
  </si>
  <si>
    <t>JESSY MURIEL</t>
  </si>
  <si>
    <t>HOBARD VIDAL</t>
  </si>
  <si>
    <t>FRITZGERALD DEMETRY</t>
  </si>
  <si>
    <t>ENRIQUE MOISES</t>
  </si>
  <si>
    <t>FELIX EDGARDO</t>
  </si>
  <si>
    <t>KARLO SEBASTIAN</t>
  </si>
  <si>
    <t>EULALIO</t>
  </si>
  <si>
    <t>ANTONIO</t>
  </si>
  <si>
    <t>HUMBERTO RONNY</t>
  </si>
  <si>
    <t>KATHERINE MILAGROS</t>
  </si>
  <si>
    <t>JEAN CARLOS</t>
  </si>
  <si>
    <t>DANTE EDMUNDO</t>
  </si>
  <si>
    <t>BERRU ZAPATA</t>
  </si>
  <si>
    <t>MARCEL ALI</t>
  </si>
  <si>
    <t>JLENDER ELI</t>
  </si>
  <si>
    <t>LUIGUI BRAYAN</t>
  </si>
  <si>
    <t>ALEXANDER RAUL</t>
  </si>
  <si>
    <t>KEVIN ANDY</t>
  </si>
  <si>
    <t>HENRY LUIS</t>
  </si>
  <si>
    <t>MIGUEL ANTHONY</t>
  </si>
  <si>
    <t>CARLOS ADRIEL</t>
  </si>
  <si>
    <t>TORIBIO</t>
  </si>
  <si>
    <t>WILFREDO</t>
  </si>
  <si>
    <t>RODRIGO</t>
  </si>
  <si>
    <t>GIANMARCO EDUARDO</t>
  </si>
  <si>
    <t>ELIAZEL ENRRIQUE</t>
  </si>
  <si>
    <t>OLGHER FABIAN</t>
  </si>
  <si>
    <t>CESAR AUGUSTO</t>
  </si>
  <si>
    <t>LEONEL</t>
  </si>
  <si>
    <t>JONATHAN JOSEPH</t>
  </si>
  <si>
    <t>NAYADA KIMBERLY ARIANA</t>
  </si>
  <si>
    <t>RELVI ORLAN</t>
  </si>
  <si>
    <t>MICHELL</t>
  </si>
  <si>
    <t>LEONARDO ADRIAN</t>
  </si>
  <si>
    <t>PEDRO CESAR</t>
  </si>
  <si>
    <t>JOYCE</t>
  </si>
  <si>
    <t>WILSON FERNANDO</t>
  </si>
  <si>
    <t>GONZALO JAVIER</t>
  </si>
  <si>
    <t>ARNOLD OLIVER</t>
  </si>
  <si>
    <t>LUIS EDMUNDO</t>
  </si>
  <si>
    <t>WILMER FREDDY</t>
  </si>
  <si>
    <t>LEONARDO ANTONIO</t>
  </si>
  <si>
    <t>FABRICIO PIERRE</t>
  </si>
  <si>
    <t>RENZO JUVENAL</t>
  </si>
  <si>
    <t>HÉCTOR ANDRÉS</t>
  </si>
  <si>
    <t>ROY KEVIN</t>
  </si>
  <si>
    <t>JUAN JOSE</t>
  </si>
  <si>
    <t>JAVIER ALEXANDER</t>
  </si>
  <si>
    <t>CARLOS GABRIEL</t>
  </si>
  <si>
    <t>BILLY JOEL</t>
  </si>
  <si>
    <t>KENETH MICHAEL</t>
  </si>
  <si>
    <t>PIERINA MILAGROS</t>
  </si>
  <si>
    <t>NELSON WALTER</t>
  </si>
  <si>
    <t>GERARDO MANUEL DE JESUS</t>
  </si>
  <si>
    <t>EDISON</t>
  </si>
  <si>
    <t>JOSE MIGUEL</t>
  </si>
  <si>
    <t>JESUS ALEJANDRO</t>
  </si>
  <si>
    <t>LUIS ALEXANDER</t>
  </si>
  <si>
    <t>VICTOR HUGO</t>
  </si>
  <si>
    <t>CESAR MANUEL</t>
  </si>
  <si>
    <t>LUIS ALDAIR</t>
  </si>
  <si>
    <t>EVELIO JOSÉ</t>
  </si>
  <si>
    <t>JOHN SIXTO</t>
  </si>
  <si>
    <t>PETER SAM</t>
  </si>
  <si>
    <t>FRANCISCO EULOGIO</t>
  </si>
  <si>
    <t>ELISEO</t>
  </si>
  <si>
    <t>DIEGO AUGUSTO</t>
  </si>
  <si>
    <t>SEGUNDO JULIAN</t>
  </si>
  <si>
    <t>TITO MAGAYAL</t>
  </si>
  <si>
    <t>SARAH BELEN</t>
  </si>
  <si>
    <t>FRANK ALDAREIR</t>
  </si>
  <si>
    <t>JOSÉ LUIS</t>
  </si>
  <si>
    <t>WILLIAM FRANCISCO</t>
  </si>
  <si>
    <t>EDWIN</t>
  </si>
  <si>
    <t>BORIS DANIEL</t>
  </si>
  <si>
    <t>HENRRY ENRIQUE</t>
  </si>
  <si>
    <t>LUIS GONZALO</t>
  </si>
  <si>
    <t>WILMER</t>
  </si>
  <si>
    <t>RONY JEANPIERRE EUSEBIO</t>
  </si>
  <si>
    <t>HENRY</t>
  </si>
  <si>
    <t>GUIDO RAY</t>
  </si>
  <si>
    <t>EDISON VIRNEY</t>
  </si>
  <si>
    <t>JOSE ARQUIMEDES</t>
  </si>
  <si>
    <t>FELLY ROSARIO</t>
  </si>
  <si>
    <t>CHRISTOPHER MIKE</t>
  </si>
  <si>
    <t>JEFFERSON JUNIOR</t>
  </si>
  <si>
    <t>FRANCK JOSE</t>
  </si>
  <si>
    <t>DAVID ELIGIO</t>
  </si>
  <si>
    <t>LARIZA LISETH</t>
  </si>
  <si>
    <t>LEONER ADRIAN</t>
  </si>
  <si>
    <t>GUSTAVO ALONSO</t>
  </si>
  <si>
    <t>VICTOR EDUARDO</t>
  </si>
  <si>
    <t>GARY JUNIOR</t>
  </si>
  <si>
    <t>JESUS HUMBERTO</t>
  </si>
  <si>
    <t>KEVIN ROSSEL</t>
  </si>
  <si>
    <t>FIDEL ANGEL</t>
  </si>
  <si>
    <t>JESUS ANGEL</t>
  </si>
  <si>
    <t>DAYANNE NICOLE</t>
  </si>
  <si>
    <t>GUILLERMO HARY</t>
  </si>
  <si>
    <t>YADHIRA</t>
  </si>
  <si>
    <t>NILTON NOE</t>
  </si>
  <si>
    <t>JESUS</t>
  </si>
  <si>
    <t>KATHERINE MARLENE</t>
  </si>
  <si>
    <t>JORGE ARMANDO</t>
  </si>
  <si>
    <t>RICHARD</t>
  </si>
  <si>
    <t>KELLY LORENA</t>
  </si>
  <si>
    <t>FRANGHOAR ANGELLO</t>
  </si>
  <si>
    <t>ALLINSON YOLANDA</t>
  </si>
  <si>
    <t>WILBER RAUL</t>
  </si>
  <si>
    <t>JAFFET MAURICIO</t>
  </si>
  <si>
    <t>MIGUEL EDGARDO</t>
  </si>
  <si>
    <t>MARCOS ALBERTO</t>
  </si>
  <si>
    <t>MELANNY KATHY</t>
  </si>
  <si>
    <t>YURI</t>
  </si>
  <si>
    <t>YONHATAN ALEXANDER</t>
  </si>
  <si>
    <t>GIANELA ROSA</t>
  </si>
  <si>
    <t>CRISTHIAN DAVID</t>
  </si>
  <si>
    <t>DIEGO ANDRE</t>
  </si>
  <si>
    <t>XIOMARA CRISELL</t>
  </si>
  <si>
    <t>RUTH YORICA</t>
  </si>
  <si>
    <t>CARLOS MANUEL</t>
  </si>
  <si>
    <t>RENATO</t>
  </si>
  <si>
    <t>BENJAMÍN OMAR</t>
  </si>
  <si>
    <t>HARRY JOHN</t>
  </si>
  <si>
    <t>MARCO BRUNO</t>
  </si>
  <si>
    <t>JIMENA</t>
  </si>
  <si>
    <t>AUGUSTO LUIS</t>
  </si>
  <si>
    <t>MANUEL JHONATAN</t>
  </si>
  <si>
    <t>OSBAR JOSELITO</t>
  </si>
  <si>
    <t>MARCELO MARTIN</t>
  </si>
  <si>
    <t>NERIO ENRIQUE</t>
  </si>
  <si>
    <t>GUIDO ANTONIO</t>
  </si>
  <si>
    <t>MÁXIMO</t>
  </si>
  <si>
    <t>ALVARO ENRIQUE</t>
  </si>
  <si>
    <t>DUBER</t>
  </si>
  <si>
    <t>YHOEL YHORDIÑO</t>
  </si>
  <si>
    <t>JHAN MARTIN</t>
  </si>
  <si>
    <t>LINCOLN ARTURO</t>
  </si>
  <si>
    <t>ALVARO JULIO</t>
  </si>
  <si>
    <t>CESAR ADRIÁN</t>
  </si>
  <si>
    <t>JEAN PIERE</t>
  </si>
  <si>
    <t>JOSHUA SABRINA</t>
  </si>
  <si>
    <t>HOUSTON MARCO</t>
  </si>
  <si>
    <t>JORGE ANTONIO</t>
  </si>
  <si>
    <t>JOSEPH EDGAR</t>
  </si>
  <si>
    <t>ALVARO KEVIN</t>
  </si>
  <si>
    <t>JUAN CARLOS IVAN</t>
  </si>
  <si>
    <t>JOSE FRANCISCO</t>
  </si>
  <si>
    <t>SEGUNDO JOHN</t>
  </si>
  <si>
    <t>CARLOS JHONATAN</t>
  </si>
  <si>
    <t>DARWIN OMAR</t>
  </si>
  <si>
    <t>GUILLERMO FRANKLIN</t>
  </si>
  <si>
    <t>EDILMER</t>
  </si>
  <si>
    <t>MELANY KIMBERLY</t>
  </si>
  <si>
    <t>SEBASTIAN EDILBERTO</t>
  </si>
  <si>
    <t>JOSE GIANFRANCO</t>
  </si>
  <si>
    <t>ALEX JOEL</t>
  </si>
  <si>
    <t>DIEGO AARON</t>
  </si>
  <si>
    <t>RONALD JOSUE</t>
  </si>
  <si>
    <t>HUGO HÉCTOR</t>
  </si>
  <si>
    <t>NILO</t>
  </si>
  <si>
    <t>PABLO FELIPE</t>
  </si>
  <si>
    <t>ERICK ALEXANDER</t>
  </si>
  <si>
    <t>CARLOS ENRIQUE</t>
  </si>
  <si>
    <t>JORGE AUGUSTO</t>
  </si>
  <si>
    <t>CESAR MARTIN</t>
  </si>
  <si>
    <t>FELIX GERARDO</t>
  </si>
  <si>
    <t>CHRISTOPHER ABILIO</t>
  </si>
  <si>
    <t>RICARDO ALFONSO</t>
  </si>
  <si>
    <t>ROCIO LISBETH</t>
  </si>
  <si>
    <t>LARRY GREGORIO</t>
  </si>
  <si>
    <t>CARLOS DIEGO</t>
  </si>
  <si>
    <t>CESAR ABEL</t>
  </si>
  <si>
    <t>HENNRY</t>
  </si>
  <si>
    <t>JESÚS ANTONIO</t>
  </si>
  <si>
    <t>RUSBEL MILTON</t>
  </si>
  <si>
    <t>KELVIN ARTURO</t>
  </si>
  <si>
    <t>JAIME DEYVIS</t>
  </si>
  <si>
    <t>LEOPOLDO ANCI</t>
  </si>
  <si>
    <t>ANDRÉ JAVIER</t>
  </si>
  <si>
    <t>AAROM BRYAM AYRTON</t>
  </si>
  <si>
    <t>JORGE JOSEPH</t>
  </si>
  <si>
    <t>FRANKLIN</t>
  </si>
  <si>
    <t>NELSON ALEXANDER</t>
  </si>
  <si>
    <t>HUGO JOEL</t>
  </si>
  <si>
    <t>KRISTEL XIMENA</t>
  </si>
  <si>
    <t>JHON GLEIN</t>
  </si>
  <si>
    <t>ELIAS ANDREE</t>
  </si>
  <si>
    <t>BRAX ARNY</t>
  </si>
  <si>
    <t>CYNTHIA ANDREA</t>
  </si>
  <si>
    <t>JHON DARWIN</t>
  </si>
  <si>
    <t>MARVIN EMANUEL</t>
  </si>
  <si>
    <t>JOSE ANDRE</t>
  </si>
  <si>
    <t>CHARLI</t>
  </si>
  <si>
    <t>JUNIOR EDUARDO</t>
  </si>
  <si>
    <t>MILWARD JORGE</t>
  </si>
  <si>
    <t>JHONY</t>
  </si>
  <si>
    <t>MIGUEL ANGEL</t>
  </si>
  <si>
    <t>EDUARDO MARTIN</t>
  </si>
  <si>
    <t>EMIL BERNARD</t>
  </si>
  <si>
    <t>YESENIA MERCEDES</t>
  </si>
  <si>
    <t>JEAN PIER</t>
  </si>
  <si>
    <t>XAVIER</t>
  </si>
  <si>
    <t>NILS</t>
  </si>
  <si>
    <t>GUIDO HERNAN</t>
  </si>
  <si>
    <t>ALEXANDER</t>
  </si>
  <si>
    <t>ANGEL</t>
  </si>
  <si>
    <t>FRANCK MARCOS</t>
  </si>
  <si>
    <t>JEANCARLO JESUS</t>
  </si>
  <si>
    <t>ERICK JAIR</t>
  </si>
  <si>
    <t>DIEGO YAMIL</t>
  </si>
  <si>
    <t>ANGEL IVAN</t>
  </si>
  <si>
    <t>JEYSA ALEXANDRA</t>
  </si>
  <si>
    <t>MANUEL</t>
  </si>
  <si>
    <t>SEGUNDO PEDRO</t>
  </si>
  <si>
    <t>HERNAN</t>
  </si>
  <si>
    <t>JHONATAN JOEL</t>
  </si>
  <si>
    <t>SAUL MOISES</t>
  </si>
  <si>
    <t>EDGAR</t>
  </si>
  <si>
    <t>CELSO LUIS</t>
  </si>
  <si>
    <t>JHONATAN MAURO</t>
  </si>
  <si>
    <t>MARIA FERNANDA ROSA</t>
  </si>
  <si>
    <t>LUIS ERNETO GERMAN</t>
  </si>
  <si>
    <t>MICHELLE</t>
  </si>
  <si>
    <t>FIORELLA</t>
  </si>
  <si>
    <t>LISSET GERALDINE</t>
  </si>
  <si>
    <t>GERALDINE</t>
  </si>
  <si>
    <t>FABIAN</t>
  </si>
  <si>
    <t>JOHAN ALDHAIR</t>
  </si>
  <si>
    <t>BRIAN BROWN</t>
  </si>
  <si>
    <t>JOSE VIDAL</t>
  </si>
  <si>
    <t>WILBER RUBEN</t>
  </si>
  <si>
    <t>JOSELYN ROBINSON</t>
  </si>
  <si>
    <t>MARIO JOEL</t>
  </si>
  <si>
    <t>EDGARD LEONCIO</t>
  </si>
  <si>
    <t>LENYN</t>
  </si>
  <si>
    <t>PABLO CESAR</t>
  </si>
  <si>
    <t>FREDDY WALDIR</t>
  </si>
  <si>
    <t>LUIS CARLOS</t>
  </si>
  <si>
    <t>JESUS ERICK</t>
  </si>
  <si>
    <t>CRISTHIAN CRISTOFER</t>
  </si>
  <si>
    <t>STIVENSON JONATHAN</t>
  </si>
  <si>
    <t>ALEJANDRO EUDOCIO</t>
  </si>
  <si>
    <t>SEBASTIAN PIERO</t>
  </si>
  <si>
    <t>JEREMY HAROLD</t>
  </si>
  <si>
    <t>OMAR</t>
  </si>
  <si>
    <t>MAKINO MIJAIL</t>
  </si>
  <si>
    <t>BENJY ROCKY</t>
  </si>
  <si>
    <t>GERALDYNE JAZMYN</t>
  </si>
  <si>
    <t>CESAR FERNANDO JUNNIOR</t>
  </si>
  <si>
    <t>ANTONY BRANCO</t>
  </si>
  <si>
    <t>URIEL AUGUSTO</t>
  </si>
  <si>
    <t>LUIS GUSTAVO</t>
  </si>
  <si>
    <t>JACK FELIPE</t>
  </si>
  <si>
    <t>BELEN ALEXANDRA</t>
  </si>
  <si>
    <t>KEVIN GABRIEL</t>
  </si>
  <si>
    <t>PABLO</t>
  </si>
  <si>
    <t>BLADIMIR</t>
  </si>
  <si>
    <t>JEAN PIERRE ALEJANDRO</t>
  </si>
  <si>
    <t>CHRISTIAN JESUS</t>
  </si>
  <si>
    <t>JESÚS ERASMO</t>
  </si>
  <si>
    <t>EDUARDO</t>
  </si>
  <si>
    <t>MARIO MANUEL</t>
  </si>
  <si>
    <t>YERSON FABRISIO</t>
  </si>
  <si>
    <t>JHONSON</t>
  </si>
  <si>
    <t>XUAN ARMANDO</t>
  </si>
  <si>
    <t>JESUS WALTER HUMBERTO</t>
  </si>
  <si>
    <t>LUIS ALFREDO</t>
  </si>
  <si>
    <t>BRAD</t>
  </si>
  <si>
    <t>MARCELO</t>
  </si>
  <si>
    <t>RAFAEL AUGUSTO</t>
  </si>
  <si>
    <t>KEVIN JOSEPH</t>
  </si>
  <si>
    <t>MANUEL ZEUXIS VICTOR JOHN</t>
  </si>
  <si>
    <t>JEAN MANUEL</t>
  </si>
  <si>
    <t>KARLA ESTHER</t>
  </si>
  <si>
    <t>OWIN RENATO</t>
  </si>
  <si>
    <t>JUNIOR EDINSON</t>
  </si>
  <si>
    <t>JACK LEANDRO</t>
  </si>
  <si>
    <t>PIERO ANTONIO</t>
  </si>
  <si>
    <t>JULIO CARLOS</t>
  </si>
  <si>
    <t>ALEXANDER JHON</t>
  </si>
  <si>
    <t>LUIS MIGUEL</t>
  </si>
  <si>
    <t>MIGUEL SANTOS</t>
  </si>
  <si>
    <t>ANTONIO JESUS</t>
  </si>
  <si>
    <t>ERICK VLADIMIR</t>
  </si>
  <si>
    <t>ALVARO DANIEL</t>
  </si>
  <si>
    <t>MAYCOLT JORDI</t>
  </si>
  <si>
    <t>JOSE MAURICIO</t>
  </si>
  <si>
    <t>BRIGITT EMPERATRIZ</t>
  </si>
  <si>
    <t>MARCOS UBER</t>
  </si>
  <si>
    <t>JAN CARLOS</t>
  </si>
  <si>
    <t>LUIS ENRIQUE</t>
  </si>
  <si>
    <t>RONALD</t>
  </si>
  <si>
    <t>JHONATAN DOUGLAS</t>
  </si>
  <si>
    <t>JARVIN RAFAEL</t>
  </si>
  <si>
    <t>CARLOS YAIR</t>
  </si>
  <si>
    <t>WALTER</t>
  </si>
  <si>
    <t>JAIR JOSUE</t>
  </si>
  <si>
    <t>JOEL FRANKLIN</t>
  </si>
  <si>
    <t>JONATHA SMITH</t>
  </si>
  <si>
    <t>PIERO ALESSANDRO</t>
  </si>
  <si>
    <t>LUCIO RIVALDO</t>
  </si>
  <si>
    <t>LUIYI</t>
  </si>
  <si>
    <t>GEREMIAS</t>
  </si>
  <si>
    <t>CESAR EYNNER</t>
  </si>
  <si>
    <t>HEYSEN</t>
  </si>
  <si>
    <t>RUBÉN</t>
  </si>
  <si>
    <t>SEBASTIÁN DAVID</t>
  </si>
  <si>
    <t>OSCAR DANIEL</t>
  </si>
  <si>
    <t>JOSE MANUEL</t>
  </si>
  <si>
    <t>ARMANDO RAFAEL</t>
  </si>
  <si>
    <t>LUIS KENEDY</t>
  </si>
  <si>
    <t>WILLIAM</t>
  </si>
  <si>
    <t>ALEXIS ROLANDI</t>
  </si>
  <si>
    <t>AMNER JESUS</t>
  </si>
  <si>
    <t>BRENNER</t>
  </si>
  <si>
    <t>CARLOS DAVID</t>
  </si>
  <si>
    <t>JOE JUNIOR</t>
  </si>
  <si>
    <t>MILLER CARLOS</t>
  </si>
  <si>
    <t>MANFREDO</t>
  </si>
  <si>
    <t>GONZALO NADIM</t>
  </si>
  <si>
    <t>DANIEL JOSTIN</t>
  </si>
  <si>
    <t>DAVID MARTIN</t>
  </si>
  <si>
    <t>HERMES PIERO</t>
  </si>
  <si>
    <t>WILLY ALEXANDER</t>
  </si>
  <si>
    <t>CIRO MAURICIO</t>
  </si>
  <si>
    <t>JHONY GRABIEL</t>
  </si>
  <si>
    <t>CHRISTIAN JAIME</t>
  </si>
  <si>
    <t>CRISTHIAN JESUS</t>
  </si>
  <si>
    <t>LELIXS JANDER</t>
  </si>
  <si>
    <t>OSCAR HENRY</t>
  </si>
  <si>
    <t>ERIC RAFAEL</t>
  </si>
  <si>
    <t>MARCIO SANTOS</t>
  </si>
  <si>
    <t>DARWIN EUDOCIO</t>
  </si>
  <si>
    <t>GILMAR</t>
  </si>
  <si>
    <t>JHAN CARLOS</t>
  </si>
  <si>
    <t>ROYER MIGUEL</t>
  </si>
  <si>
    <t>NAZARIO</t>
  </si>
  <si>
    <t>MIRIAM</t>
  </si>
  <si>
    <t>CLAUDIO ANDRES</t>
  </si>
  <si>
    <t>JHON DONNY</t>
  </si>
  <si>
    <t>JHON CLINTON</t>
  </si>
  <si>
    <t>JOSE ENRIQUE</t>
  </si>
  <si>
    <t>SEGUNDO TEOFILO</t>
  </si>
  <si>
    <t>RENZO DAVID</t>
  </si>
  <si>
    <t>VICENTE ADRIAN</t>
  </si>
  <si>
    <t>CARLOS LUIS</t>
  </si>
  <si>
    <t>JOSE RONALDO</t>
  </si>
  <si>
    <t>LUIS FERNANDO</t>
  </si>
  <si>
    <t>ERICK HANSEL</t>
  </si>
  <si>
    <t>ONEIL DEL PIERO</t>
  </si>
  <si>
    <t>JOSEIN</t>
  </si>
  <si>
    <t>CARLOS</t>
  </si>
  <si>
    <t>KELLY</t>
  </si>
  <si>
    <t>MERCI ANGEL ROSA</t>
  </si>
  <si>
    <t>WILSON ALFREDO</t>
  </si>
  <si>
    <t>IVAN FRANCISCO</t>
  </si>
  <si>
    <t>FRANCISCO GEANNPAUL</t>
  </si>
  <si>
    <t>DIEGO THOMAS</t>
  </si>
  <si>
    <t>OMAR ALFREDO</t>
  </si>
  <si>
    <t>IVAN JAVIER</t>
  </si>
  <si>
    <t>SAMUEL LEONARDO</t>
  </si>
  <si>
    <t>ONESIMO NEHEMIAS</t>
  </si>
  <si>
    <t>CESÁR AUGUSTO</t>
  </si>
  <si>
    <t>ROLANDO</t>
  </si>
  <si>
    <t>ISRAEL ALEJANDRO</t>
  </si>
  <si>
    <t>ANGIELO DE JESUS</t>
  </si>
  <si>
    <t>VARI</t>
  </si>
  <si>
    <t>LUIS ANGEL DEL CARMEN</t>
  </si>
  <si>
    <t>ELMER</t>
  </si>
  <si>
    <t>ROBERTH</t>
  </si>
  <si>
    <t>OSCAR POOL</t>
  </si>
  <si>
    <t>ERNESTO ALONSO</t>
  </si>
  <si>
    <t>JHANDERI KEYLI</t>
  </si>
  <si>
    <t>ROLLING ANDREI</t>
  </si>
  <si>
    <t>ALEJANDRO JESUS</t>
  </si>
  <si>
    <t>ABIMEL</t>
  </si>
  <si>
    <t>WILBER FERNANDO</t>
  </si>
  <si>
    <t>ELMER JUAN</t>
  </si>
  <si>
    <t>MARLINDO FELICISIMO</t>
  </si>
  <si>
    <t>TOMAS IVAN</t>
  </si>
  <si>
    <t>YOSHUA ALEXANDER</t>
  </si>
  <si>
    <t>YORDAN SAMIR</t>
  </si>
  <si>
    <t>BRAAM ALEXANDER</t>
  </si>
  <si>
    <t>ALVARO NEICER</t>
  </si>
  <si>
    <t>WILMER JAVIER</t>
  </si>
  <si>
    <t>JUAN ALEJANDRO</t>
  </si>
  <si>
    <t>RAUL SAMMER</t>
  </si>
  <si>
    <t>NICOL STEFANY</t>
  </si>
  <si>
    <t>O'BRIAN DONOVAN</t>
  </si>
  <si>
    <t>ALFREDO GONZALO</t>
  </si>
  <si>
    <t>JOHNNY MARTIN</t>
  </si>
  <si>
    <t>PABLO BENJAMIN</t>
  </si>
  <si>
    <t>JAIRO LENNYN</t>
  </si>
  <si>
    <t>EDDY XAVIER</t>
  </si>
  <si>
    <t>NICOLAS ALONSO</t>
  </si>
  <si>
    <t>BRAULI YEFER</t>
  </si>
  <si>
    <t>CHRISTIAN</t>
  </si>
  <si>
    <t>EVERLIN MILTON</t>
  </si>
  <si>
    <t>OCLANDER</t>
  </si>
  <si>
    <t>JHON HEINZ</t>
  </si>
  <si>
    <t>RAÚL</t>
  </si>
  <si>
    <t>JUAN ANTONIO</t>
  </si>
  <si>
    <t>MÁXIMO JUNIOR</t>
  </si>
  <si>
    <t>CRISTHIAN RUBER</t>
  </si>
  <si>
    <t>MANUEL ALBERTO</t>
  </si>
  <si>
    <t>LINCOLN JHON</t>
  </si>
  <si>
    <t>JOHAN PIERO</t>
  </si>
  <si>
    <t>JUAN DE DIOS</t>
  </si>
  <si>
    <t>EDUARDO AGUSTIN</t>
  </si>
  <si>
    <t>PAUL JHANCARLOS</t>
  </si>
  <si>
    <t>VÍCTOR ANTONIO</t>
  </si>
  <si>
    <t>ELIAS PAUL</t>
  </si>
  <si>
    <t>LUDVING DANIEL</t>
  </si>
  <si>
    <t>CHARLY JHONY</t>
  </si>
  <si>
    <t>DANIEL ALCIDES</t>
  </si>
  <si>
    <t>DIEGO ALONSO</t>
  </si>
  <si>
    <t>MARIO ANGEL</t>
  </si>
  <si>
    <t>ANDREA CECILIA</t>
  </si>
  <si>
    <t>MICHELL ROBERT</t>
  </si>
  <si>
    <t>KATHERINE</t>
  </si>
  <si>
    <t>JESUS ALEXSANDER</t>
  </si>
  <si>
    <t>ANTHONY ROBERTH</t>
  </si>
  <si>
    <t>JHON GABRIEL</t>
  </si>
  <si>
    <t>BRYAN ALDAIR</t>
  </si>
  <si>
    <t>BRYAN ANTONIO</t>
  </si>
  <si>
    <t>CAYO YOSMIL</t>
  </si>
  <si>
    <t>JOHAN PAUL</t>
  </si>
  <si>
    <t>JOHN YEISON</t>
  </si>
  <si>
    <t>JERIN LYNCOLNS</t>
  </si>
  <si>
    <t>ROGER ALDAIR</t>
  </si>
  <si>
    <t>REX RENE</t>
  </si>
  <si>
    <t>FREDY ALFREDO</t>
  </si>
  <si>
    <t>GUSTAVO BARTOLOMÉ</t>
  </si>
  <si>
    <t>VICTOR LUIS</t>
  </si>
  <si>
    <t>DANTE JEAN FRANCO</t>
  </si>
  <si>
    <t>JORDAN WILSON</t>
  </si>
  <si>
    <t>TXIKI XAVIER</t>
  </si>
  <si>
    <t>JUNIOR OMAR</t>
  </si>
  <si>
    <t>JOSÉ WILDER</t>
  </si>
  <si>
    <t>RODOLFO SONY</t>
  </si>
  <si>
    <t>JOSÉ FRANCISCO</t>
  </si>
  <si>
    <t>GILMER JESUS</t>
  </si>
  <si>
    <t>OSCAR WILLY</t>
  </si>
  <si>
    <t>ADRIAN IBRAIN</t>
  </si>
  <si>
    <t>EDGARD FELIPE</t>
  </si>
  <si>
    <t>ANGEL EDUARDO</t>
  </si>
  <si>
    <t>MARCO ANTONIO JUSTO</t>
  </si>
  <si>
    <t>LUIS ANGEL</t>
  </si>
  <si>
    <t>JESUS ALEXANDER</t>
  </si>
  <si>
    <t>EDISON ELVIS</t>
  </si>
  <si>
    <t>ENRIQUE ALEJANDRO</t>
  </si>
  <si>
    <t>RODOLFO UBER</t>
  </si>
  <si>
    <t>JUAN MANUEL</t>
  </si>
  <si>
    <t>ALESSANDRO RAMON</t>
  </si>
  <si>
    <t>RUBEN DAVID</t>
  </si>
  <si>
    <t>CYNTHIA MAYELY</t>
  </si>
  <si>
    <t>MARIO ANTONIO</t>
  </si>
  <si>
    <t>SAÚL</t>
  </si>
  <si>
    <t>ALVARO ROLANDO</t>
  </si>
  <si>
    <t>LUIS JUNIOR</t>
  </si>
  <si>
    <t>CARLOS ALEJANDRO</t>
  </si>
  <si>
    <t>RENZO</t>
  </si>
  <si>
    <t>WILLIAM ANDRES</t>
  </si>
  <si>
    <t>PAULO CESAR</t>
  </si>
  <si>
    <t>ANTHONY JOEL</t>
  </si>
  <si>
    <t>ELEAZAR</t>
  </si>
  <si>
    <t>MOISES AARON</t>
  </si>
  <si>
    <t>SAULO SAUL</t>
  </si>
  <si>
    <t>MARCO</t>
  </si>
  <si>
    <t>ALVARO HENRY</t>
  </si>
  <si>
    <t>LUIS</t>
  </si>
  <si>
    <t>FREDY</t>
  </si>
  <si>
    <t>DIEGO ALFONSO</t>
  </si>
  <si>
    <t>DANIEL JUSTO</t>
  </si>
  <si>
    <t>ALAN JEAN PIERRE</t>
  </si>
  <si>
    <t>EFRAIN AQUILES</t>
  </si>
  <si>
    <t>JOSE ERARDO</t>
  </si>
  <si>
    <t>SAUL</t>
  </si>
  <si>
    <t>RODRIGO MICHEL</t>
  </si>
  <si>
    <t>ALVARO SEBASTIÁN</t>
  </si>
  <si>
    <t>DEYVI YULI</t>
  </si>
  <si>
    <t>GIAN CARLO</t>
  </si>
  <si>
    <t>JONATHAN</t>
  </si>
  <si>
    <t>ANTHONY EDUARDO</t>
  </si>
  <si>
    <t>EDINSON IVAN</t>
  </si>
  <si>
    <t>AARON</t>
  </si>
  <si>
    <t>JOEL ALBERTO</t>
  </si>
  <si>
    <t>ELMER JESUS</t>
  </si>
  <si>
    <t>ANDERSON MIGUEL</t>
  </si>
  <si>
    <t>JULIO RAMIRO</t>
  </si>
  <si>
    <t>ANTHONY ALEXANDER</t>
  </si>
  <si>
    <t>CARLA SAIDA</t>
  </si>
  <si>
    <t>FRANCISCO EDUARDO</t>
  </si>
  <si>
    <t>GIANMARCO ANTONY</t>
  </si>
  <si>
    <t>JOSSLY PAUL</t>
  </si>
  <si>
    <t>FABRICIO</t>
  </si>
  <si>
    <t>ANTONIO DAVID</t>
  </si>
  <si>
    <t>ROMULO</t>
  </si>
  <si>
    <t>JHANCARLOS ANDRÉS</t>
  </si>
  <si>
    <t>EDUARDO FRANCO</t>
  </si>
  <si>
    <t>GREGORIO JAMPIER</t>
  </si>
  <si>
    <t>OWENH HIPOLITO</t>
  </si>
  <si>
    <t>RODRIGO DIEGO</t>
  </si>
  <si>
    <t>JESUS YONY</t>
  </si>
  <si>
    <t>LEMNIS LINO</t>
  </si>
  <si>
    <t>EBERTH OMAR</t>
  </si>
  <si>
    <t>DIEGO DOUGLAS</t>
  </si>
  <si>
    <t>JAIME FERNANDO</t>
  </si>
  <si>
    <t>ADRIANA LUCIA</t>
  </si>
  <si>
    <t>JULIO ALEXANDER</t>
  </si>
  <si>
    <t>ALEJANDRO MARTIN</t>
  </si>
  <si>
    <t>GABRIEL OSWALDO</t>
  </si>
  <si>
    <t>EDWAR YSRAEL</t>
  </si>
  <si>
    <t>JOSÉ MIGUEL</t>
  </si>
  <si>
    <t>MIGUEL GUILLERMO</t>
  </si>
  <si>
    <t>RODRIGO MARCEL</t>
  </si>
  <si>
    <t>ALAMIRO</t>
  </si>
  <si>
    <t>WILLIAN FRANS</t>
  </si>
  <si>
    <t>CRISTHIAN MICHELL</t>
  </si>
  <si>
    <t>ANDERSON BRANDOM</t>
  </si>
  <si>
    <t>GILMER JAVIER</t>
  </si>
  <si>
    <t>JERSON JAIR</t>
  </si>
  <si>
    <t>NILTON ALEXANDER JEAN PIER</t>
  </si>
  <si>
    <t>ELCER</t>
  </si>
  <si>
    <t>CARLOS FERNANDO</t>
  </si>
  <si>
    <t>NILTON CÉSAR</t>
  </si>
  <si>
    <t>JOHAN CARLO</t>
  </si>
  <si>
    <t>JERCY ARMANDO</t>
  </si>
  <si>
    <t>ELVIS GEANMARCO</t>
  </si>
  <si>
    <t>CHRISTOPHER BRYAN</t>
  </si>
  <si>
    <t>ITHER ALVARO</t>
  </si>
  <si>
    <t>EMILIO ALBERTO</t>
  </si>
  <si>
    <t>CALEB ISMAEL</t>
  </si>
  <si>
    <t>FRAY HECTOR</t>
  </si>
  <si>
    <t>ADOLFO TITO</t>
  </si>
  <si>
    <t>CRISTHIAN ALEXANDER</t>
  </si>
  <si>
    <t>LUZGARDO BLADIMIR</t>
  </si>
  <si>
    <t>YIMI JEFFERSON</t>
  </si>
  <si>
    <t>JULVER</t>
  </si>
  <si>
    <t>AXEL</t>
  </si>
  <si>
    <t>CHRISTIAN ROBERTO</t>
  </si>
  <si>
    <t>JUAN ISAI</t>
  </si>
  <si>
    <t>YORK ALEXANDER</t>
  </si>
  <si>
    <t>JOB ESTEBAN</t>
  </si>
  <si>
    <t>MOISES NEHEMIAS</t>
  </si>
  <si>
    <t>DENIS_x000D_</t>
  </si>
  <si>
    <t>MANUEL FRANCISCO</t>
  </si>
  <si>
    <t>EDWIN RODRIGO</t>
  </si>
  <si>
    <t>JUNIOR MELANIO</t>
  </si>
  <si>
    <t>HANS JAIRS</t>
  </si>
  <si>
    <t>EDGAR YHORDI</t>
  </si>
  <si>
    <t>MAURICIO JESUS</t>
  </si>
  <si>
    <t>VICTOR RAUL</t>
  </si>
  <si>
    <t>JORGE JAIR</t>
  </si>
  <si>
    <t>YEFFERSON PIERRE</t>
  </si>
  <si>
    <t>PEDRO MANUEL</t>
  </si>
  <si>
    <t>MICHAEL SMITH</t>
  </si>
  <si>
    <t>JESUS ALBERTO</t>
  </si>
  <si>
    <t>DIEGO ALVARO</t>
  </si>
  <si>
    <t>ANGEL NILTON</t>
  </si>
  <si>
    <t>ROMAY BRYAN</t>
  </si>
  <si>
    <t>CARLOS ANTONIO</t>
  </si>
  <si>
    <t>RODRIGO ENRIQUE</t>
  </si>
  <si>
    <t>GEYNER</t>
  </si>
  <si>
    <t>GUSTAVO ERNESTO</t>
  </si>
  <si>
    <t>ALEX JERRY</t>
  </si>
  <si>
    <t>EDGAR IVAN</t>
  </si>
  <si>
    <t>FERNANDO JOEL</t>
  </si>
  <si>
    <t>CRISTOFER</t>
  </si>
  <si>
    <t>CESAR ISRAEL</t>
  </si>
  <si>
    <t>WALTER ADRIAN</t>
  </si>
  <si>
    <t>WILDER VICTOR</t>
  </si>
  <si>
    <t>HIVAR LEONIDES</t>
  </si>
  <si>
    <t>JUAN DANIEL</t>
  </si>
  <si>
    <t>IAN ANTHONY</t>
  </si>
  <si>
    <t>ANDRES YOSBALL</t>
  </si>
  <si>
    <t>CARLOS SIMON</t>
  </si>
  <si>
    <t>CLAUDIA AMERICA ESTHER</t>
  </si>
  <si>
    <t>JOSE ROBERT</t>
  </si>
  <si>
    <t>ANGELO</t>
  </si>
  <si>
    <t>AQUILES REMIGIO</t>
  </si>
  <si>
    <t>MARTIN</t>
  </si>
  <si>
    <t>FLOR CARLA</t>
  </si>
  <si>
    <t>JOSE GERMAN</t>
  </si>
  <si>
    <t>EVER JOSÉ MANUEL</t>
  </si>
  <si>
    <t>GERENTES</t>
  </si>
  <si>
    <t>ANALISTAS</t>
  </si>
  <si>
    <t>ASISTENTES</t>
  </si>
  <si>
    <t>TÉCNICOS</t>
  </si>
  <si>
    <t>JEFES</t>
  </si>
  <si>
    <t>SUPERVISORES/COORDINADORES</t>
  </si>
  <si>
    <t>EJECUTIVOS/ASESORES</t>
  </si>
  <si>
    <t>ESPECIALISTAS/RESPONSABLES</t>
  </si>
  <si>
    <t>PRACTICANTES</t>
  </si>
  <si>
    <t>GERENCIA</t>
  </si>
  <si>
    <t>AREA</t>
  </si>
  <si>
    <t>ADMINISTRACIÓN Y FINANZAS</t>
  </si>
  <si>
    <t>COMERCIAL</t>
  </si>
  <si>
    <t>OPERACIONES</t>
  </si>
  <si>
    <t>TESORERÍA</t>
  </si>
  <si>
    <t>SERVICIO TÉCNICO</t>
  </si>
  <si>
    <t>ÁREA TÉCNICA</t>
  </si>
  <si>
    <t>TI</t>
  </si>
  <si>
    <t>CAMPO</t>
  </si>
  <si>
    <t>SERVICIOS GENERALES</t>
  </si>
  <si>
    <t>ARRIENDO</t>
  </si>
  <si>
    <t>COMPRAS</t>
  </si>
  <si>
    <t>TALLER</t>
  </si>
  <si>
    <t>CAPACITA</t>
  </si>
  <si>
    <t>VENTA DE USADOS</t>
  </si>
  <si>
    <t>REPUESTOS</t>
  </si>
  <si>
    <t>EQUIPOS Y CONTRATOS</t>
  </si>
  <si>
    <t>PLANEAMIENTO</t>
  </si>
  <si>
    <t>ALMACENES</t>
  </si>
  <si>
    <t>DISTRIBUCIÓN</t>
  </si>
  <si>
    <t>FINANZAS</t>
  </si>
  <si>
    <t>RECURSOS HUMANOS</t>
  </si>
  <si>
    <t>PLANIFICACIÓN Y CONTROL</t>
  </si>
  <si>
    <t>SISTEMA INTEGRADO DE GESTIÓN</t>
  </si>
  <si>
    <t>VALORACIONES Y FACTURACION</t>
  </si>
  <si>
    <t>MARKETING</t>
  </si>
  <si>
    <t>CONTABILIDAD</t>
  </si>
  <si>
    <t>INNOVACIÓN</t>
  </si>
  <si>
    <t>INTELIGENCIA COMERCIAL</t>
  </si>
  <si>
    <t>COORDINACIÓN COMERCIAL</t>
  </si>
  <si>
    <t>SSOMA</t>
  </si>
  <si>
    <t>LEGAL</t>
  </si>
  <si>
    <t>null</t>
  </si>
  <si>
    <t>PLANILLA</t>
  </si>
  <si>
    <t>CONDICIÓN</t>
  </si>
  <si>
    <t>TIPO DE CONTRATO</t>
  </si>
  <si>
    <t>MODELO DE CONTRATO</t>
  </si>
  <si>
    <t>CGM</t>
  </si>
  <si>
    <t>EMPLEADO</t>
  </si>
  <si>
    <t>INDETERMINADO</t>
  </si>
  <si>
    <t>A PLAZO FIJO</t>
  </si>
  <si>
    <t>NECESIDAD DE MERCADO</t>
  </si>
  <si>
    <t>SERVICIO ESPECÍFICO</t>
  </si>
  <si>
    <t>CONTACTO</t>
  </si>
  <si>
    <t>TERCERO</t>
  </si>
  <si>
    <t>COOPERATIVA</t>
  </si>
  <si>
    <t>PRACTICANTE</t>
  </si>
  <si>
    <t>MODALIDAD FORMATIVA</t>
  </si>
  <si>
    <t>PROFESIONAL</t>
  </si>
  <si>
    <t>PRE PROFESIONAL</t>
  </si>
  <si>
    <t>DE EXTRANJERO</t>
  </si>
  <si>
    <t>RESIDENTE ESPECIAL</t>
  </si>
  <si>
    <t>STRACON</t>
  </si>
  <si>
    <t>PART TIME</t>
  </si>
  <si>
    <t>ZONA</t>
  </si>
  <si>
    <t>CENTRO</t>
  </si>
  <si>
    <t>NORTE</t>
  </si>
  <si>
    <t>SUR ESTE</t>
  </si>
  <si>
    <t>SUR OESTE</t>
  </si>
  <si>
    <t>Descripción de proyecto</t>
  </si>
  <si>
    <t/>
  </si>
  <si>
    <t>Descripción de cliente</t>
  </si>
  <si>
    <t>ECOSAC AGRICOLA S.A.C.</t>
  </si>
  <si>
    <t>CONSORCIO ICC</t>
  </si>
  <si>
    <t>CONSORCIO CUSCO</t>
  </si>
  <si>
    <t>PURA FRUIT COMPANY S.A.</t>
  </si>
  <si>
    <t>SITUACIÓN ESPECIAL</t>
  </si>
  <si>
    <t>DIRECCIÓN</t>
  </si>
  <si>
    <t>CONFIANZA</t>
  </si>
  <si>
    <t>NINGUNA</t>
  </si>
  <si>
    <t>02C160D154</t>
  </si>
  <si>
    <t>02O1303040</t>
  </si>
  <si>
    <t>es_activo</t>
  </si>
  <si>
    <t>celular</t>
  </si>
  <si>
    <t>laptop</t>
  </si>
  <si>
    <t>SUCURSAL</t>
  </si>
  <si>
    <t>LURIN</t>
  </si>
  <si>
    <t>PIURA</t>
  </si>
  <si>
    <t>CUSCO</t>
  </si>
  <si>
    <t>AREQUIPA</t>
  </si>
  <si>
    <t>ARRIOLA</t>
  </si>
  <si>
    <t>ORDEN CO</t>
  </si>
  <si>
    <t>P07792589</t>
  </si>
  <si>
    <t>P32989550</t>
  </si>
  <si>
    <t>P40240738</t>
  </si>
  <si>
    <t>P48549137</t>
  </si>
  <si>
    <t>P46883112</t>
  </si>
  <si>
    <t>P45681005</t>
  </si>
  <si>
    <t>P45334525</t>
  </si>
  <si>
    <t>P10584323</t>
  </si>
  <si>
    <t>P70275363</t>
  </si>
  <si>
    <t>P44302299</t>
  </si>
  <si>
    <t>P44104581</t>
  </si>
  <si>
    <t>P47127763</t>
  </si>
  <si>
    <t>P42581424</t>
  </si>
  <si>
    <t>P43334686</t>
  </si>
  <si>
    <t>P44034238</t>
  </si>
  <si>
    <t>P30961957</t>
  </si>
  <si>
    <t>P72455553</t>
  </si>
  <si>
    <t>P46327447</t>
  </si>
  <si>
    <t>P44835875</t>
  </si>
  <si>
    <t>P42596150</t>
  </si>
  <si>
    <t>P40906031</t>
  </si>
  <si>
    <t>P42271014</t>
  </si>
  <si>
    <t>P76133723</t>
  </si>
  <si>
    <t>P77336191</t>
  </si>
  <si>
    <t>P44652791</t>
  </si>
  <si>
    <t>P45074623</t>
  </si>
  <si>
    <t>P43509339</t>
  </si>
  <si>
    <t>P42084403</t>
  </si>
  <si>
    <t>P45425144</t>
  </si>
  <si>
    <t>P47454970</t>
  </si>
  <si>
    <t>P44548369</t>
  </si>
  <si>
    <t>P45782284</t>
  </si>
  <si>
    <t>P72713612</t>
  </si>
  <si>
    <t>P44816214</t>
  </si>
  <si>
    <t>P46246289</t>
  </si>
  <si>
    <t>P45179398</t>
  </si>
  <si>
    <t>P42833884</t>
  </si>
  <si>
    <t>P47410866</t>
  </si>
  <si>
    <t>P45634567</t>
  </si>
  <si>
    <t>P43981457</t>
  </si>
  <si>
    <t>P40175811</t>
  </si>
  <si>
    <t>P76126150</t>
  </si>
  <si>
    <t>P43965644</t>
  </si>
  <si>
    <t>P41828065</t>
  </si>
  <si>
    <t>P44903589</t>
  </si>
  <si>
    <t>P43992903</t>
  </si>
  <si>
    <t>P70769042</t>
  </si>
  <si>
    <t>P47699213</t>
  </si>
  <si>
    <t>P70382600</t>
  </si>
  <si>
    <t>P47572724</t>
  </si>
  <si>
    <t>P42125009</t>
  </si>
  <si>
    <t>P40871583</t>
  </si>
  <si>
    <t>P71798473</t>
  </si>
  <si>
    <t>P45474604</t>
  </si>
  <si>
    <t>P46318494</t>
  </si>
  <si>
    <t>P46516101</t>
  </si>
  <si>
    <t>P46939444</t>
  </si>
  <si>
    <t>P41665508</t>
  </si>
  <si>
    <t>P44028555</t>
  </si>
  <si>
    <t>P45553012</t>
  </si>
  <si>
    <t>P18207097</t>
  </si>
  <si>
    <t>P71064014</t>
  </si>
  <si>
    <t>P40045076</t>
  </si>
  <si>
    <t>P46858365</t>
  </si>
  <si>
    <t>P70007778</t>
  </si>
  <si>
    <t>P09453884</t>
  </si>
  <si>
    <t>P45565399</t>
  </si>
  <si>
    <t>P44445194</t>
  </si>
  <si>
    <t>P43647429</t>
  </si>
  <si>
    <t>P73998900</t>
  </si>
  <si>
    <t>P42288612</t>
  </si>
  <si>
    <t>P45750382</t>
  </si>
  <si>
    <t>P77702643</t>
  </si>
  <si>
    <t>P43977839</t>
  </si>
  <si>
    <t>P77073844</t>
  </si>
  <si>
    <t>P47428228</t>
  </si>
  <si>
    <t>P48518363</t>
  </si>
  <si>
    <t>P72526631</t>
  </si>
  <si>
    <t>P47008403</t>
  </si>
  <si>
    <t>P40620193</t>
  </si>
  <si>
    <t>P45830353</t>
  </si>
  <si>
    <t>P44172777</t>
  </si>
  <si>
    <t>P45394921</t>
  </si>
  <si>
    <t>P10185224</t>
  </si>
  <si>
    <t>P77390981</t>
  </si>
  <si>
    <t>P73450457</t>
  </si>
  <si>
    <t>P73502260</t>
  </si>
  <si>
    <t>P70552546</t>
  </si>
  <si>
    <t>P04241403</t>
  </si>
  <si>
    <t>P75016878</t>
  </si>
  <si>
    <t>P46061615</t>
  </si>
  <si>
    <t>P70361712</t>
  </si>
  <si>
    <t>P72740073</t>
  </si>
  <si>
    <t>P77388799</t>
  </si>
  <si>
    <t>P75361118</t>
  </si>
  <si>
    <t>P72965459</t>
  </si>
  <si>
    <t>P45782476</t>
  </si>
  <si>
    <t>P76426942</t>
  </si>
  <si>
    <t>P41485942</t>
  </si>
  <si>
    <t>P41319593</t>
  </si>
  <si>
    <t>P70234926</t>
  </si>
  <si>
    <t>P76230595</t>
  </si>
  <si>
    <t>P47656233</t>
  </si>
  <si>
    <t>P74722282</t>
  </si>
  <si>
    <t>P73677559</t>
  </si>
  <si>
    <t>P70853768</t>
  </si>
  <si>
    <t>P45481705</t>
  </si>
  <si>
    <t>P43189984</t>
  </si>
  <si>
    <t>P48452548</t>
  </si>
  <si>
    <t>P75542794</t>
  </si>
  <si>
    <t>P77709159</t>
  </si>
  <si>
    <t>P76231875</t>
  </si>
  <si>
    <t>P72451846</t>
  </si>
  <si>
    <t>P75069752</t>
  </si>
  <si>
    <t>P73301250</t>
  </si>
  <si>
    <t>P72429550</t>
  </si>
  <si>
    <t>P48271514</t>
  </si>
  <si>
    <t>P75769849</t>
  </si>
  <si>
    <t>P47768861</t>
  </si>
  <si>
    <t>P76083021</t>
  </si>
  <si>
    <t>P71924746</t>
  </si>
  <si>
    <t>P46517617</t>
  </si>
  <si>
    <t>P75795555</t>
  </si>
  <si>
    <t>P45578309</t>
  </si>
  <si>
    <t>P43168092</t>
  </si>
  <si>
    <t>P72194296</t>
  </si>
  <si>
    <t>P74486441</t>
  </si>
  <si>
    <t>P40507733</t>
  </si>
  <si>
    <t>P76163175</t>
  </si>
  <si>
    <t>P45642738</t>
  </si>
  <si>
    <t>P01927983</t>
  </si>
  <si>
    <t>P73657196</t>
  </si>
  <si>
    <t>P75480374</t>
  </si>
  <si>
    <t>P77342445</t>
  </si>
  <si>
    <t>P75822867</t>
  </si>
  <si>
    <t>P72230277</t>
  </si>
  <si>
    <t>P72716005</t>
  </si>
  <si>
    <t>P74977152</t>
  </si>
  <si>
    <t>P76928637</t>
  </si>
  <si>
    <t>P41270434</t>
  </si>
  <si>
    <t>P42235256</t>
  </si>
  <si>
    <t>P70658854</t>
  </si>
  <si>
    <t>P47131003</t>
  </si>
  <si>
    <t>P74222776</t>
  </si>
  <si>
    <t>P47655661</t>
  </si>
  <si>
    <t>P75723787</t>
  </si>
  <si>
    <t>P44266624</t>
  </si>
  <si>
    <t>P45415967</t>
  </si>
  <si>
    <t>P76446197</t>
  </si>
  <si>
    <t>P46191773</t>
  </si>
  <si>
    <t>P71820983</t>
  </si>
  <si>
    <t>P47457409</t>
  </si>
  <si>
    <t>P72679404</t>
  </si>
  <si>
    <t>P73146757</t>
  </si>
  <si>
    <t>P29707698</t>
  </si>
  <si>
    <t>P74392543</t>
  </si>
  <si>
    <t>P75764575</t>
  </si>
  <si>
    <t>P74736019</t>
  </si>
  <si>
    <t>P75372788</t>
  </si>
  <si>
    <t>P72071966</t>
  </si>
  <si>
    <t>P73796897</t>
  </si>
  <si>
    <t>P72350986</t>
  </si>
  <si>
    <t>P70850101</t>
  </si>
  <si>
    <t>P43730049</t>
  </si>
  <si>
    <t>P45861620</t>
  </si>
  <si>
    <t>P46684823</t>
  </si>
  <si>
    <t>P70004030</t>
  </si>
  <si>
    <t>P47014508</t>
  </si>
  <si>
    <t>P43102896</t>
  </si>
  <si>
    <t>P76726246</t>
  </si>
  <si>
    <t>P70886051</t>
  </si>
  <si>
    <t>P45537435</t>
  </si>
  <si>
    <t>P70863546</t>
  </si>
  <si>
    <t>P48065984</t>
  </si>
  <si>
    <t>P46661529</t>
  </si>
  <si>
    <t>P43812050</t>
  </si>
  <si>
    <t>P43059578</t>
  </si>
  <si>
    <t>P47168662</t>
  </si>
  <si>
    <t>P47451933</t>
  </si>
  <si>
    <t>P71058513</t>
  </si>
  <si>
    <t>P76268409</t>
  </si>
  <si>
    <t>P74088544</t>
  </si>
  <si>
    <t>P75616937</t>
  </si>
  <si>
    <t>P77322869</t>
  </si>
  <si>
    <t>P46307105</t>
  </si>
  <si>
    <t>P44353914</t>
  </si>
  <si>
    <t>P70310250</t>
  </si>
  <si>
    <t>P72421032</t>
  </si>
  <si>
    <t>P48369134</t>
  </si>
  <si>
    <t>P73904623</t>
  </si>
  <si>
    <t>P02669479</t>
  </si>
  <si>
    <t>P45437518</t>
  </si>
  <si>
    <t>P71262948</t>
  </si>
  <si>
    <t>P71100059</t>
  </si>
  <si>
    <t>P77079421</t>
  </si>
  <si>
    <t>P71100890</t>
  </si>
  <si>
    <t>P75772572</t>
  </si>
  <si>
    <t>P72497720</t>
  </si>
  <si>
    <t>P41426563</t>
  </si>
  <si>
    <t>P75223602</t>
  </si>
  <si>
    <t>P72274425</t>
  </si>
  <si>
    <t>P72287833</t>
  </si>
  <si>
    <t>P72078930</t>
  </si>
  <si>
    <t>P43640136</t>
  </si>
  <si>
    <t>P72695581</t>
  </si>
  <si>
    <t>P47070271</t>
  </si>
  <si>
    <t>P46972995</t>
  </si>
  <si>
    <t>P71273363</t>
  </si>
  <si>
    <t>P75953771</t>
  </si>
  <si>
    <t>P77464584</t>
  </si>
  <si>
    <t>P31660729</t>
  </si>
  <si>
    <t>P45065815</t>
  </si>
  <si>
    <t>P41845226</t>
  </si>
  <si>
    <t>P70614423</t>
  </si>
  <si>
    <t>P71947894</t>
  </si>
  <si>
    <t>P75077177</t>
  </si>
  <si>
    <t>P71559045</t>
  </si>
  <si>
    <t>P43953805</t>
  </si>
  <si>
    <t>P74537175</t>
  </si>
  <si>
    <t>P48472345</t>
  </si>
  <si>
    <t>P46863497</t>
  </si>
  <si>
    <t>P70525631</t>
  </si>
  <si>
    <t>P73023781</t>
  </si>
  <si>
    <t>P70525602</t>
  </si>
  <si>
    <t>P75603447</t>
  </si>
  <si>
    <t>P46454427</t>
  </si>
  <si>
    <t>P72972650</t>
  </si>
  <si>
    <t>P70089249</t>
  </si>
  <si>
    <t>P46873623</t>
  </si>
  <si>
    <t>P70905553</t>
  </si>
  <si>
    <t>P72249466</t>
  </si>
  <si>
    <t>P75680792</t>
  </si>
  <si>
    <t>P47722161</t>
  </si>
  <si>
    <t>P80161226</t>
  </si>
  <si>
    <t>P74214593</t>
  </si>
  <si>
    <t>P44997375</t>
  </si>
  <si>
    <t>P74619575</t>
  </si>
  <si>
    <t>P43891635</t>
  </si>
  <si>
    <t>P46644360</t>
  </si>
  <si>
    <t>P74709350</t>
  </si>
  <si>
    <t>P46261892</t>
  </si>
  <si>
    <t>P71406710</t>
  </si>
  <si>
    <t>P41084310</t>
  </si>
  <si>
    <t>P76132838</t>
  </si>
  <si>
    <t>P10619388</t>
  </si>
  <si>
    <t>P75822342</t>
  </si>
  <si>
    <t>P70374534</t>
  </si>
  <si>
    <t>P72927180</t>
  </si>
  <si>
    <t>P72324165</t>
  </si>
  <si>
    <t>P77044901</t>
  </si>
  <si>
    <t>P72458686</t>
  </si>
  <si>
    <t>P42581486</t>
  </si>
  <si>
    <t>P74150448</t>
  </si>
  <si>
    <t>P42174914</t>
  </si>
  <si>
    <t>P70606772</t>
  </si>
  <si>
    <t>P74155632</t>
  </si>
  <si>
    <t>P43756480</t>
  </si>
  <si>
    <t>P71551235</t>
  </si>
  <si>
    <t>P72021462</t>
  </si>
  <si>
    <t>P09588243</t>
  </si>
  <si>
    <t>P71466703</t>
  </si>
  <si>
    <t>P73343818</t>
  </si>
  <si>
    <t>P72311204</t>
  </si>
  <si>
    <t>P77170643</t>
  </si>
  <si>
    <t>P46108489</t>
  </si>
  <si>
    <t>P76416791</t>
  </si>
  <si>
    <t>P46114690</t>
  </si>
  <si>
    <t>P42561414</t>
  </si>
  <si>
    <t>P70076081</t>
  </si>
  <si>
    <t>P73330984</t>
  </si>
  <si>
    <t>P45479131</t>
  </si>
  <si>
    <t>P72232022</t>
  </si>
  <si>
    <t>P71784328</t>
  </si>
  <si>
    <t>P74921567</t>
  </si>
  <si>
    <t>P76227097</t>
  </si>
  <si>
    <t>P74760141</t>
  </si>
  <si>
    <t>P75378291</t>
  </si>
  <si>
    <t>P72648353</t>
  </si>
  <si>
    <t>P74548781</t>
  </si>
  <si>
    <t>P43619384</t>
  </si>
  <si>
    <t>P77247478</t>
  </si>
  <si>
    <t>P43712021</t>
  </si>
  <si>
    <t>P47773923</t>
  </si>
  <si>
    <t>P47582930</t>
  </si>
  <si>
    <t>P002722297</t>
  </si>
  <si>
    <t>P74918492</t>
  </si>
  <si>
    <t>P40915333</t>
  </si>
  <si>
    <t>P71130640</t>
  </si>
  <si>
    <t>P45623052</t>
  </si>
  <si>
    <t>P76020998</t>
  </si>
  <si>
    <t>P46395171</t>
  </si>
  <si>
    <t>P71408090</t>
  </si>
  <si>
    <t>P74454102</t>
  </si>
  <si>
    <t>P76188829</t>
  </si>
  <si>
    <t>P60366107</t>
  </si>
  <si>
    <t>P71609476</t>
  </si>
  <si>
    <t>P45378459</t>
  </si>
  <si>
    <t>P45604218</t>
  </si>
  <si>
    <t>P45852647</t>
  </si>
  <si>
    <t>P72798525</t>
  </si>
  <si>
    <t>P71454271</t>
  </si>
  <si>
    <t>P70128963</t>
  </si>
  <si>
    <t>P41806439</t>
  </si>
  <si>
    <t>P73356261</t>
  </si>
  <si>
    <t>P46307581</t>
  </si>
  <si>
    <t>P42518856</t>
  </si>
  <si>
    <t>P71998375</t>
  </si>
  <si>
    <t>P73276626</t>
  </si>
  <si>
    <t>P46289372</t>
  </si>
  <si>
    <t>P76288697</t>
  </si>
  <si>
    <t>P47611633</t>
  </si>
  <si>
    <t>P73950968</t>
  </si>
  <si>
    <t>P72658018</t>
  </si>
  <si>
    <t>P74890052</t>
  </si>
  <si>
    <t>P48296768</t>
  </si>
  <si>
    <t>P46517298</t>
  </si>
  <si>
    <t>P72174599</t>
  </si>
  <si>
    <t>P70872060</t>
  </si>
  <si>
    <t>P74076555</t>
  </si>
  <si>
    <t>P70672081</t>
  </si>
  <si>
    <t>P48199133</t>
  </si>
  <si>
    <t>P47523374</t>
  </si>
  <si>
    <t>P72003917</t>
  </si>
  <si>
    <t>P10658461</t>
  </si>
  <si>
    <t>P46408032</t>
  </si>
  <si>
    <t>P76071088</t>
  </si>
  <si>
    <t>P76325541</t>
  </si>
  <si>
    <t>P46132586</t>
  </si>
  <si>
    <t>P71829619</t>
  </si>
  <si>
    <t>P76358177</t>
  </si>
  <si>
    <t>P48815828</t>
  </si>
  <si>
    <t>P73951423</t>
  </si>
  <si>
    <t>P41626088</t>
  </si>
  <si>
    <t>P74353371</t>
  </si>
  <si>
    <t>P70424598</t>
  </si>
  <si>
    <t>P75376042</t>
  </si>
  <si>
    <t>P73611035</t>
  </si>
  <si>
    <t>P72787702</t>
  </si>
  <si>
    <t>P75356666</t>
  </si>
  <si>
    <t>P48272761</t>
  </si>
  <si>
    <t>P43178070</t>
  </si>
  <si>
    <t>P73827830</t>
  </si>
  <si>
    <t>P75906040</t>
  </si>
  <si>
    <t>P72521136</t>
  </si>
  <si>
    <t>P72890158</t>
  </si>
  <si>
    <t>P76094299</t>
  </si>
  <si>
    <t>P71422135</t>
  </si>
  <si>
    <t>P75194230</t>
  </si>
  <si>
    <t>P75624024</t>
  </si>
  <si>
    <t>P09352258</t>
  </si>
  <si>
    <t>P71562449</t>
  </si>
  <si>
    <t>P75157389</t>
  </si>
  <si>
    <t>P75786199</t>
  </si>
  <si>
    <t>P72679808</t>
  </si>
  <si>
    <t>P74399395</t>
  </si>
  <si>
    <t>P74916186</t>
  </si>
  <si>
    <t>P74741450</t>
  </si>
  <si>
    <t>P70223136</t>
  </si>
  <si>
    <t>P72713189</t>
  </si>
  <si>
    <t>P77379199</t>
  </si>
  <si>
    <t>P46175611</t>
  </si>
  <si>
    <t>P40597264</t>
  </si>
  <si>
    <t>P73241393</t>
  </si>
  <si>
    <t>P76394474</t>
  </si>
  <si>
    <t>P46990198</t>
  </si>
  <si>
    <t>P71852973</t>
  </si>
  <si>
    <t>P44776015</t>
  </si>
  <si>
    <t>P72210650</t>
  </si>
  <si>
    <t>P48087431</t>
  </si>
  <si>
    <t>P44588683</t>
  </si>
  <si>
    <t>P01132879</t>
  </si>
  <si>
    <t>P75416965</t>
  </si>
  <si>
    <t>P45985777</t>
  </si>
  <si>
    <t>P75014226</t>
  </si>
  <si>
    <t>P76324526</t>
  </si>
  <si>
    <t>P75780201</t>
  </si>
  <si>
    <t>P76281026</t>
  </si>
  <si>
    <t>P45138057</t>
  </si>
  <si>
    <t>P73545571</t>
  </si>
  <si>
    <t>P74933703</t>
  </si>
  <si>
    <t>P47131869</t>
  </si>
  <si>
    <t>P46540933</t>
  </si>
  <si>
    <t>P76458055</t>
  </si>
  <si>
    <t>P72444272</t>
  </si>
  <si>
    <t>P75371915</t>
  </si>
  <si>
    <t>P71968683</t>
  </si>
  <si>
    <t>P40449816</t>
  </si>
  <si>
    <t>P72573580</t>
  </si>
  <si>
    <t>P76298366</t>
  </si>
  <si>
    <t>P46829935</t>
  </si>
  <si>
    <t>P72439744</t>
  </si>
  <si>
    <t>P03504701</t>
  </si>
  <si>
    <t>P75851927</t>
  </si>
  <si>
    <t>P72623787</t>
  </si>
  <si>
    <t>P03691915</t>
  </si>
  <si>
    <t>P70059143</t>
  </si>
  <si>
    <t>P71283419</t>
  </si>
  <si>
    <t>P76024497</t>
  </si>
  <si>
    <t>P72171923</t>
  </si>
  <si>
    <t>P76064516</t>
  </si>
  <si>
    <t>P80629335</t>
  </si>
  <si>
    <t>P46373209</t>
  </si>
  <si>
    <t>P72239673</t>
  </si>
  <si>
    <t>P10437468</t>
  </si>
  <si>
    <t>P46813942</t>
  </si>
  <si>
    <t>P48847196</t>
  </si>
  <si>
    <t>P76520327</t>
  </si>
  <si>
    <t>P48625968</t>
  </si>
  <si>
    <t>P75463985</t>
  </si>
  <si>
    <t>P72077777</t>
  </si>
  <si>
    <t>P74906452</t>
  </si>
  <si>
    <t>P48106585</t>
  </si>
  <si>
    <t>P70150642</t>
  </si>
  <si>
    <t>P42082774</t>
  </si>
  <si>
    <t>P70107379</t>
  </si>
  <si>
    <t>P47430740</t>
  </si>
  <si>
    <t>P44578227</t>
  </si>
  <si>
    <t>P43320571</t>
  </si>
  <si>
    <t>P71263711</t>
  </si>
  <si>
    <t>P71435293</t>
  </si>
  <si>
    <t>P71696041</t>
  </si>
  <si>
    <t>P40877525</t>
  </si>
  <si>
    <t>P76042289</t>
  </si>
  <si>
    <t>P77322414</t>
  </si>
  <si>
    <t>P70111572</t>
  </si>
  <si>
    <t>P72966796</t>
  </si>
  <si>
    <t>P70387376</t>
  </si>
  <si>
    <t>P76360073</t>
  </si>
  <si>
    <t>P71985260</t>
  </si>
  <si>
    <t>P42765233</t>
  </si>
  <si>
    <t>P44454272</t>
  </si>
  <si>
    <t>P70262435</t>
  </si>
  <si>
    <t>P74171460</t>
  </si>
  <si>
    <t>P74093522</t>
  </si>
  <si>
    <t>P08058783</t>
  </si>
  <si>
    <t>P42370205</t>
  </si>
  <si>
    <t>P75143039</t>
  </si>
  <si>
    <t>P47290444</t>
  </si>
  <si>
    <t>P09603303</t>
  </si>
  <si>
    <t>P43680818</t>
  </si>
  <si>
    <t>P74700803</t>
  </si>
  <si>
    <t>P21128474</t>
  </si>
  <si>
    <t>P43004942</t>
  </si>
  <si>
    <t>P71854400</t>
  </si>
  <si>
    <t>P72776131</t>
  </si>
  <si>
    <t>P73374504</t>
  </si>
  <si>
    <t>P47460943</t>
  </si>
  <si>
    <t>P76815117</t>
  </si>
  <si>
    <t>P62256198</t>
  </si>
  <si>
    <t>P78720497</t>
  </si>
  <si>
    <t>P70313163</t>
  </si>
  <si>
    <t>P70622532</t>
  </si>
  <si>
    <t>P60960830</t>
  </si>
  <si>
    <t>P09725249</t>
  </si>
  <si>
    <t>P40353690</t>
  </si>
  <si>
    <t>P45459960</t>
  </si>
  <si>
    <t>P72206132</t>
  </si>
  <si>
    <t>P42520934</t>
  </si>
  <si>
    <t>P70321829</t>
  </si>
  <si>
    <t>P73123785</t>
  </si>
  <si>
    <t>P46885808</t>
  </si>
  <si>
    <t>P41619909</t>
  </si>
  <si>
    <t>P76229793</t>
  </si>
  <si>
    <t>P72043515</t>
  </si>
  <si>
    <t>P74900124</t>
  </si>
  <si>
    <t>P46582543</t>
  </si>
  <si>
    <t>P43163792</t>
  </si>
  <si>
    <t>P75553847</t>
  </si>
  <si>
    <t>P47573952</t>
  </si>
  <si>
    <t>P74762529</t>
  </si>
  <si>
    <t>P46852385</t>
  </si>
  <si>
    <t>P73900419</t>
  </si>
  <si>
    <t>P47407058</t>
  </si>
  <si>
    <t>P73353154</t>
  </si>
  <si>
    <t>P62356089</t>
  </si>
  <si>
    <t>P42785949</t>
  </si>
  <si>
    <t>P46592096</t>
  </si>
  <si>
    <t>P73122116</t>
  </si>
  <si>
    <t>P75428509</t>
  </si>
  <si>
    <t>P72792670</t>
  </si>
  <si>
    <t>P74490011</t>
  </si>
  <si>
    <t>P73508064</t>
  </si>
  <si>
    <t>P71754097</t>
  </si>
  <si>
    <t>P47497897</t>
  </si>
  <si>
    <t>P74641578</t>
  </si>
  <si>
    <t>P47054107</t>
  </si>
  <si>
    <t>P73193399</t>
  </si>
  <si>
    <t>P72316852</t>
  </si>
  <si>
    <t>P005905582</t>
  </si>
  <si>
    <t>P75357838</t>
  </si>
  <si>
    <t>P73858226</t>
  </si>
  <si>
    <t>P71914391</t>
  </si>
  <si>
    <t>P71502476</t>
  </si>
  <si>
    <t>P72857265</t>
  </si>
  <si>
    <t>P71419289</t>
  </si>
  <si>
    <t>P42013908</t>
  </si>
  <si>
    <t>P74994958</t>
  </si>
  <si>
    <t>P00126496</t>
  </si>
  <si>
    <t>P72243976</t>
  </si>
  <si>
    <t>P75081363</t>
  </si>
  <si>
    <t>P10662442</t>
  </si>
  <si>
    <t>P74533802</t>
  </si>
  <si>
    <t>P76077072</t>
  </si>
  <si>
    <t>P77464512</t>
  </si>
  <si>
    <t>P73018898</t>
  </si>
  <si>
    <t>P75831113</t>
  </si>
  <si>
    <t>P48060004</t>
  </si>
  <si>
    <t>P61554809</t>
  </si>
  <si>
    <t>P76635820</t>
  </si>
  <si>
    <t>P42738226</t>
  </si>
  <si>
    <t>P76553052</t>
  </si>
  <si>
    <t>P72223894</t>
  </si>
  <si>
    <t>P70317411</t>
  </si>
  <si>
    <t>P72838897</t>
  </si>
  <si>
    <t>P44028454</t>
  </si>
  <si>
    <t>P76508212</t>
  </si>
  <si>
    <t>P46229768</t>
  </si>
  <si>
    <t>P72941031</t>
  </si>
  <si>
    <t>P71085374</t>
  </si>
  <si>
    <t>P75598100</t>
  </si>
  <si>
    <t>P75396403</t>
  </si>
  <si>
    <t>P76188068</t>
  </si>
  <si>
    <t>P74737996</t>
  </si>
  <si>
    <t>P77491958</t>
  </si>
  <si>
    <t>P73527165</t>
  </si>
  <si>
    <t>P70093793</t>
  </si>
  <si>
    <t>P72634536</t>
  </si>
  <si>
    <t>P46858864</t>
  </si>
  <si>
    <t>P76350192</t>
  </si>
  <si>
    <t>P70666387</t>
  </si>
  <si>
    <t>P74715476</t>
  </si>
  <si>
    <t>P75391800</t>
  </si>
  <si>
    <t>P09572369</t>
  </si>
  <si>
    <t>P76681205</t>
  </si>
  <si>
    <t>P44229927</t>
  </si>
  <si>
    <t>P06671306</t>
  </si>
  <si>
    <t>P70218131</t>
  </si>
  <si>
    <t>P41361657</t>
  </si>
  <si>
    <t>P44921398</t>
  </si>
  <si>
    <t>P74983073</t>
  </si>
  <si>
    <t>P70763976</t>
  </si>
  <si>
    <t>P72460577</t>
  </si>
  <si>
    <t>P70103445</t>
  </si>
  <si>
    <t>P73872493</t>
  </si>
  <si>
    <t>P74318723</t>
  </si>
  <si>
    <t>P41844387</t>
  </si>
  <si>
    <t>P73449345</t>
  </si>
  <si>
    <t>P72980861</t>
  </si>
  <si>
    <t>P78968955</t>
  </si>
  <si>
    <t>P47117604</t>
  </si>
  <si>
    <t>P40749734</t>
  </si>
  <si>
    <t>P42442494</t>
  </si>
  <si>
    <t>P75443859</t>
  </si>
  <si>
    <t>P70970251</t>
  </si>
  <si>
    <t>P70486874</t>
  </si>
  <si>
    <t>P73245944</t>
  </si>
  <si>
    <t>P42628404</t>
  </si>
  <si>
    <t>P70836884</t>
  </si>
  <si>
    <t>P73992875</t>
  </si>
  <si>
    <t>P71450988</t>
  </si>
  <si>
    <t>P47496281</t>
  </si>
  <si>
    <t>P74119665</t>
  </si>
  <si>
    <t xml:space="preserve">P76185474 </t>
  </si>
  <si>
    <t>P73420512</t>
  </si>
  <si>
    <t>P74163049</t>
  </si>
  <si>
    <t>P74077488</t>
  </si>
  <si>
    <t>P70412935</t>
  </si>
  <si>
    <t>P74459980</t>
  </si>
  <si>
    <t>P70172100</t>
  </si>
  <si>
    <t>P74995248</t>
  </si>
  <si>
    <t>P46516343</t>
  </si>
  <si>
    <t>P74618733</t>
  </si>
  <si>
    <t>P47916517</t>
  </si>
  <si>
    <t>P77131717</t>
  </si>
  <si>
    <t>P71935584</t>
  </si>
  <si>
    <t>P45599405</t>
  </si>
  <si>
    <t>P72645782</t>
  </si>
  <si>
    <t>P72220834</t>
  </si>
  <si>
    <t>P40800480</t>
  </si>
  <si>
    <t>P48472896</t>
  </si>
  <si>
    <t>P73759182</t>
  </si>
  <si>
    <t>P47696895</t>
  </si>
  <si>
    <t>P72677707</t>
  </si>
  <si>
    <t>P46980059</t>
  </si>
  <si>
    <t>P44232043</t>
  </si>
  <si>
    <t>P75469898</t>
  </si>
  <si>
    <t>P74095638</t>
  </si>
  <si>
    <t>P48279915</t>
  </si>
  <si>
    <t>P73530871</t>
  </si>
  <si>
    <t>P74810766</t>
  </si>
  <si>
    <t>P75164658</t>
  </si>
  <si>
    <t>P72794468</t>
  </si>
  <si>
    <t>P16563357</t>
  </si>
  <si>
    <t>P72945652</t>
  </si>
  <si>
    <t>P74730082</t>
  </si>
  <si>
    <t>P48174765</t>
  </si>
  <si>
    <t>P74720095</t>
  </si>
  <si>
    <t>P72387145</t>
  </si>
  <si>
    <t>P78623521</t>
  </si>
  <si>
    <t>P71746787</t>
  </si>
  <si>
    <t>P70881220</t>
  </si>
  <si>
    <t>P75151602</t>
  </si>
  <si>
    <t>P70175057</t>
  </si>
  <si>
    <t>P44841695</t>
  </si>
  <si>
    <t>P72427914</t>
  </si>
  <si>
    <t>P72547482</t>
  </si>
  <si>
    <t>P75697071</t>
  </si>
  <si>
    <t>P72480766</t>
  </si>
  <si>
    <t>P42122588</t>
  </si>
  <si>
    <t>P71498135</t>
  </si>
  <si>
    <t>P72863018</t>
  </si>
  <si>
    <t>P76216049</t>
  </si>
  <si>
    <t>jaime.boza@cgmrental.com.pe</t>
  </si>
  <si>
    <t>ricardo.olivos@cgmrental.com.pe</t>
  </si>
  <si>
    <t>ivan.espinoza@cgmrental.com.pe</t>
  </si>
  <si>
    <t>katty.laura@cgmrental.com.pe</t>
  </si>
  <si>
    <t>jose.campos@cgmrental.com.pe</t>
  </si>
  <si>
    <t>hendrik.casimiro@cgmrental.com.pe</t>
  </si>
  <si>
    <t>marcos.cabezas@cgmrental.com.pe</t>
  </si>
  <si>
    <t>francisco.arellano@cgmrental.com.pe</t>
  </si>
  <si>
    <t>jairo.yalta@cgmrental.com.pe</t>
  </si>
  <si>
    <t>gianfranco.escobar@cgmrental.com.pe</t>
  </si>
  <si>
    <t>pablo.lopez@cgmrental.com.pe</t>
  </si>
  <si>
    <t>nino.moore@cgmrental.com.pe</t>
  </si>
  <si>
    <t>mario.mariscal@cgmrental.com.pe</t>
  </si>
  <si>
    <t>nestor.gonzales@cgmrental.com.pe</t>
  </si>
  <si>
    <t>felix.palomino@cgmrental.com.pe</t>
  </si>
  <si>
    <t>richard.ormeno@cgmrental.com.pe</t>
  </si>
  <si>
    <t>norman.diaz@cgmrental.com.pe</t>
  </si>
  <si>
    <t>orlando.horna@cgmrental.com.pe</t>
  </si>
  <si>
    <t>aldo.michelini@cgmrental.com.pe</t>
  </si>
  <si>
    <t>esteban.chiquillan@cgmrental.com.pe</t>
  </si>
  <si>
    <t>fernando.severino@cgmrental.com.pe</t>
  </si>
  <si>
    <t>jose.fernandez@cgmrental.com.pe</t>
  </si>
  <si>
    <t>luis.gutierrez@cgmrental.com.pe</t>
  </si>
  <si>
    <t>david.pacheco@cgmrental.com.pe</t>
  </si>
  <si>
    <t>ronald.garcia@cgmrental.com.pe</t>
  </si>
  <si>
    <t>wilberth.castro@cgmrental.com.pe</t>
  </si>
  <si>
    <t>mario.condori@cgmrental.com.pe</t>
  </si>
  <si>
    <t>jaime.hilario@cgmrental.com.pe</t>
  </si>
  <si>
    <t>mirella.suarez@cgmrental.com.pe</t>
  </si>
  <si>
    <t>luis.quispe@cgmrental.com.pe</t>
  </si>
  <si>
    <t>cristhian.nores@cgmrental.com.pe</t>
  </si>
  <si>
    <t>eduar.zafra@cgmrental.com.pe</t>
  </si>
  <si>
    <t>jesus.velasquez@cgmrental.com.pe</t>
  </si>
  <si>
    <t>jimmy.ramirez@cgmrental.com.pe</t>
  </si>
  <si>
    <t>oswaldo.camero@cgmrental.com.pe</t>
  </si>
  <si>
    <t>alirio.villanueva@cgmrental.com.pe</t>
  </si>
  <si>
    <t>alvaro.lazaro@cgmrental.com.pe</t>
  </si>
  <si>
    <t>harold.alejo@cgmrental.com.pe</t>
  </si>
  <si>
    <t>joseth.dianderas@cgmrental.com.pe</t>
  </si>
  <si>
    <t>anthony.gutierrez@cgmrental.com.pe</t>
  </si>
  <si>
    <t>luis.vargas@cgmrental.com.pe</t>
  </si>
  <si>
    <t>edgard.chavez@cgmrental.com.pe</t>
  </si>
  <si>
    <t>renso.torres@cgmrental.com.pe</t>
  </si>
  <si>
    <t>adriano.villegas@cgmrental.com.pe</t>
  </si>
  <si>
    <t>alex.huallpa@cgmrental.com.pe</t>
  </si>
  <si>
    <t>cesar.tejada@cgmrental.com.pe</t>
  </si>
  <si>
    <t>roxana.borjas@cgmrental.com.pe</t>
  </si>
  <si>
    <t>eiser.vasquez@cgmrental.com.pe</t>
  </si>
  <si>
    <t>carlos.condori@cgmrental.com.pe</t>
  </si>
  <si>
    <t>alejandro.regente@cgmrental.com.pe</t>
  </si>
  <si>
    <t>adrian.avila@cgmrental.com.pe</t>
  </si>
  <si>
    <t>paulo.gonzales@cgmrental.com.pe</t>
  </si>
  <si>
    <t>luis.chuctaya@cgmrental.com.pe</t>
  </si>
  <si>
    <t>jimena.zavaleta@cgmrental.com.pe</t>
  </si>
  <si>
    <t>franco.santiago@cgmrental.com.pe</t>
  </si>
  <si>
    <t>frank.suarez@cgmrental.com.pe</t>
  </si>
  <si>
    <t>jorge.angeles@cgmrental.com.pe</t>
  </si>
  <si>
    <t>alfredo.arata@cgmrental.com.pe</t>
  </si>
  <si>
    <t>laura.ramos@cgmrental.com.pe</t>
  </si>
  <si>
    <t>jean.bazalar@cgmrental.com.pe</t>
  </si>
  <si>
    <t>moises.crispin@cgmrental.com.pe</t>
  </si>
  <si>
    <t>antonio.pucuhuayla@cgmrental.com.pe</t>
  </si>
  <si>
    <t>dante.johanson@cgmrental.com.pe</t>
  </si>
  <si>
    <t>almacen.lavictoria@cgmrental.com.pe</t>
  </si>
  <si>
    <t>olgher.avila@cgmrental.com.pe</t>
  </si>
  <si>
    <t>cesar.casas@cgmrental.com.pe</t>
  </si>
  <si>
    <t>jonathan.quiroga@cgmrental.com.pe</t>
  </si>
  <si>
    <t>gonzalo.torres@cgmrental.com.pe</t>
  </si>
  <si>
    <t>luis.jimenez@cgmrental.com.pe</t>
  </si>
  <si>
    <t>wilmer.cuadra@cgmrental.com.pe</t>
  </si>
  <si>
    <t>keneth.huacho@cgmrental.com.pe</t>
  </si>
  <si>
    <t>evelio.alfonzo@cgmrental.com.pe</t>
  </si>
  <si>
    <t>william.tezen@cgmrental.com.pe</t>
  </si>
  <si>
    <t>edwin.pintado@cgmrental.com.pe</t>
  </si>
  <si>
    <t>boris.soto@cgmrental.com.pe</t>
  </si>
  <si>
    <t>franck.garcia@cgmrental.com.pe</t>
  </si>
  <si>
    <t>nilton.bustamante@cgmrental.com.pe</t>
  </si>
  <si>
    <t>jorge.arbulu@cgmrental.com.pe</t>
  </si>
  <si>
    <t>lorena.sanchez@cgmrental.com.pe</t>
  </si>
  <si>
    <t>melanny.benites@cgmrental.com.pe</t>
  </si>
  <si>
    <t>renato.talledo@cgmrental.com.pe</t>
  </si>
  <si>
    <t>benjamin.fuentes@cgmrental.com.pe</t>
  </si>
  <si>
    <t>manuel.santivanez@cgmrental.com.pe</t>
  </si>
  <si>
    <t>humberto.diaz@cgmrental.com.pe</t>
  </si>
  <si>
    <t>duber.rufino@cgmrental.com.pe</t>
  </si>
  <si>
    <t>arturo.espinoza@cgmrental.com.pe</t>
  </si>
  <si>
    <t>joshua.aguirre@cgmrental.com.pe</t>
  </si>
  <si>
    <t>alvaro.campana@cgmrental.com.pe</t>
  </si>
  <si>
    <t>melany.palomino@cgmrental.com.pe</t>
  </si>
  <si>
    <t>jose.medina@cgmrental.com.pe</t>
  </si>
  <si>
    <t>alex.cruz@cgmrental.com.pe</t>
  </si>
  <si>
    <t>ronald.riva@cgmrental.com.pe</t>
  </si>
  <si>
    <t>jorge.olivera@cgmrental.com.pe</t>
  </si>
  <si>
    <t>martin.ticona@cgmrental.com.pe</t>
  </si>
  <si>
    <t>rocio.malpartida@cgmrental.com.pe</t>
  </si>
  <si>
    <t>aarom.arias@cgmrental.com.pe</t>
  </si>
  <si>
    <t>lariza.duran@cgmrental.com.pe</t>
  </si>
  <si>
    <t>kristel.egues@cgmrental.com.pe</t>
  </si>
  <si>
    <t>gary.vargas@cgmrental.com.pe</t>
  </si>
  <si>
    <t>andree.lazarte@cgmrental.com.pe</t>
  </si>
  <si>
    <t>jose.cardenas@cgmrental.com.pe</t>
  </si>
  <si>
    <t>emil.monasterio@cgmrental.com.pe</t>
  </si>
  <si>
    <t>yesenia.carrion@cgmrental.com.pe</t>
  </si>
  <si>
    <t>ricardo.salcedo@cgmrental.com.pe</t>
  </si>
  <si>
    <t>jaffet.vega@cgmrental.com.pe</t>
  </si>
  <si>
    <t>diego.silva@cgmrental.com.pe</t>
  </si>
  <si>
    <t>jeysa.anampa@cgmrental.com.pe</t>
  </si>
  <si>
    <t>almacen.piura@cgmrental.com.pe</t>
  </si>
  <si>
    <t>saul.guzman@cgmrental.com.pe</t>
  </si>
  <si>
    <t>michelle.boza@cgmrental.com.pe</t>
  </si>
  <si>
    <t>fiorella.diaz@cgmrental.com.pe</t>
  </si>
  <si>
    <t>lisset.alvarado@cgmrental.com.pe</t>
  </si>
  <si>
    <t>recepcioncgm@cgmrental.com.pe</t>
  </si>
  <si>
    <t>leonardo.rios@cgmrental.com.pe</t>
  </si>
  <si>
    <t>almacenarequipa@cgmrental.com.pe</t>
  </si>
  <si>
    <t>cristhian.huayta@cgmrental.com.pe</t>
  </si>
  <si>
    <t>stivenson.barreto@cgmrental.com.pe</t>
  </si>
  <si>
    <t>alejandro.barrientos@cgmrental.com.pe</t>
  </si>
  <si>
    <t>jeremy.enriquez@cgmrental.com.pe</t>
  </si>
  <si>
    <t>makino.donayre@cgmrental.com.pe</t>
  </si>
  <si>
    <t>jack.gonzales@cgmrental.com.pe</t>
  </si>
  <si>
    <t>pablo.trujillo@cgmrental.com.pe</t>
  </si>
  <si>
    <t>jeanpierre.huaman@cgmrental.com.pe</t>
  </si>
  <si>
    <t>jesus.baldeon@cgmrental.com.pe</t>
  </si>
  <si>
    <t>rafael.guanilo@cgmrental.com.pe</t>
  </si>
  <si>
    <t>manuel.castillo@cgmrental.com.pe</t>
  </si>
  <si>
    <t>felly.mego@cgmrental.com.pe</t>
  </si>
  <si>
    <t>karla.mendizabal@cgmrental.com.pe</t>
  </si>
  <si>
    <t>junior.vasquez@cgmrental.com.pe</t>
  </si>
  <si>
    <t>piero.paredes@cgmrental.com.pe</t>
  </si>
  <si>
    <t>erick.donaires@cgmrental.com.pe</t>
  </si>
  <si>
    <t>brigitt.idone@cgmrental.com.pe</t>
  </si>
  <si>
    <t>luis.garcia@cgmrental.com.pe</t>
  </si>
  <si>
    <t>jhonatan.gastelu@cgmrental.com.pe</t>
  </si>
  <si>
    <t>jair.cervera@cgmrental.com.pe</t>
  </si>
  <si>
    <t>piero.contreras@cgmrental.com.pe</t>
  </si>
  <si>
    <t>juan.bernal@cgmrental.com.pe</t>
  </si>
  <si>
    <t>luiyi.naupa@cgmrental.com.pe</t>
  </si>
  <si>
    <t>sebastian.garcia@cgmrental.com.pe</t>
  </si>
  <si>
    <t>jose.arpita@cgmrental.com.pe</t>
  </si>
  <si>
    <t>carlos.palpa@cgmrental.com.pe</t>
  </si>
  <si>
    <t>joe.briceno@cgmrental.com.pe</t>
  </si>
  <si>
    <t>manfredo.esparza@cgmrental.com.pe</t>
  </si>
  <si>
    <t>gonzalo.sequeiros@cgmrental.com.pe</t>
  </si>
  <si>
    <t>oscar.abanto@cgmrental.com.pe</t>
  </si>
  <si>
    <t>miriam.alcantara@cgmrental.com.pe</t>
  </si>
  <si>
    <t>jose.cotrina@cgmrental.com.pe</t>
  </si>
  <si>
    <t>claudio.zambrano@cgmrental.com.pe</t>
  </si>
  <si>
    <t>jhon.ames@cgmrental.com.pe</t>
  </si>
  <si>
    <t>wilmer.machacuay@cgmrental.com.pe</t>
  </si>
  <si>
    <t>carlos.pareja@cgmrental.com.pe</t>
  </si>
  <si>
    <t>ronaldo.cabanillas@cgmrental.com.pe</t>
  </si>
  <si>
    <t>josein.moran@cgmrental.com.pe</t>
  </si>
  <si>
    <t>merci.tirado@cgmrental.com.pe</t>
  </si>
  <si>
    <t>recepcion.despachotaller@cgmrental.com.pe</t>
  </si>
  <si>
    <t>samuel.rojas@cgmrental.com.pe</t>
  </si>
  <si>
    <t>jose.tudelano@cgmrental.com.pe</t>
  </si>
  <si>
    <t>onesimo.zevallos@cgmrental.com.pe</t>
  </si>
  <si>
    <t>jhonatan.uscamayta@cgmrental.com.pe</t>
  </si>
  <si>
    <t>angielo.taboada@cgmrental.com.pe</t>
  </si>
  <si>
    <t>carlos.curitima@cgmrental.com.pe</t>
  </si>
  <si>
    <t>luis.zapata@cgmrental.com.pe</t>
  </si>
  <si>
    <t>elmer.huillcarimay@cgmrental.com.pe</t>
  </si>
  <si>
    <t>rolling.davila@cgmrental.com.pe</t>
  </si>
  <si>
    <t>yoshua.rodriguez@cgmrental.com.pe</t>
  </si>
  <si>
    <t>yordan.paredes@cgmrental.com.pe</t>
  </si>
  <si>
    <t>alvaro.orccotoma@cgmrental.com.pe</t>
  </si>
  <si>
    <t>raul.quispe@cgmrental.com.pe</t>
  </si>
  <si>
    <t>obrian.alvarado@cgmrental.com.pe</t>
  </si>
  <si>
    <t>alfredo.quintana@cgmrental.com.pe</t>
  </si>
  <si>
    <t>johnny.pardo@cgmrental.com.pe</t>
  </si>
  <si>
    <t>pablo.izaguirre@cgmrental.com.pe</t>
  </si>
  <si>
    <t>reparaciones@cgmrental.com.pe</t>
  </si>
  <si>
    <t>jairo.suarez@cgmrental.com.pe</t>
  </si>
  <si>
    <t>vladimir.torres@cgmrental.com.pe</t>
  </si>
  <si>
    <t>nicolas.chipani@cgmrental.com.pe</t>
  </si>
  <si>
    <t>ciro.perez@cgmrental.com.pe</t>
  </si>
  <si>
    <t>everlin.sanchez@cgmrental.com.pe</t>
  </si>
  <si>
    <t>eduardo.andia@cgmrental.com.pe</t>
  </si>
  <si>
    <t>charly.reyes@cgmrental.com.pe</t>
  </si>
  <si>
    <t>mario.barrena@cgmrental.com.pe</t>
  </si>
  <si>
    <t>andrea.candia@cgmrental.com.pe</t>
  </si>
  <si>
    <t>oneil.taboada@cgmrental.com.pe</t>
  </si>
  <si>
    <t>katherine.hurtado@cgmrental.com.pe</t>
  </si>
  <si>
    <t>jesus.esqueche@cgmrental.com.pe</t>
  </si>
  <si>
    <t>anthony.alarcon@cgmrental.com.pe</t>
  </si>
  <si>
    <t>marcelo.galarza@cgmrental.com.pe</t>
  </si>
  <si>
    <t>bryan.huamani@cgmrental.com.pe</t>
  </si>
  <si>
    <t>bryan.pumasupa@cgmrental.com.pe</t>
  </si>
  <si>
    <t>jose.valencia@cgmrental.com.pe</t>
  </si>
  <si>
    <t>rex.huaman@cgmrental.com.pe</t>
  </si>
  <si>
    <t>jorge.vasquez@cgmrental.com.pe</t>
  </si>
  <si>
    <t>xavier.garaycochea@cgmrental.com.pe</t>
  </si>
  <si>
    <t>edison.gil@cgmrental.com.pe</t>
  </si>
  <si>
    <t>luis.rosales@cgmrental.com.pe</t>
  </si>
  <si>
    <t>cesar.toro@cgmrental.com.pe</t>
  </si>
  <si>
    <t>willy.delgado@cgmrental.com.pe</t>
  </si>
  <si>
    <t>david.ayala@cgmrental.com.pe</t>
  </si>
  <si>
    <t>adrian.holguin@cgmrental.com.pe</t>
  </si>
  <si>
    <t>edgar.malpartida@cgmrental.com.pe</t>
  </si>
  <si>
    <t>jean.venero@cgmrental.com.pe</t>
  </si>
  <si>
    <t>luis.mendoza@cgmrental.com.pe</t>
  </si>
  <si>
    <t>cynthia.mendoza@cgmrental.com.pe</t>
  </si>
  <si>
    <t>mario.pisco@cgmrental.com.pe</t>
  </si>
  <si>
    <t>alvaro.alfaro@cgmrental.com.pe</t>
  </si>
  <si>
    <t>carlos.paredes@cgmrental.com.pe</t>
  </si>
  <si>
    <t>alexander.urtecho@cgmrental.com.pe</t>
  </si>
  <si>
    <t>laura.roman@cgmrental.com.pe</t>
  </si>
  <si>
    <t>daniel.carhuancho@cgmrental.com.pe</t>
  </si>
  <si>
    <t>almacen.lurin2@cgmrental.com.pe</t>
  </si>
  <si>
    <t> almacencusco@cgmrental.com.pe</t>
  </si>
  <si>
    <t>almacen.lurin@cgmrental.com.pe</t>
  </si>
  <si>
    <t>francisco.huaman@cgmrental.com.pe</t>
  </si>
  <si>
    <t>antonio.rios@cgmrental.com.pe</t>
  </si>
  <si>
    <t>luis.capcha@cgmrental.com.pe</t>
  </si>
  <si>
    <t>owenh.collazos@cgmrental.com.pe</t>
  </si>
  <si>
    <t>julio.seminario@cgmrental.com.pe</t>
  </si>
  <si>
    <t>alejandro.villa@cgmrental.com.pe</t>
  </si>
  <si>
    <t>gabriel.orellana@cgmrental.com.pe</t>
  </si>
  <si>
    <t>elmer.vasquez@cgmrental.com.pe</t>
  </si>
  <si>
    <t>jose.quincho@cgmrental.com.pe</t>
  </si>
  <si>
    <t>seguridad@cgmrental.com.pe</t>
  </si>
  <si>
    <t>gilmer.minchola@cgmrental.com.pe</t>
  </si>
  <si>
    <t>emilio.gallo@cgmrental.com.pe</t>
  </si>
  <si>
    <t>fray.huamani@cgmrental.com.pe</t>
  </si>
  <si>
    <t>axel.uriarte@cgmrental.com.pe</t>
  </si>
  <si>
    <t>christian.montes@cgmrental.com.pe</t>
  </si>
  <si>
    <t>juan.castaneda@cgmrental.com.pe</t>
  </si>
  <si>
    <t>julio.acosta@cgmrental.com.pe</t>
  </si>
  <si>
    <t>michael.zevallos@cgmrental.com.pe</t>
  </si>
  <si>
    <t>diego.hinojosa@cgmrental.com.pe</t>
  </si>
  <si>
    <t>rodrigo.alvarado@cgmrental.com.pe</t>
  </si>
  <si>
    <t>geyner.gallegos@cgmrental.com.pe</t>
  </si>
  <si>
    <t>henry.neyra@cgmrental.com.pe</t>
  </si>
  <si>
    <t>wilber.rodriguez@cgmrental.com.pe</t>
  </si>
  <si>
    <t>daniel.guillen@cgmrental.com.pe</t>
  </si>
  <si>
    <t>erick.oliva@cgmrental.com.pe</t>
  </si>
  <si>
    <t>jose.solano@cgmrental.com.pe</t>
  </si>
  <si>
    <t>=CONCAT("('";A2;"','";B2;"','";C2;"','";D2;"',";"'";E2;"'";",'";F2;"','','";;"',0),")</t>
  </si>
  <si>
    <t>('07792589','BOZA','ARLOTTI','JAIME ENRIQUE LAZARO','1959-02-03','M','','',0),</t>
  </si>
  <si>
    <t>('32989550','OLIVOS','REYNALTE','RICARDO GALDINO','1977-09-09','M','','',0),</t>
  </si>
  <si>
    <t>('40240738','LAURA','SALAZAR','KATTY MARIBEL','1979-05-26','F','','',0),</t>
  </si>
  <si>
    <t>('48549137','CAMPOS','FLORES','JOSÉ BERNARD','1994-03-06','M','','',0),</t>
  </si>
  <si>
    <t>('46883112','CASIMIRO','QUISPE','HENDRIK ELISEO','1991-03-30','M','','',0),</t>
  </si>
  <si>
    <t>('45681005','CABEZAS','ISUIZA','MARCOS JEFFERSON','1988-08-02','M','','',0),</t>
  </si>
  <si>
    <t>('45334525','CALERO','LOPEZ','CORDOVA','1980-02-15','M','','',0),</t>
  </si>
  <si>
    <t>('10584323','VILLEGAS','DIAZ','JUAN EDILBERTO','1965-03-20','M','','',0),</t>
  </si>
  <si>
    <t>('70275363','ARELLANO','GARCÍA','FRANCISCO JAVIER','1996-02-01','M','','',0),</t>
  </si>
  <si>
    <t>('44302299','YALTA','GUADALUPE','JAIRO','1987-04-22','M','','',0),</t>
  </si>
  <si>
    <t>('44104581','ESCOBAR','PACHECO','GIANFRANCO','1987-01-12','M','','',0),</t>
  </si>
  <si>
    <t>('47127763','LOPEZ','YAMPUFE','PABLO JESUS','1991-07-11','M','','',0),</t>
  </si>
  <si>
    <t>('42581424','MOORE','TTITO','NINO','1984-08-07','M','','',0),</t>
  </si>
  <si>
    <t>('43334686','MARISCAL','RIVERA','MARIO VÍCTOR','1985-02-21','M','','',0),</t>
  </si>
  <si>
    <t>('44034238','GONZALES','MONTOYA','NESTOR EAIDAN','1986-09-29','M','','',0),</t>
  </si>
  <si>
    <t>('30961957','PALOMINO','CALCINA','MARCOS FELIX','1975-04-13','M','','',0),</t>
  </si>
  <si>
    <t>('72455553','ORMEÑO','ARGUMEDO','RICHARD JAVIER','1991-08-29','M','','',0),</t>
  </si>
  <si>
    <t>('43756349','AGUILAR','SANTILLAN','EBER','1986-08-29','M','','',0),</t>
  </si>
  <si>
    <t>('46327447','DIAZ','FERNANDEZ','NORMAN','1990-05-24','M','','',0),</t>
  </si>
  <si>
    <t>('44835875','HORNA','ABANTO','ORLANDO','1988-02-10','M','','',0),</t>
  </si>
  <si>
    <t>('42596150','MICHELINI','PACORA','ALDO','1984-08-19','M','','',0),</t>
  </si>
  <si>
    <t>('46443901','TAVARA','ARANIBAR','GONZALO','1990-07-20','M','','',0),</t>
  </si>
  <si>
    <t>('40906031','CHIQUILLAN','CCEÑUA','ESTEBAN SANTIAGO','1978-11-28','M','','',0),</t>
  </si>
  <si>
    <t>('10244123','ROJAS','LAURENTE','FERMIN','1972-09-30','M','','',0),</t>
  </si>
  <si>
    <t>('42271014','SEVERINO','SUAREZ','FERNANDO','1984-01-18','M','','',0),</t>
  </si>
  <si>
    <t>('76133723','MIRANDA','LIÑAN','IVAN','1994-05-25','M','','',0),</t>
  </si>
  <si>
    <t>('77336191','FERNÁNDEZ','GUEVARA','JOSE ALEXANDER','1995-03-19','M','','',0),</t>
  </si>
  <si>
    <t>('44652791','GUTIERREZ','LOPEZ','LUIS ANTONIO','1987-09-30','M','','',0),</t>
  </si>
  <si>
    <t>('45074623','PACHECO','MOHANNA','DAVID','1988-02-12','M','','',0),</t>
  </si>
  <si>
    <t>('43509339','GARCIA','QUISPE','RONALD REYNALDO','1986-01-12','M','','',0),</t>
  </si>
  <si>
    <t>('43178056','BARTUREN','DUQUE','CESAR JAVIER','1985-09-18','M','','',0),</t>
  </si>
  <si>
    <t>('42084403','HUAMANI','CHAPARRO','NIWTON','1982-03-21','M','','',0),</t>
  </si>
  <si>
    <t>('45425144','CASTRO','LAZO','WILBERTH','1988-07-16','M','','',0),</t>
  </si>
  <si>
    <t>('47454970','CONDORI','ANDAGUA','MARIO FERNANDO','1990-11-05','M','','',0),</t>
  </si>
  <si>
    <t>('44548369','HILARIO','ZAMORA','JAIME NICOLAS','1987-10-08','M','','',0),</t>
  </si>
  <si>
    <t>('45782284','RODRIGUEZ','ORTIZ','RODOMIRO ENRIQUE','1988-10-28','M','','',0),</t>
  </si>
  <si>
    <t>('72713612','SUAREZ','MEZA','MIRELLA PATRICIA','1991-06-30','F','','',0),</t>
  </si>
  <si>
    <t>('44816214','QUISPE','ARTICA','LUIS MAXIMO','1987-04-17','M','','',0),</t>
  </si>
  <si>
    <t>('46246289','NORES','OCHOA','CRISTHIAN OSMAR','1990-03-29','M','','',0),</t>
  </si>
  <si>
    <t>('45179398','ZAFRA','GUEVARA','EDUAR','1988-04-22','M','','',0),</t>
  </si>
  <si>
    <t>('42833884','VELASQUEZ','CHACALTANA','JESUS MANUEL','1984-11-28','M','','',0),</t>
  </si>
  <si>
    <t>('47410866','RAMIREZ','RODRIGUEZ','JIMMY JOEL','1992-04-29','M','','',0),</t>
  </si>
  <si>
    <t>('45634567','PLAZA','OJEDA','MICHAEL HAMLET','1989-03-12','M','','',0),</t>
  </si>
  <si>
    <t>('43981457','CAMERO','MEJIA','OSWALDO ANTONIO','1987-01-10','M','','',0),</t>
  </si>
  <si>
    <t>('46349858','VILLANUEVA','TAIRO','ALIRIO','1990-04-30','M','','',0),</t>
  </si>
  <si>
    <t>('40175811','LAZARO','GOICOCHEA','ALVARO ALIPIO','1975-11-03','M','','',0),</t>
  </si>
  <si>
    <t>('76126150','ALEJO','ACERO','HAROLD','1997-03-22','M','','',0),</t>
  </si>
  <si>
    <t>('43965644','DIANDERAS','RAMIREZ','JOSETH JONATHAN','1986-10-31','M','','',0),</t>
  </si>
  <si>
    <t>('45301523','CCORAHUA','ARIAS','HENRY ERICSSON','1988-08-19','M','','',0),</t>
  </si>
  <si>
    <t>('04220255','DIAZ','SAMPAYO','WINAIKER STEWEN','1996-08-04','M','','',0),</t>
  </si>
  <si>
    <t>('46119270','RAMOS','MEZA','DIEGO ARMANDO','1989-10-27','M','','',0),</t>
  </si>
  <si>
    <t>('44903589','GUTIERREZ','CHUQUIJA','ANTHONY MARTIN','1988-02-27','M','','',0),</t>
  </si>
  <si>
    <t>('43992903','VARGAS','CALERO','LUIS ALBERTO','1986-11-11','M','','',0),</t>
  </si>
  <si>
    <t>('70769042','PAYANO','CARHUAMACA','VLADIMIR','1993-07-31','M','','',0),</t>
  </si>
  <si>
    <t>('70382600','YUCRA','CCANASI','WASHINGTON','1991-05-03','M','','',0),</t>
  </si>
  <si>
    <t>('47572724','CHERO','GRANDA','STALIN JOSUE','1992-11-04','M','','',0),</t>
  </si>
  <si>
    <t>('42125009','ALVARADO','LOPEZ','MARDONIO','1983-11-28','M','','',0),</t>
  </si>
  <si>
    <t>('40871583','CHAVEZ','COSTA','EDGARD SIXTO','1981-04-28','M','','',0),</t>
  </si>
  <si>
    <t>('71798473','TORRES','CALDERON','RENSO','1993-08-15','M','','',0),</t>
  </si>
  <si>
    <t>('45474604','CHAVEZ','AGAMA','WITTMAN GODOY','1988-09-16','M','','',0),</t>
  </si>
  <si>
    <t>('46318494','VILLEGAS','FERNANDEZ','DANIEL ADRIANO','1990-02-02','M','','',0),</t>
  </si>
  <si>
    <t>('46516101','GOMEZ','HERRERA','JOSE ARMANDO','1989-01-18','M','','',0),</t>
  </si>
  <si>
    <t>('46939444','HUALLPA','QUISPE','ALEX','1991-09-07','M','','',0),</t>
  </si>
  <si>
    <t>('41665508','FLORES','VILLAR','JUAN CARLOS','1982-11-20','M','','',0),</t>
  </si>
  <si>
    <t>('44028555','TEJADA','ATAHUALPA','CESAR HUMBERTO','1986-11-03','M','','',0),</t>
  </si>
  <si>
    <t>('45553012','BORJAS','MESONES','ROXANA GIOVANNA','1989-02-12','F','','',0),</t>
  </si>
  <si>
    <t>('18207097','VASQUEZ','VARGAS','JUAN EISER','1977-09-04','M','','',0),</t>
  </si>
  <si>
    <t>('46399039','ESPINOZA','CAMAC','EDER ADDERLY','1988-06-15','M','','',0),</t>
  </si>
  <si>
    <t>('71064014','OVIEDO','CIÑA','JEAN CARLO','1993-02-24','M','','',0),</t>
  </si>
  <si>
    <t>('09588243','ALCALA','GALLARDO','JOSE VICTOR MARTIN','1969-11-25','M','','',0),</t>
  </si>
  <si>
    <t>('40045076','MAGUIÑA','MALDONADO','LUCIO ALFREDO','1977-02-24','M','','',0),</t>
  </si>
  <si>
    <t>('46858365','CONDORI','TIPULA','CARLOS ALBERTO','1991-01-28','M','','',0),</t>
  </si>
  <si>
    <t>('70007778','REGENTE','ISASA','ALEJANDRO','1994-06-20','M','','',0),</t>
  </si>
  <si>
    <t>('09453884','SKECHE','LLANOS','ALEXIS MIGUEL','1970-10-08','M','','',0),</t>
  </si>
  <si>
    <t>('44445194','AVILA','ANTAY','ADRIAN ALEXIS','1987-06-17','M','','',0),</t>
  </si>
  <si>
    <t>('43647429','PIZARRO','URRUTIA','MARCO ANTONIO','1986-07-27','M','','',0),</t>
  </si>
  <si>
    <t>('73998900','GONZALES','ESCURRA','PAULO RODRIGO','1993-09-29','M','','',0),</t>
  </si>
  <si>
    <t>('42288612','QUISPE','CHUCTAYA','LUIS ALBERTO','1984-02-26','M','','',0),</t>
  </si>
  <si>
    <t>('45750382','HUASHUAYO','CHACONDORI','LEONARD MICHAEL','1989-05-15','M','','',0),</t>
  </si>
  <si>
    <t>('77702643','OBREGON','VILLAFUERTE','JOSE ANTONIO','1995-12-13','M','','',0),</t>
  </si>
  <si>
    <t>('43977839','LAZO','YAURI','JOSIMAR FINDLAY','1986-11-09','M','','',0),</t>
  </si>
  <si>
    <t>('77073844','ZAVALETA','RODRIGUEZ','NORMA JIMENA','1995-05-18','F','','',0),</t>
  </si>
  <si>
    <t>('47428228','VILCHEZ','YOVERA','JOSE ANTONIO','1987-08-22','M','','',0),</t>
  </si>
  <si>
    <t>('48518363','SANTIAGO','ROJAS','JEAN FRANCO','1995-02-11','M','','',0),</t>
  </si>
  <si>
    <t>('42886042','CAYRA','YANQUI','GUILLERMO RENE','1985-01-12','M','','',0),</t>
  </si>
  <si>
    <t>('18836237','LEON','AGUILAR','PERCY EDGARDO','1969-06-08','M','','',0),</t>
  </si>
  <si>
    <t>('72526631','SUAREZ','QUISPE','FRANK FELIX','1993-04-06','M','','',0),</t>
  </si>
  <si>
    <t>('47008403','ANGELES','LOAYZA','JORGE LUIS','1991-03-24','M','','',0),</t>
  </si>
  <si>
    <t>('40620193','ARATA','ANDA','ALFREDO EDUARDO','1980-08-08','M','','',0),</t>
  </si>
  <si>
    <t>('44172777','CALCINA','CALCINA','RONAL','1986-03-31','M','','',0),</t>
  </si>
  <si>
    <t>('45394921','URBINA','ZAPATA','IRVING GERARDO','1988-11-04','M','','',0),</t>
  </si>
  <si>
    <t>('46808727','ORBEGOSO','MEREGILDO','ITALO JEANCARLO','1992-02-04','M','','',0),</t>
  </si>
  <si>
    <t>('10185224','QUISPE','MOROCCO','WILVER','1975-08-26','M','','',0),</t>
  </si>
  <si>
    <t>('45107043','SAAVEDRA','JAVE','DILMER BENJAMÍN','1988-03-27','M','','',0),</t>
  </si>
  <si>
    <t>('77390981','RAMOS','ECHEVARRIA','LAURA MARICIELO','1995-03-21','F','','',0),</t>
  </si>
  <si>
    <t>('72620898','RAMOS','ANCO','JESUS ENRIQUE','2002-12-22','M','','',0),</t>
  </si>
  <si>
    <t>('73450457','TORREJON','TERREROS','JERSON LEONCIO','1996-09-13','M','','',0),</t>
  </si>
  <si>
    <t>('73502260','CONTRERAS','MENDOZA','YUGERT JEFFERSSON','1995-04-05','M','','',0),</t>
  </si>
  <si>
    <t>('70552546','CCAMA','QUISPE','JHON CARLOS','1992-02-14','M','','',0),</t>
  </si>
  <si>
    <t>('004241403','COVA','LOPEZ','JULIO CESAR','2000-01-12','M','','',0),</t>
  </si>
  <si>
    <t>('75016878','BENAVENTE','CONTRERAS','JHOSEPH OSMAR','2002-07-18','M','','',0),</t>
  </si>
  <si>
    <t>('46979906','CALAHUILLE','CALAHUILLE','WILBER','1990-03-22','M','','',0),</t>
  </si>
  <si>
    <t>('41107831','FIGUEROA','CCALLA','CESAR','1981-08-25','M','','',0),</t>
  </si>
  <si>
    <t>('70361712','BUSTAMANTE','REYES','FRANK ANDERSON','1990-01-04','M','','',0),</t>
  </si>
  <si>
    <t>('47259573','PEÑALOZA','ALMONACID','ALEJANDRO JUNIOR','1991-06-15','M','','',0),</t>
  </si>
  <si>
    <t>('72740073','MANAYAY','SERQUEN','BERNANDINO ALEXANDER','1999-04-21','M','','',0),</t>
  </si>
  <si>
    <t>('77388799','IRIGOIN','GUEVARA','FREDESVICTOR','1995-03-20','M','','',0),</t>
  </si>
  <si>
    <t>('75361118','POMAYA','PEÑALOZA','RUSEL DILVER','2000-07-25','M','','',0),</t>
  </si>
  <si>
    <t>('72965459','HUAMAN','HUAMAN','JHONATAN','1993-10-22','M','','',0),</t>
  </si>
  <si>
    <t>('45782476','BAZALAR','GUTIERREZ','JEAN PIERRE','1989-01-31','M','','',0),</t>
  </si>
  <si>
    <t>('76426942','UTURUNCO','ARAPA','HOBARD VIDAL','1995-08-28','M','','',0),</t>
  </si>
  <si>
    <t>('41485942','CRISPIN','TORRES','ENRIQUE MOISES','1982-07-15','M','','',0),</t>
  </si>
  <si>
    <t>('41319593','QUIJAITE','JUAREZ','FELIX EDGARDO','1973-06-30','M','','',0),</t>
  </si>
  <si>
    <t>('76175017','VALZ','FLORES','KARLO SEBASTIAN','1997-07-28','M','','',0),</t>
  </si>
  <si>
    <t>('41828065','CALERO','LOPEZ','EULALIO','1980-02-15','M','','',0),</t>
  </si>
  <si>
    <t>('70234926','PUCUHUAYLA','ALFARO','ANTONIO','1992-10-03','M','','',0),</t>
  </si>
  <si>
    <t>('76230595','DIAZ','PARILLO','HUMBERTO RONNY','1998-07-21','M','','',0),</t>
  </si>
  <si>
    <t>('76935200','ARIAS','SILVA','KATHERINE MILAGROS','1999-05-21','F','','',0),</t>
  </si>
  <si>
    <t>('47656233','JOHANSON','SAAVEDRA','DANTE EDMUNDO','1993-02-07','M','','',0),</t>
  </si>
  <si>
    <t>('74722282','ESPINOZA','PAMPAS','JLENDER ELI','1997-06-03','M','','',0),</t>
  </si>
  <si>
    <t>('45565399','ESPINOZA','PEREZ','LUIGUI BRAYAN','1988-02-25','M','','',0),</t>
  </si>
  <si>
    <t>('46698552','CHOQUE','VILCA','ALEXANDER RAUL','1990-12-08','M','','',0),</t>
  </si>
  <si>
    <t>('75450346','CHAVEZ','MALPARTIDA','KEVIN ANDY','1997-03-02','M','','',0),</t>
  </si>
  <si>
    <t>('70853768','ORTEGA','TELLO','HENRY LUIS','1998-11-18','M','','',0),</t>
  </si>
  <si>
    <t>('45481705','SUAREZ','GONZALES','JORGE LUIS','1988-03-07','M','','',0),</t>
  </si>
  <si>
    <t>('74710498','BARJA','NUÑEZ','CARLOS ADRIEL','2000-03-23','M','','',0),</t>
  </si>
  <si>
    <t>('43189984','CHINO','ADUVIRI','TORIBIO','1983-04-16','M','','',0),</t>
  </si>
  <si>
    <t>('76147441','APAZA','PUMA','WILFREDO','1998-10-05','M','','',0),</t>
  </si>
  <si>
    <t>('45830353','MACHACA','AROCUTIPA','CESAR','1988-11-16','M','','',0),</t>
  </si>
  <si>
    <t>('76461697','ROMERO','TORRES','GIANMARCO EDUARDO','1995-04-14','M','','',0),</t>
  </si>
  <si>
    <t>('75542794','VEGA','TORRES','ELIAZEL ENRRIQUE','1999-09-22','M','','',0),</t>
  </si>
  <si>
    <t>('77709159','AVILA','VENTO','OLGHER FABIAN','1995-08-25','M','','',0),</t>
  </si>
  <si>
    <t>('76231875','CASAS','LOPEZ','CESAR AUGUSTO','1994-05-25','M','','',0),</t>
  </si>
  <si>
    <t>('72451846','QUIROGA','PALMA','JONATHAN JOSEPH','1995-01-09','M','','',0),</t>
  </si>
  <si>
    <t>('73930622','IMAN','TORRES','NAYADA KIMBERLY ARIANA','2000-12-04','F','','',0),</t>
  </si>
  <si>
    <t>('77680405','TINCO','AUCCAHUASI','JOSE ANTONIO','1999-05-26','M','','',0),</t>
  </si>
  <si>
    <t>('75069752','CAMACHO','SILVERIO','PEDRO CESAR','1997-09-12','M','','',0),</t>
  </si>
  <si>
    <t>('73301250','HUALLPA','HUILLCA','WILSON FERNANDO','1992-11-17','M','','',0),</t>
  </si>
  <si>
    <t>('72429550','TORRES','SANCHEZ','GONZALO JAVIER','1996-11-19','M','','',0),</t>
  </si>
  <si>
    <t>('48271514','MOGOLLON','PALOMINO','ARNOLD OLIVER','1993-10-18','M','','',0),</t>
  </si>
  <si>
    <t>('75769849','TOSCANO','FERNANDEZ','ERASMO','1995-04-19','M','','',0),</t>
  </si>
  <si>
    <t>('47768861','JIMENEZ','BARTESAGHI','LUIS EDMUNDO','1992-08-08','M','','',0),</t>
  </si>
  <si>
    <t>('76083021','RIOS','MENDOZA','LEONARDO ANTONIO','1999-04-29','M','','',0),</t>
  </si>
  <si>
    <t>('47839098','SALDIVAR','SEQUEIROS','RENZO JUVENAL','1991-11-16','M','','',0),</t>
  </si>
  <si>
    <t>('70817411','LAMPA','CCASO','JUAN JOSE','1991-07-14','M','','',0),</t>
  </si>
  <si>
    <t>('71924746','QUISPE','PACCO','ALEX','1994-06-09','M','','',0),</t>
  </si>
  <si>
    <t>('70605150','ROJAS','RIVERA','JAVIER ALEXANDER','1995-08-15','M','','',0),</t>
  </si>
  <si>
    <t>('75795555','HUACHO','CELIS','KENETH MICHAEL','1998-09-24','M','','',0),</t>
  </si>
  <si>
    <t>('71926921','GADEA','SANTISTEBAN','GERARDO MANUEL DE JESUS','1994-11-13','M','','',0),</t>
  </si>
  <si>
    <t>('45578309','GIL','CUSIHUALLPA','EDISON','1993-08-08','M','','',0),</t>
  </si>
  <si>
    <t>('43168092','CAPUÑAY','SAAVEDRA','JOSE MIGUEL','1985-08-14','M','','',0),</t>
  </si>
  <si>
    <t>('46061615','CUADRA','PASQUEL','JESUS ALEJANDRO','1989-12-13','M','','',0),</t>
  </si>
  <si>
    <t>('74486441','FLORES','CHOQUE','LUIS ALEXANDER','1999-05-26','M','','',0),</t>
  </si>
  <si>
    <t>('43245929','ANCIETA','HUALLAMARES','VICTOR HUGO','1985-10-22','M','','',0),</t>
  </si>
  <si>
    <t>('40507733','DIAZ','NORIEGA','CESAR MANUEL','1980-04-28','M','','',0),</t>
  </si>
  <si>
    <t>('76163175','HINOJOSA','TTITO','LUIS ALDAIR','1997-07-25','M','','',0),</t>
  </si>
  <si>
    <t>('45642738','HUAMAN','SUPA','LUIS ALBERTO','1989-01-16','M','','',0),</t>
  </si>
  <si>
    <t>('001927983','ALFONZO','SABINO','EVELIO JOSÉ','1970-04-26','M','','',0),</t>
  </si>
  <si>
    <t>('40199190','RUIZ','ROSALINO','JOHN SIXTO','1979-05-19','M','','',0),</t>
  </si>
  <si>
    <t>('44937847','VEGA','FEIJOO','ELISEO','1986-08-05','M','','',0),</t>
  </si>
  <si>
    <t>('73657196','TORRES','REQUENA','JULIO CESAR','1999-01-06','M','','',0),</t>
  </si>
  <si>
    <t>('75480374','CHUNGA','VALVERDE','SEGUNDO JULIAN','1996-06-11','M','','',0),</t>
  </si>
  <si>
    <t>('77342445','JIMENEZ','MUÑOZ','TITO MAGAYAL','1996-09-06','M','','',0),</t>
  </si>
  <si>
    <t>('75822867','TEZEN','ZURITA','WILLIAM FRANCISCO','1994-07-30','M','','',0),</t>
  </si>
  <si>
    <t>('72230277','PINTADO','CHAMBA','EDWIN','1996-05-05','M','','',0),</t>
  </si>
  <si>
    <t>('72716005','SOTO','REATEGUI','BORIS DANIEL','1994-03-24','M','','',0),</t>
  </si>
  <si>
    <t>('74977152','NAVARRO','VEINTIMILLA','LUIS GONZALO','2000-04-10','M','','',0),</t>
  </si>
  <si>
    <t>('46517617','CUADRA','MONTECINO','WILMER','1990-08-17','M','','',0),</t>
  </si>
  <si>
    <t>('74581644','GARCIA','SERNA','RONY JEANPIERRE EUSEBIO','1995-02-17','M','','',0),</t>
  </si>
  <si>
    <t>('73545811','SULLCA','CCORAHUA','HENRY','2000-07-20','M','','',0),</t>
  </si>
  <si>
    <t>('45147592','CACMA','QUISPE','GUIDO RAY','1987-06-09','M','','',0),</t>
  </si>
  <si>
    <t>('41270434','PIZARRO','POMA','EDISON VIRNEY','1982-06-09','M','','',0),</t>
  </si>
  <si>
    <t>('42235256','SANCHEZ','JIMENEZ','JOSE ARQUIMEDES','1982-08-20','M','','',0),</t>
  </si>
  <si>
    <t>('70658854','MEGO','ALARCON','FELLY ROSARIO','2001-05-11','F','','',0),</t>
  </si>
  <si>
    <t>('47655661','ARREGUI','NOLORBE','CHRISTOPHER MIKE','1992-08-25','M','','',0),</t>
  </si>
  <si>
    <t>('47699213','GATICA','MOZOMBITE','JEFFERSON JUNIOR','1992-04-02','M','','',0),</t>
  </si>
  <si>
    <t>('47131003','GARCIA','ALVAN','FRANCK JOSE','1991-04-24','M','','',0),</t>
  </si>
  <si>
    <t>('74854146','QUISPE','YAURI','DAVID ELIGIO','1999-10-30','M','','',0),</t>
  </si>
  <si>
    <t>('74222776','DURAN','CAMONES','LARIZA LISETH','1996-03-28','F','','',0),</t>
  </si>
  <si>
    <t>('72694558','SUCSO','ROJAS','LEONER ADRIAN','1998-09-23','M','','',0),</t>
  </si>
  <si>
    <t>('48452548','VARGAS','HARO','GARY JUNIOR','1993-09-29','M','','',0),</t>
  </si>
  <si>
    <t>('70844479','TORREJON','GUTIERREZ','JESUS HUMBERTO','1992-05-05','M','','',0),</t>
  </si>
  <si>
    <t>('72071966','RAMOS','CHUMBES','KEVIN ROSSEL','1988-09-14','M','','',0),</t>
  </si>
  <si>
    <t>('44266624','ALVARO','CACHI','FIDEL ANGEL','1987-05-12','M','','',0),</t>
  </si>
  <si>
    <t>('74278451','DE','ALMEIDA LIRA','DAYANNE NICOLE','1998-12-14','F','','',0),</t>
  </si>
  <si>
    <t>('72174599','MARIN','PIZANGO','GUILLERMO HARY','2000-01-10','M','','',0),</t>
  </si>
  <si>
    <t>('72186750','AMACHE','AVENDAÑO','YADHIRA','2000-02-18','F','','',0),</t>
  </si>
  <si>
    <t>('45415967','BUSTAMANTE','ZEÑA','NILTON NOE','1988-11-17','M','','',0),</t>
  </si>
  <si>
    <t>('76446197','ORE','CONCHA','JESUS','1994-12-24','M','','',0),</t>
  </si>
  <si>
    <t>('46191773','PUMA','CÁCERES','JOSÉ','1989-05-23','M','','',0),</t>
  </si>
  <si>
    <t>('71820983','ARBULU','VERGARA','JORGE ARMANDO','1994-03-30','M','','',0),</t>
  </si>
  <si>
    <t>('47457409','ATAUCURI','QUISPE','RICHARD','1992-12-12','M','','',0),</t>
  </si>
  <si>
    <t>('72679404','SANCHEZ','MARIN','KELLY LORENA','2001-09-24','F','','',0),</t>
  </si>
  <si>
    <t>('73146757','MOTTA','ROSADA','FRANGHOAR ANGELLO','1996-07-29','M','','',0),</t>
  </si>
  <si>
    <t>('72194296','CARRILLO','ACEVEDO','ALLINSON YOLANDA','1997-05-20','F','','',0),</t>
  </si>
  <si>
    <t>('29707698','TEJADA','CACERES','WILBER RAUL','1977-08-30','M','','',0),</t>
  </si>
  <si>
    <t>('76132617','VEGA','ARELLAN','JAFFET MAURICIO','1996-06-18','M','','',0),</t>
  </si>
  <si>
    <t>('74392543','JARA','GOMEZ','MIGUEL EDGARDO','1994-10-09','M','','',0),</t>
  </si>
  <si>
    <t>('73131397','HUARICALLA','PANCCA','MARCOS ALBERTO','1998-03-06','M','','',0),</t>
  </si>
  <si>
    <t>('75764575','BENITES','PALACIOS','MELANNY KATHY','1998-05-08','F','','',0),</t>
  </si>
  <si>
    <t>('72862130','SALAS','HERRERA','GIANELA ROSA','2000-08-30','F','','',0),</t>
  </si>
  <si>
    <t>('74736019','ROBLEDO','SANCHEZ','CRISTHIAN DAVID','1994-11-05','M','','',0),</t>
  </si>
  <si>
    <t>('75912521','MOLERO','BURGOS','DIEGO ANDRE','1997-07-28','M','','',0),</t>
  </si>
  <si>
    <t>('72712105','RUIZ','CARRILLO','XIOMARA CRISELL','2000-01-18','F','','',0),</t>
  </si>
  <si>
    <t>('73004406','CABELLO','CAMPOS','RUTH YORICA','1994-12-04','F','','',0),</t>
  </si>
  <si>
    <t>('76748669','MUÑANTE','MANCO','CARLOS MANUEL','1998-02-12','M','','',0),</t>
  </si>
  <si>
    <t>('73796897','TALLEDO','GUERRERO','RENATO','1999-04-03','M','','',0),</t>
  </si>
  <si>
    <t>('72350986','FUENTES','URDANIGA','BENJAMÍN OMAR','1996-11-21','M','','',0),</t>
  </si>
  <si>
    <t>('70850101','CABELLO','SALAZAR','MARCO BRUNO','1992-01-03','M','','',0),</t>
  </si>
  <si>
    <t>('75930172','MAYORÍA','VARGAS','JIMENA','1998-08-31','F','','',0),</t>
  </si>
  <si>
    <t>('43730049','PUPPO','CHACON','AUGUSTO LUIS','1986-07-29','M','','',0),</t>
  </si>
  <si>
    <t>('45861620','SANTIVAÑEZ','CANO','MANUEL JHONATAN','1989-07-07','M','','',0),</t>
  </si>
  <si>
    <t>('46684823','VELARDE','SALAZAR','GIANCARLO','1990-07-05','M','','',0),</t>
  </si>
  <si>
    <t>('71472927','AVILA','ALVARADO','OSBAR JOSELITO','1992-10-11','M','','',0),</t>
  </si>
  <si>
    <t>('70004030','GALARZA','FEBRES','MARCELO MARTIN','1995-10-28','M','','',0),</t>
  </si>
  <si>
    <t>('005370437','PICHARDO','RODRIGUEZ','NERIO ENRIQUE','1986-06-11','M','','',0),</t>
  </si>
  <si>
    <t>('71551304','RAMOS','TORRES','GUIDO ANTONIO','1994-12-29','M','','',0),</t>
  </si>
  <si>
    <t>('08595557','SOVERO','URQUÍA','MÁXIMO','1966-10-30','M','','',0),</t>
  </si>
  <si>
    <t>('10694708','PAZ','ARICA','ALVARO ENRIQUE','1978-07-01','M','','',0),</t>
  </si>
  <si>
    <t>('47014508','RUFINO','PANTA','DUBER','1991-06-23','M','','',0),</t>
  </si>
  <si>
    <t>('43102896','REVOLLEDO','OLIVOS','JHAN MARTIN','1985-08-06','M','','',0),</t>
  </si>
  <si>
    <t>('76726246','ESPINOZA','SALAZAR','LINCOLN ARTURO','1998-02-05','M','','',0),</t>
  </si>
  <si>
    <t>('72645200','ROJAS','CALDERÓN','ALVARO JULIO','1992-11-22','M','','',0),</t>
  </si>
  <si>
    <t>('70886051','YOVERA','RAMIREZ','CESAR ADRIÁN','1998-05-08','M','','',0),</t>
  </si>
  <si>
    <t>('73128328','DE LA CRUZ','BARDALES','JEAN PIERE','1998-07-13','M','','',0),</t>
  </si>
  <si>
    <t>('73228642','AGUIRRE','BANDA','JOSHUA SABRINA','1999-03-06','F','','',0),</t>
  </si>
  <si>
    <t>('45537435','RUIZ','ESPINOZA','HOUSTON MARCO','1988-07-18','M','','',0),</t>
  </si>
  <si>
    <t>('70460946','GUERRA','ZAPATA','JORGE ANTONIO','2001-03-21','M','','',0),</t>
  </si>
  <si>
    <t>('70863546','ROJAS','CARDENAS','JOSEPH EDGAR','2002-10-25','M','','',0),</t>
  </si>
  <si>
    <t>('48065984','CAMPANA','ATAJO','ALVARO KEVIN','1993-07-20','M','','',0),</t>
  </si>
  <si>
    <t>('46661529','SANDOVAL','BARRIENTOS','MARCO ANTONIO','1990-11-18','M','','',0),</t>
  </si>
  <si>
    <t>('43812050','TORRES','BENITES','JUAN CARLOS IVAN','1985-01-10','M','','',0),</t>
  </si>
  <si>
    <t>('43059578','CHINCHAY','MERINO','JOSE FRANCISCO','1985-05-30','M','','',0),</t>
  </si>
  <si>
    <t>('47168662','ZEVALLOS','PEREZ','SEGUNDO JOHN','1991-06-25','M','','',0),</t>
  </si>
  <si>
    <t>('46677499','MEDINA','RAMIREZ','CARLOS JHONATAN','1990-09-25','M','','',0),</t>
  </si>
  <si>
    <t>('44933350','NUÑEZ','SAMANIEGO','DARWIN OMAR','1986-11-22','M','','',0),</t>
  </si>
  <si>
    <t>('47451933','OBREGON','MEJIA','GUILLERMO FRANKLIN','1991-06-15','M','','',0),</t>
  </si>
  <si>
    <t>('71058513','CORDOVA','GUERRERO','EDILMER','2000-04-22','M','','',0),</t>
  </si>
  <si>
    <t>('75556282','PALOMINO','MACHUCA','MELANY KIMBERLY','1997-07-25','F','','',0),</t>
  </si>
  <si>
    <t>('76268409','VILLEGAS','GARCIA','SEBASTIAN EDILBERTO','1999-09-13','M','','',0),</t>
  </si>
  <si>
    <t>('74088544','MEDINA','DE LA CRUZ','JOSE GIANFRANCO','1998-06-19','M','','',0),</t>
  </si>
  <si>
    <t>('75616937','CRUZ','RIVAS','ALEX JOEL','2003-07-01','M','','',0),</t>
  </si>
  <si>
    <t>('71869889','AVELLANEDA','DIAZ','IVAN','2000-06-20','M','','',0),</t>
  </si>
  <si>
    <t>('76951085','TUPAYACHI','CORAL','DIEGO AARON','2000-12-24','M','','',0),</t>
  </si>
  <si>
    <t>('77322869','RIVA','ORBEZO','RONALD JOSUE','1997-05-14','M','','',0),</t>
  </si>
  <si>
    <t>('41294104','VIDAL','PÉREZ','HUGO HÉCTOR','1981-12-22','M','','',0),</t>
  </si>
  <si>
    <t>('46307105','RAMIREZ','CHALCO','NILO','1987-04-29','M','','',0),</t>
  </si>
  <si>
    <t>('10637504','ÑAUPARI','BALDEON','PABLO FELIPE','1978-05-26','M','','',0),</t>
  </si>
  <si>
    <t>('70986625','ERASMO','BERRIOS','ERICK ALEXANDER','1997-10-26','M','','',0),</t>
  </si>
  <si>
    <t>('77421564','FLORES','VILCA','CARLOS ENRIQUE','1995-05-26','M','','',0),</t>
  </si>
  <si>
    <t>('44353914','OLIVERA','MANCO','JORGE AUGUSTO','1987-06-30','M','','',0),</t>
  </si>
  <si>
    <t>('70310250','TICONA','SAAVEDRA','CESAR MARTIN','1997-11-09','M','','',0),</t>
  </si>
  <si>
    <t>('72421032','GUTIERREZ','CANRE','FELIX GERARDO','2002-11-01','M','','',0),</t>
  </si>
  <si>
    <t>('77381096','GUTIERREZ','HURTADO','CHRISTOPHER ABILIO','1997-03-12','M','','',0),</t>
  </si>
  <si>
    <t>('48369134','SALCEDO','ORELLANA','RICARDO ALFONSO','1993-10-15','M','','',0),</t>
  </si>
  <si>
    <t>('73904623','MALPARTIDA','SANTOS','ROCIO LISBETH','1999-09-25','F','','',0),</t>
  </si>
  <si>
    <t>('02669479','MARTINEZ','TERREROS','LARRY GREGORIO','1966-03-12','M','','',0),</t>
  </si>
  <si>
    <t>('72862065','TORRES','RODRÍGUEZ','CARLOS DIEGO','1997-07-15','M','','',0),</t>
  </si>
  <si>
    <t>('45437518','VASQUEZ','DAVILA','CESAR ABEL','1988-12-06','M','','',0),</t>
  </si>
  <si>
    <t>('70561884','DAVILA','RAFAEL','HENNRY','1991-11-24','M','','',0),</t>
  </si>
  <si>
    <t>('46941408','VERA','FLORES','JESÚS ANTONIO','1991-06-02','M','','',0),</t>
  </si>
  <si>
    <t>('48450411','ANCULLE','SIERRA','RUSBEL MILTON','1994-11-13','M','','',0),</t>
  </si>
  <si>
    <t>('71262948','BRAVO','VALLEJOS','KELVIN ARTURO','1996-10-24','M','','',0),</t>
  </si>
  <si>
    <t>('71100059','ESPINOZA','AYALA','JAIME DEYVIS','1997-09-12','M','','',0),</t>
  </si>
  <si>
    <t>('77079421','LA','CRUZ CHEQUERA','LEOPOLDO ANCI','1995-01-15','M','','',0),</t>
  </si>
  <si>
    <t>('75783937','SALAS','GALARZA','ANDRÉ JAVIER','2000-08-23','M','','',0),</t>
  </si>
  <si>
    <t>('71100890','ARIAS','MARCES','AAROM BRYAM AYRTON','1996-06-16','M','','',0),</t>
  </si>
  <si>
    <t>('75772572','CALLE','PASAPERA','JORGE JOSEPH','2000-08-17','M','','',0),</t>
  </si>
  <si>
    <t>('72497720','QUISPE','PALOMINO','FRANKLIN','1997-10-12','M','','',0),</t>
  </si>
  <si>
    <t>('76231605','PEÑA','MARTÍNEZ','NELSON ALEXANDER','1996-03-25','M','','',0),</t>
  </si>
  <si>
    <t>('41426563','YALTA','ARÉVALO','HUGO JOEL','1981-06-23','M','','',0),</t>
  </si>
  <si>
    <t>('75223602','EGUES','HUACHACA','KRISTEL XIMENA','1995-01-27','F','','',0),</t>
  </si>
  <si>
    <t>('77244354','MURAYARI','PAIMA','JHON GLEIN','1994-11-08','M','','',0),</t>
  </si>
  <si>
    <t>('72274425','LAZARTE','FERNANDEZ','ELIAS ANDREE','1998-12-28','M','','',0),</t>
  </si>
  <si>
    <t>('74821132','CHOQUEHUANCA','MAMANI','BRAX ARNY','2003-08-11','M','','',0),</t>
  </si>
  <si>
    <t>('75991569','CUELLO','TORRES','CYNTHIA ANDREA','2000-11-03','F','','',0),</t>
  </si>
  <si>
    <t>('71895397','PINEDO','SOLANO','PELAYO','2001-02-15','M','','',0),</t>
  </si>
  <si>
    <t>('70849273','BERNAL','CRUZ','JHON DARWIN','1991-04-26','M','','',0),</t>
  </si>
  <si>
    <t>('48329659','VILCHEZ','ZAPATA','MARVIN EMANUEL','1994-08-01','M','','',0),</t>
  </si>
  <si>
    <t>('72287833','CARDENAS','LICAS','JOSE ANDRE','2000-03-16','M','','',0),</t>
  </si>
  <si>
    <t>('72078930','TAMAYO','MENDOZA','CHARLI','1996-09-22','M','','',0),</t>
  </si>
  <si>
    <t>('43640136','AGURTO','MOGOLLON','JUNIOR EDUARDO','1985-12-04','M','','',0),</t>
  </si>
  <si>
    <t>('72695581','CRUZ','SERNAQUE','VICTOR MANUEL','1999-01-01','M','','',0),</t>
  </si>
  <si>
    <t>('47070271','MONTOYA','LAUREANO','MILWARD JORGE','1991-06-02','M','','',0),</t>
  </si>
  <si>
    <t>('46972995','CARUAJULCA','SANTILLAN','JHONY','1992-04-21','M','','',0),</t>
  </si>
  <si>
    <t>('73374782','SISNIEGAS','VALDIVIA','MIGUEL ANGEL','1996-06-10','M','','',0),</t>
  </si>
  <si>
    <t>('71273363','HUAMAN','PEÑA','EDUARDO MARTIN','1993-01-09','M','','',0),</t>
  </si>
  <si>
    <t>('75953771','MONASTERIO','TORREZ','EMIL BERNARD','1997-04-06','M','','',0),</t>
  </si>
  <si>
    <t>('73991152','CARRION','ORTIZ','YESENIA MERCEDES','1997-09-27','M','','',0),</t>
  </si>
  <si>
    <t>('77464584','CHUCO','ROJAS','JEAN PIER','2005-02-25','M','','',0),</t>
  </si>
  <si>
    <t>('70113658','DURAND','VENEGAS','XAVIER','1992-03-16','M','','',0),</t>
  </si>
  <si>
    <t>('76546242','FEBRES','ANCAJIMA','CARLOS ALBERTO','1996-12-02','M','','',0),</t>
  </si>
  <si>
    <t>('31660729','BARRENECHEA','FLORES','NILS','1971-10-03','M','','',0),</t>
  </si>
  <si>
    <t>('45292010','GALLARDO','ARCOS','GIANCARLO','1988-09-19','M','','',0),</t>
  </si>
  <si>
    <t>('45065815','QUISPE','ANCO','GUIDO HERNAN','1988-03-05','M','','',0),</t>
  </si>
  <si>
    <t>('41845226','PINO','MORON','ALEXANDER','1982-11-29','M','','',0),</t>
  </si>
  <si>
    <t>('47727537','BUITRON','CUSI','ANGEL','1992-07-24','M','','',0),</t>
  </si>
  <si>
    <t>('41818751','MIRANDA','ANAMPA','OSCAR','1983-05-30','M','','',0),</t>
  </si>
  <si>
    <t>('73677559','CASTRO','CASTRO','FRANCK MARCOS','1994-10-18','M','','',0),</t>
  </si>
  <si>
    <t>('70614423','CHUQUIPOMA','DOLORES','JOSE ANTONIO','1998-02-14','M','','',0),</t>
  </si>
  <si>
    <t>('70003397','BEGAZO','QUENAYA','JEANCARLO JESUS','1995-12-24','M','','',0),</t>
  </si>
  <si>
    <t>('73878073','MUÑICO','ALEJO','ERICK JAIR','1999-10-27','M','','',0),</t>
  </si>
  <si>
    <t>('71947894','SILVA','CORDOVA','DIEGO YAMIL','1994-09-26','M','','',0),</t>
  </si>
  <si>
    <t>('73902251','VALENTIN','MEZA','ANGEL IVAN','1998-12-10','M','','',0),</t>
  </si>
  <si>
    <t>('75077177','ANAMPA','MACHUCA','JEYSA ALEXANDRA','2002-12-17','F','','',0),</t>
  </si>
  <si>
    <t>('71559045','CHUMACERO','ESPINOZA','MANUEL','2000-05-13','M','','',0),</t>
  </si>
  <si>
    <t>('43953805','TORRES','SALAS','SEGUNDO PEDRO','1986-10-21','M','','',0),</t>
  </si>
  <si>
    <t>('74537175','PHACSI','CRUZ','HERNAN','1997-11-07','M','','',0),</t>
  </si>
  <si>
    <t>('48472345','GONZALES','REJAS','JHONATAN JOEL','1995-01-15','M','','',0),</t>
  </si>
  <si>
    <t>('46863497','GUZMAN','TEJEDA','SAUL MOISES','1991-03-22','M','','',0),</t>
  </si>
  <si>
    <t>('70525631','NUÑEZ','BREÑA','EDGAR','1999-05-17','M','','',0),</t>
  </si>
  <si>
    <t>('73023781','JIMENEZ','MORALES','CELSO LUIS','2000-03-03','M','','',0),</t>
  </si>
  <si>
    <t>('70525602','USCAMAYTA','RIVERA','JHONATAN MAURO','1991-04-12','M','','',0),</t>
  </si>
  <si>
    <t>('72190960','LEON','PATIÑO','MARIA FERNANDA ROSA','2001-06-21','F','','',0),</t>
  </si>
  <si>
    <t>('47805408','CAVERO','JUNGBLUTH','LUIS ERNETO GERMAN','1992-11-09','M','','',0),</t>
  </si>
  <si>
    <t>('75603447','BOZA','PRATO','MICHELLE','2001-04-05','F','','',0),</t>
  </si>
  <si>
    <t>('46454427','DIAZ','GUEVARA','FIORELLA','1990-08-08','F','','',0),</t>
  </si>
  <si>
    <t>('72972650','ALVARADO','VERA','LISSET GERALDINE','1994-03-31','F','','',0),</t>
  </si>
  <si>
    <t>('70089249','HUAMANI','TORRES','GERALDINE','1993-07-12','F','','',0),</t>
  </si>
  <si>
    <t>('46873623','SOSA','LALUPU','JULIO CESAR','1991-08-01','M','','',0),</t>
  </si>
  <si>
    <t>('47095769','SIVINA','AGUILAR','FABIAN','1991-07-08','M','','',0),</t>
  </si>
  <si>
    <t>('74741450','CARMONA','MOGOLLÓN','JOHAN ALDHAIR','1998-08-10','M','','',0),</t>
  </si>
  <si>
    <t>('41858920','PONCE','GUTIERREZ','BRIAN BROWN','1983-05-19','M','','',0),</t>
  </si>
  <si>
    <t>('70905553','SANCHEZ','CRUZADO','JOSE VIDAL','1993-12-18','M','','',0),</t>
  </si>
  <si>
    <t>('72249466','CATASI','MIRANDA','WILBER RUBEN','2001-05-22','M','','',0),</t>
  </si>
  <si>
    <t>('75680792','GALVEZ','CAJAS','JOSELYN ROBINSON','1997-07-30','F','','',0),</t>
  </si>
  <si>
    <t>('47722161','CHAPOÑAN','FARROÑAN','MARIO JOEL','1993-04-13','M','','',0),</t>
  </si>
  <si>
    <t>('80161226','TEJADA','CACERES','EDGARD LEONCIO','1973-06-23','M','','',0),</t>
  </si>
  <si>
    <t>('74214593','CABANA','PAUCARA','LENYN','1999-06-09','M','','',0),</t>
  </si>
  <si>
    <t>('44997375','LAYME','VALDIVIA','PABLO CESAR','1987-06-30','M','','',0),</t>
  </si>
  <si>
    <t>('74619575','SANTOS','LAURA','FREDDY WALDIR','1996-02-08','M','','',0),</t>
  </si>
  <si>
    <t>('43891635','ATAMARI','CHAHUARA','LUIS CARLOS','1986-10-23','M','','',0),</t>
  </si>
  <si>
    <t>('46644360','SANCHEZ','ZUÑIGA','JESUS ERICK','1990-09-08','M','','',0),</t>
  </si>
  <si>
    <t>('74709350','HUAYTA','ARNERO','CRISTHIAN CRISTOFER','1997-06-20','M','','',0),</t>
  </si>
  <si>
    <t>('46261892','BARRETO','HUILLCA','STIVENSON JONATHAN','1989-12-08','M','','',0),</t>
  </si>
  <si>
    <t>('71406710','BARRIENTOS','RAVINES','ALEJANDRO EUDOCIO','1992-07-10','M','','',0),</t>
  </si>
  <si>
    <t>('73674376','AVILA','CANO','SEBASTIAN PIERO','2001-01-19','M','','',0),</t>
  </si>
  <si>
    <t>('72028322','ENRIQUEZ','CUEVA','JEREMY HAROLD','1996-04-29','M','','',0),</t>
  </si>
  <si>
    <t>('41084310','ORTEGA','MOLLO','OMAR','1981-06-08','M','','',0),</t>
  </si>
  <si>
    <t>('76132838','ACUÑA','ESTELA','MIGUEL ANGEL','1997-11-22','M','','',0),</t>
  </si>
  <si>
    <t>('10619388','DONAYRE','DIAZ','MAKINO MIJAIL','1977-04-23','M','','',0),</t>
  </si>
  <si>
    <t>('48360905','MORA','PORTALATINO','BENJY ROCKY','1994-05-30','M','','',0),</t>
  </si>
  <si>
    <t>('47850866','NINA','VARGAS','GERALDYNE JAZMYN','1993-04-02','F','','',0),</t>
  </si>
  <si>
    <t>('71217170','GARCÍA','REGALADO','CESAR FERNANDO JUNNIOR','1996-08-19','M','','',0),</t>
  </si>
  <si>
    <t>('73591103','VELARDE','PASAPERA','ANTONY BRANCO','1997-09-03','M','','',0),</t>
  </si>
  <si>
    <t>('72930150','BAUTISTA','QUINTANILLA','URIEL AUGUSTO','2000-05-13','M','','',0),</t>
  </si>
  <si>
    <t>('74204775','CARDOZO','JARA','LUIS GUSTAVO','1999-09-05','M','','',0),</t>
  </si>
  <si>
    <t>('48353390','HUAMANCAYO','GARCIA','JUNIOR','1994-07-19','M','','',0),</t>
  </si>
  <si>
    <t>('75822342','GONZALES','VICENTE','JACK FELIPE','1994-04-27','M','','',0),</t>
  </si>
  <si>
    <t>('70374534','LAZARTE','ACOSTA','BELEN ALEXANDRA','1997-01-18','F','','',0),</t>
  </si>
  <si>
    <t>('72927180','VELASQUEZ','PACHERRE','KEVIN GABRIEL','1999-05-25','M','','',0),</t>
  </si>
  <si>
    <t>('72324165','TRUJILLO','JULCA','PABLO','1996-09-30','M','','',0),</t>
  </si>
  <si>
    <t>('77044901','MUCHA','ESPIRITU','BLADIMIR','1997-03-22','M','','',0),</t>
  </si>
  <si>
    <t>('72458686','HUAMAN','ALIAGA','JEAN PIERRE ALEJANDRO','1999-05-20','M','','',0),</t>
  </si>
  <si>
    <t>('45097622','PANDURO','RAMOS','CHRISTIAN JESUS','1987-01-06','M','','',0),</t>
  </si>
  <si>
    <t>('42581486','CCALLO','CHOQUEHUANCA','JESÚS ERASMO','1984-06-29','M','','',0),</t>
  </si>
  <si>
    <t>('74150448','VALENZUELA','BARROSO','EDUARDO','1998-01-29','M','','',0),</t>
  </si>
  <si>
    <t>('42174914','ROJAS','TUMBA','MARIO MANUEL','1982-05-11','M','','',0),</t>
  </si>
  <si>
    <t>('70606772','SANCHO','HUARSAYA','YERSON FABRISIO','2003-04-11','M','','',0),</t>
  </si>
  <si>
    <t>('42961886','VICTORIO','SERNA','JHONSON','1985-04-09','M','','',0),</t>
  </si>
  <si>
    <t>('46333334','VIDAL','CARAZAS','XUAN ARMANDO','1989-09-13','M','','',0),</t>
  </si>
  <si>
    <t>('74155632','BALDEON','SALAZAR','JESUS WALTER HUMBERTO','2002-11-15','M','','',0),</t>
  </si>
  <si>
    <t>('43756480','LLONTOP','MONTES','LUIS ALFREDO','1986-09-02','M','','',0),</t>
  </si>
  <si>
    <t>('71551235','HENRIQUEZ','CRISPIN','BRAD','2001-06-30','M','','',0),</t>
  </si>
  <si>
    <t>('74133626','ROBLEDILLO','DEL CASTILLO','MARCELO','2002-01-16','M','','',0),</t>
  </si>
  <si>
    <t>('72021462','GUANILO','GALLARDO','RAFAEL AUGUSTO','2002-06-23','M','','',0),</t>
  </si>
  <si>
    <t>('71555418','SALDAÑA','COSTA','KEVIN JOSEPH','1995-08-09','M','','',0),</t>
  </si>
  <si>
    <t>('71466703','CASTILLO','CASTILLO','MANUEL ZEUXIS VICTOR JOHN','1993-06-18','M','','',0),</t>
  </si>
  <si>
    <t>('73343818','ESTRELLA','SALOMÉ','JEAN MANUEL','1996-03-22','M','','',0),</t>
  </si>
  <si>
    <t>('72311204','MENDIZABAL','VELASQUEZ','KARLA ESTHER','1996-12-30','F','','',0),</t>
  </si>
  <si>
    <t>('77170643','PAREDES','TELLO','OWIN RENATO','1998-09-22','M','','',0),</t>
  </si>
  <si>
    <t>('46108489','VASQUEZ','SANDOVAL','JUNIOR EDINSON','1989-08-17','M','','',0),</t>
  </si>
  <si>
    <t>('76416791','RUIZ','CALDERÓN','JACK LEANDRO','1998-12-29','M','','',0),</t>
  </si>
  <si>
    <t>('46114690','PAREDES','ROJAS','PIERO ANTONIO','1989-12-25','M','','',0),</t>
  </si>
  <si>
    <t>('42561414','BARDALES','AGUILA','JULIO CARLOS','1984-07-08','M','','',0),</t>
  </si>
  <si>
    <t>('70076081','CASQUI','GARCIA','ALEXANDER JHON','2001-04-03','M','','',0),</t>
  </si>
  <si>
    <t>('73330984','ROJAS','IPANAQUE','LUIS MIGUEL','2000-09-15','M','','',0),</t>
  </si>
  <si>
    <t>('42718142','QUIÑONES','ALEJO','MIGUEL SANTOS','1984-11-11','M','','',0),</t>
  </si>
  <si>
    <t>('45479131','CAMPOS','MORALES','JUAN CARLOS','1989-01-03','M','','',0),</t>
  </si>
  <si>
    <t>('72232022','HERNANDEZ','CONDE','ANTONIO JESUS','1999-12-03','M','','',0),</t>
  </si>
  <si>
    <t>('71784328','DONAIRES','GABRIEL','ERICK VLADIMIR','1998-09-14','M','','',0),</t>
  </si>
  <si>
    <t>('74921567','RAMIREZ','PAUCAR','ALVARO DANIEL','2002-09-26','M','','',0),</t>
  </si>
  <si>
    <t>('76227097','RIVAS','CINCE','MAYCOLT JORDI','2002-12-14','M','','',0),</t>
  </si>
  <si>
    <t>('74760141','VALENCIA','ASPILCUETA','JOSE MAURICIO','1995-06-07','M','','',0),</t>
  </si>
  <si>
    <t>('75378291','IDONE','YUPANQUI','BRIGITT EMPERATRIZ','1999-06-04','F','','',0),</t>
  </si>
  <si>
    <t>('72648353','CUBA','HUACCACHI','MARCOS UBER','2004-08-29','M','','',0),</t>
  </si>
  <si>
    <t>('74548781','YLLAHUAMAN','CHIPANA','JAN CARLOS','2003-05-07','M','','',0),</t>
  </si>
  <si>
    <t>('43619384','GARCIA','ESPINOZA','LUIS ENRIQUE','1985-12-13','M','','',0),</t>
  </si>
  <si>
    <t>('77247478','RAYME','LIMA','JULIO CESAR','2002-02-16','M','','',0),</t>
  </si>
  <si>
    <t>('43712021','VIVEROS','ESTEVEZ','RONALD','1986-06-03','M','','',0),</t>
  </si>
  <si>
    <t>('47773923','HUIMAN','VALVERDE','JEAN CARLO','1993-03-23','M','','',0),</t>
  </si>
  <si>
    <t>('47582930','GASTELU','ZAVALA','JHONATAN DOUGLAS','1992-06-11','M','','',0),</t>
  </si>
  <si>
    <t>('002722297','ORTIZ','FIGUERAS','JARVIN RAFAEL','1978-03-12','M','','',0),</t>
  </si>
  <si>
    <t>('74918492','RODRIGUEZ','RISCO','CARLOS YAIR','1999-03-13','M','','',0),</t>
  </si>
  <si>
    <t>('40915333','PARIONA','CUBA','WALTER','1981-06-24','M','','',0),</t>
  </si>
  <si>
    <t>('71130640','CERVERA','ANDRADE','JAIR JOSUE','1998-10-09','M','','',0),</t>
  </si>
  <si>
    <t>('45623052','MALDONADO','YAULI','JOEL FRANKLIN','1988-12-22','M','','',0),</t>
  </si>
  <si>
    <t>('76020998','CAMACHO','GONZALES','JONATHA SMITH','1998-03-23','M','','',0),</t>
  </si>
  <si>
    <t>('46395171','CONTRERAS','GARCIA','PIERO ALESSANDRO','1989-10-05','M','','',0),</t>
  </si>
  <si>
    <t>('71408090','BERNAL','RONDINEL','JUAN JOSE','1997-12-22','M','','',0),</t>
  </si>
  <si>
    <t>('74454102','HUAMANI','ZAA','LUCIO RIVALDO','2002-07-06','M','','',0),</t>
  </si>
  <si>
    <t>('76188829','ÑAUPA','CALLA','LUIYI','1995-03-23','M','','',0),</t>
  </si>
  <si>
    <t>('60366107','ARANDA','DAZA','GEREMIAS','1995-04-12','M','','',0),</t>
  </si>
  <si>
    <t>('71609476','CHINGUEL','LANDIVAR','CESAR EYNNER','1994-09-13','M','','',0),</t>
  </si>
  <si>
    <t>('45378459','NORIEGA','CORNEJO','JORGE ANTONIO','1988-10-29','M','','',0),</t>
  </si>
  <si>
    <t>('45604218','OLLAGUEZ','TELLO','HEYSEN','1989-02-26','M','','',0),</t>
  </si>
  <si>
    <t>('45852647','GALLARDO','NOVOA','RUBÉN','1989-07-07','M','','',0),</t>
  </si>
  <si>
    <t>('72798525','GARCÍA','CABRERA','SEBASTIÁN DAVID','1998-06-07','M','','',0),</t>
  </si>
  <si>
    <t>('71454271','AYALA','RUIZ','OSCAR DANIEL','1992-05-27','M','','',0),</t>
  </si>
  <si>
    <t>('70128963','ARPITA','AGUILERA','JOSE MANUEL','1999-05-17','M','','',0),</t>
  </si>
  <si>
    <t>('41806439','ALEGRE','GRANADOS','ARMANDO RAFAEL','1983-04-13','M','','',0),</t>
  </si>
  <si>
    <t>('73356261','CHIHUAN','GARCIA','LUIS KENEDY','1997-08-04','M','','',0),</t>
  </si>
  <si>
    <t>('46307581','CHUMBILE','COTRINA','WILLIAM','1990-02-12','M','','',0),</t>
  </si>
  <si>
    <t>('42518856','HERRERA','ZAPATA','ALEXIS ROLANDI','1984-02-10','M','','',0),</t>
  </si>
  <si>
    <t>('71998375','VILLANUEVA','LIÑAN','AMNER JESUS','2001-03-12','M','','',0),</t>
  </si>
  <si>
    <t>('73276626','JAVIER','RAMIREZ','BRENNER','1994-02-08','M','','',0),</t>
  </si>
  <si>
    <t>('46289372','PALPA','ESTRELLA','CARLOS DAVID','1990-04-07','M','','',0),</t>
  </si>
  <si>
    <t>('76288697','BRICEÑO','ALVA','JOE JUNIOR','1994-12-11','M','','',0),</t>
  </si>
  <si>
    <t>('47611633','SEDANO','CAMPOS','MILLER CARLOS','1991-08-07','M','','',0),</t>
  </si>
  <si>
    <t>('73950968','ESPARZA','GALLO','MANFREDO','1999-02-03','M','','',0),</t>
  </si>
  <si>
    <t>('72658018','SEQUEIROS','CANCAPA','GONZALO NADIM','1998-04-02','M','','',0),</t>
  </si>
  <si>
    <t>('74890052','MENDOZA','YANA','DANIEL JOSTIN','2003-04-15','M','','',0),</t>
  </si>
  <si>
    <t>('48296768','LOPEZ','VALERA','DAVID MARTIN','1994-04-19','M','','',0),</t>
  </si>
  <si>
    <t>('46517298','MANRIQUE','RAMOS','HERMES PIERO','1990-09-13','M','','',0),</t>
  </si>
  <si>
    <t>('75372788','ATAUCHI','PALOMINO','WILLY ALEXANDER','2000-03-09','M','','',0),</t>
  </si>
  <si>
    <t>('70872060','PÉREZ','ESPINOZA','CIRO MAURICIO','2004-05-11','M','','',0),</t>
  </si>
  <si>
    <t>('74076555','RIOS','YLUQUIS','JHONY GRABIEL','2000-07-02','M','','',0),</t>
  </si>
  <si>
    <t>('70672081','SONCO','TOLEDO','CHRISTIAN JAIME','1998-01-25','M','','',0),</t>
  </si>
  <si>
    <t>('48199133','VILCHEZ','PAICO','CRISTHIAN JESUS','1994-04-02','M','','',0),</t>
  </si>
  <si>
    <t>('47523374','ROSALES','CCOICCA','MARCO ANTONIO','1992-06-18','M','','',0),</t>
  </si>
  <si>
    <t>('72003917','ZELADA','ABANTO','LELIXS JANDER','1993-03-01','M','','',0),</t>
  </si>
  <si>
    <t>('10658461','ABANTO','SALAZAR','OSCAR HENRY','1977-03-15','M','','',0),</t>
  </si>
  <si>
    <t>('46408032','MENDEZ','CHINCHAY','ERIC RAFAEL','1990-07-13','M','','',0),</t>
  </si>
  <si>
    <t>('76071088','CUETO','MANRIQUE','JAIRO','2001-06-20','M','','',0),</t>
  </si>
  <si>
    <t>('76325541','GONZALES','MAZA','MARCIO SANTOS','1994-09-18','M','','',0),</t>
  </si>
  <si>
    <t>('46132586','LLACSAHUACHE','CRISANTO','DARWIN EUDOCIO','1989-11-01','M','','',0),</t>
  </si>
  <si>
    <t>('71829619','LOAIZA','GUTIERREZ','GILMAR','2003-09-30','M','','',0),</t>
  </si>
  <si>
    <t>('76358177','PALOMINO','HUILLCA','JHAN CARLOS','1995-09-15','M','','',0),</t>
  </si>
  <si>
    <t>('48815828','CONDOR','MURRUGARRA','ROYER MIGUEL','1997-03-03','M','','',0),</t>
  </si>
  <si>
    <t>('73951423','PUMAHUALCCA','TORRES','NAZARIO','1997-07-28','M','','',0),</t>
  </si>
  <si>
    <t>('41626088','ALCANTARA','NAVARRO','MIRIAM','1981-12-30','F','','',0),</t>
  </si>
  <si>
    <t>('74353371','COTRINA','GAITAN','JOSE FRANCISCO','1999-02-04','M','','',0),</t>
  </si>
  <si>
    <t>('70424598','ZAMBRANO','PAREJA','CLAUDIO ANDRES','1996-01-19','M','','',0),</t>
  </si>
  <si>
    <t>('75376042','AMARU','MAQUERA','JHON DONNY','1997-08-24','M','','',0),</t>
  </si>
  <si>
    <t>('73611035','AMES','GONZALES','JHON CLINTON','1996-04-14','M','','',0),</t>
  </si>
  <si>
    <t>('72787702','DIAZ','LEON','JOSE ENRIQUE','1998-10-31','M','','',0),</t>
  </si>
  <si>
    <t>('75356666','CARRASCO','RAMOS','MIGUEL ANGEL','1996-07-22','M','','',0),</t>
  </si>
  <si>
    <t>('48272761','MACHACUAY','TOCTO','WILMER','1994-04-09','M','','',0),</t>
  </si>
  <si>
    <t>('43178070','PISFIL','ESPINOZA','SEGUNDO TEOFILO','1985-09-29','M','','',0),</t>
  </si>
  <si>
    <t>('73827830','VELASQUEZ','CHICHIPE','RENZO DAVID','2000-11-30','M','','',0),</t>
  </si>
  <si>
    <t>('75906040','RUIZ','MORI','VICENTE ADRIAN','1998-11-19','M','','',0),</t>
  </si>
  <si>
    <t>('72521136','PAREJA','SILVA','CARLOS LUIS','1999-09-08','M','','',0),</t>
  </si>
  <si>
    <t>('72890158','CABANILLAS','TUCTO','JOSE RONALDO','1997-06-27','M','','',0),</t>
  </si>
  <si>
    <t>('76094299','CUADROS','PARRA','LUIS FERNANDO','1997-01-13','M','','',0),</t>
  </si>
  <si>
    <t>('71422135','ARCE','ARCE','ERICK HANSEL','1994-02-22','M','','',0),</t>
  </si>
  <si>
    <t>('75194230','TABOADA','SARAVIA','ONEIL DEL PIERO','2002-06-22','M','','',0),</t>
  </si>
  <si>
    <t>('75624024','MORAN','CHAMORRO','JOSEIN','2001-04-30','M','','',0),</t>
  </si>
  <si>
    <t>('09352258','GARCIA','GUTIERREZ','CARLOS','1967-10-02','M','','',0),</t>
  </si>
  <si>
    <t>('71562449','BALDEON','PACHECO','KELLY','2000-11-17','F','','',0),</t>
  </si>
  <si>
    <t>('75157389','TIRADO','CELIS','MERCI ANGEL ROSA','1996-06-27','F','','',0),</t>
  </si>
  <si>
    <t>('75786199','CASTILLO','YESQUEN','WILSON ALFREDO','1996-07-07','M','','',0),</t>
  </si>
  <si>
    <t>('72679808','ROJAS','RODRIGUEZ','IVAN FRANCISCO','2000-09-29','M','','',0),</t>
  </si>
  <si>
    <t>('75457966','CRUZ','MENDOZA','FRANCISCO GEANNPAUL','1998-09-11','M','','',0),</t>
  </si>
  <si>
    <t>('74399395','PALOMINO','MENDOZA','DIEGO THOMAS','1998-08-02','M','','',0),</t>
  </si>
  <si>
    <t>('74916186','TURPO','TAYPE','OMAR ALFREDO','1999-01-12','M','','',0),</t>
  </si>
  <si>
    <t>('70223136','CRUZ','VARAS','IVAN JAVIER','1989-06-03','M','','',0),</t>
  </si>
  <si>
    <t>('72713189','ROJAS','AGUILAR','SAMUEL LEONARDO','1993-02-25','M','','',0),</t>
  </si>
  <si>
    <t>('77379199','TUDELANO','ZUÑIGA','JOSE FRANCISCO','1999-08-26','M','','',0),</t>
  </si>
  <si>
    <t>('46175611','ZEVALLOS','ROQUE','ONESIMO NEHEMIAS','1990-01-30','M','','',0),</t>
  </si>
  <si>
    <t>('40597264','MESTANZA','TORRES','CESÁR AUGUSTO','1977-09-10','M','','',0),</t>
  </si>
  <si>
    <t>('73241393','KUTUCALLA','AUCCA','ROLANDO','1996-06-30','M','','',0),</t>
  </si>
  <si>
    <t>('76394474','CAMIZÁN','CASTILLO','ISRAEL ALEJANDRO','1994-09-23','M','','',0),</t>
  </si>
  <si>
    <t>('46990198','TABOADA','PALOMINO','ANGIELO DE JESUS','1992-05-12','M','','',0),</t>
  </si>
  <si>
    <t>('71852973','CURITIMA','TINOCO','CARLOS ALBERTO','1992-07-26','M','','',0),</t>
  </si>
  <si>
    <t>('44776015','HORNA','BENITES','VARI','1988-01-11','M','','',0),</t>
  </si>
  <si>
    <t>('72210650','ZAPATA','ROSALES','LUIS ANGEL DEL CARMEN','1994-11-24','M','','',0),</t>
  </si>
  <si>
    <t>('48087431','HUILLCARIMAY','MAQUE','ELMER','1993-05-12','M','','',0),</t>
  </si>
  <si>
    <t>('44588683','PONCE','PORRAS','ROBERTH','1987-06-13','M','','',0),</t>
  </si>
  <si>
    <t>('01132879','BERNAL','MANRIQUE','MANUEL','1970-03-20','M','','',0),</t>
  </si>
  <si>
    <t>('75416965','CHICLLA','ABARCA','OSCAR POOL','1999-01-07','M','','',0),</t>
  </si>
  <si>
    <t>('45985777','GANVINE','ELIAS','ERNESTO ALONSO','1978-07-21','M','','',0),</t>
  </si>
  <si>
    <t>('75014226','CONGA','CUICAPUZA','JHANDERI KEYLI','1996-12-24','F','','',0),</t>
  </si>
  <si>
    <t>('76324526','DÁVILA','CHIGUALA','ROLLING ANDREI','1995-09-14','M','','',0),</t>
  </si>
  <si>
    <t>('75723787','POMAYA','PEÑALOZA','ALEJANDRO JESUS','1995-11-14','M','','',0),</t>
  </si>
  <si>
    <t>('75780201','CORDOVA','LOPEZ','ABIMEL','1997-12-01','M','','',0),</t>
  </si>
  <si>
    <t>('76281026','QUISPE','QUISPE','WILBER FERNANDO','1999-05-28','M','','',0),</t>
  </si>
  <si>
    <t>('45138057','GONZALEZ','ANTEZANA','ELMER JUAN','1988-05-27','M','','',0),</t>
  </si>
  <si>
    <t>('73545571','VILLANUEVA','GARCIA','MARLINDO FELICISIMO','1994-08-16','M','','',0),</t>
  </si>
  <si>
    <t>('74933703','BUENDÍA','PEREZ','LUIS ENRIQUE','2000-09-14','M','','',0),</t>
  </si>
  <si>
    <t>('47131869','MAURI','GUERRERO','TOMAS IVAN','1992-07-15','M','','',0),</t>
  </si>
  <si>
    <t>('46540933','RODRIGUEZ','ZAPATA','YOSHUA ALEXANDER','1990-10-02','M','','',0),</t>
  </si>
  <si>
    <t>('76458055','PAREDES','URIARTE','YORDAN SAMIR','1995-07-10','M','','',0),</t>
  </si>
  <si>
    <t>('72444272','PINO','ESPINAL','BRAAM ALEXANDER','2000-09-29','M','','',0),</t>
  </si>
  <si>
    <t>('75371915','ORCCOTOMA','MEJÍA','ALVARO NEICER','2001-11-30','M','','',0),</t>
  </si>
  <si>
    <t>('71968683','MAYTA','GASPAR','WILMER JAVIER','2002-08-26','M','','',0),</t>
  </si>
  <si>
    <t>('40449816','ARCA','CASTILLO','JUAN ALEJANDRO','1976-12-13','M','','',0),</t>
  </si>
  <si>
    <t>('72573580','QUISPE','LOZANO','RAUL SAMMER','2003-04-27','M','','',0),</t>
  </si>
  <si>
    <t>('76298366','MALDONADO','BARJA','NICOL STEFANY','2001-02-14','F','','',0),</t>
  </si>
  <si>
    <t>('46829935','ALVARADO','CHUQUIPOMA','O'BRIAN DONOVAN','1992-01-16','M','','',0),</t>
  </si>
  <si>
    <t>('72439744','QUINTANA','LORENZO','ALFREDO GONZALO','2001-04-30','M','','',0),</t>
  </si>
  <si>
    <t>('03504701','PARDO','INFANTE','JOHNNY MARTIN','1976-05-19','M','','',0),</t>
  </si>
  <si>
    <t>('75851927','IZAGUIRRE','BENDEZU','PABLO BENJAMIN','2001-04-13','M','','',0),</t>
  </si>
  <si>
    <t>('72623787','SUAREZ','MURILLO','JAIRO LENNYN','2001-08-03','M','','',0),</t>
  </si>
  <si>
    <t>('03691915','YPANAQUE','DIOSES','JUAN CARLOS','1978-04-30','M','','',0),</t>
  </si>
  <si>
    <t>('70059143','MOGOLLON','RONDOY','EDDY XAVIER','1998-05-12','M','','',0),</t>
  </si>
  <si>
    <t>('71283419','TORRES','DE LA CRUZ','VLADIMIR','1990-10-11','M','','',0),</t>
  </si>
  <si>
    <t>('76024497','CHIPANI','VALENCIA','NICOLAS ALONSO','2001-09-28','M','','',0),</t>
  </si>
  <si>
    <t>('72171923','CRUZ','BALLARDO','BRAULI YEFER','2001-09-26','M','','',0),</t>
  </si>
  <si>
    <t>('76064516','URRESTTY','PEREZ','CHRISTIAN','1995-05-21','M','','',0),</t>
  </si>
  <si>
    <t>('80629335','SANCHEZ','PEREZ','EVERLIN MILTON','1979-11-15','M','','',0),</t>
  </si>
  <si>
    <t>('46373209','MONTERO','SAUCEDO','OCLANDER','1990-06-05','M','','',0),</t>
  </si>
  <si>
    <t>('72239673','CAMARENA','PARCO','JHON HEINZ','2001-06-03','M','','',0),</t>
  </si>
  <si>
    <t>('10437468','HUAYPAR','HUAYTA','RAÚL','1976-12-09','M','','',0),</t>
  </si>
  <si>
    <t>('46813942','AGUILAR','GUAYAC','JUAN ANTONIO','1991-05-10','M','','',0),</t>
  </si>
  <si>
    <t>('48847196','ANCHANTE','FIGUEROA','MÁXIMO JUNIOR','1996-10-01','M','','',0),</t>
  </si>
  <si>
    <t>('76520327','HUARI','DURAND','CRISTHIAN RUBER','1994-12-13','M','','',0),</t>
  </si>
  <si>
    <t>('48625968','IPURRE','CRISANTE','MANUEL ALBERTO','1995-10-01','M','','',0),</t>
  </si>
  <si>
    <t>('75463985','PALMA','BARRENECHEA','LINCOLN JHON','1996-05-18','M','','',0),</t>
  </si>
  <si>
    <t>('72077777','SIERRA','SAMILLAN','JOHAN PIERO','1999-10-23','M','','',0),</t>
  </si>
  <si>
    <t>('74906452','ESPINOZA','MATEO','JUAN DE DIOS','2005-03-17','M','','',0),</t>
  </si>
  <si>
    <t>('48106585','ANDIA','ROMERO','EDUARDO AGUSTIN','1994-01-28','M','','',0),</t>
  </si>
  <si>
    <t>('70150642','MANYARI','MALLMA','PAUL JHANCARLOS','1991-07-16','M','','',0),</t>
  </si>
  <si>
    <t>('42082774','RODRÍGUEZ','SALAZAR','VÍCTOR ANTONIO','1983-09-19','M','','',0),</t>
  </si>
  <si>
    <t>('70107379','OROPEZA','BORJA','ELIAS PAUL','1998-03-27','M','','',0),</t>
  </si>
  <si>
    <t>('47430740','HUACCOTO','GOIZUETA','LUDVING DANIEL','1992-10-11','M','','',0),</t>
  </si>
  <si>
    <t>('44578227','REYES','CHILET','CHARLY JHONY','1987-10-18','M','','',0),</t>
  </si>
  <si>
    <t>('43320571','JIMENEZ','TINEO','DANIEL ALCIDES','1985-09-15','M','','',0),</t>
  </si>
  <si>
    <t>('71263711','BRAVO','VALLEJOS','DIEGO ALONSO','2005-04-09','M','','',0),</t>
  </si>
  <si>
    <t>('71435293','BARRENA','ORDINOLA','MARIO ANGEL','1999-09-06','M','','',0),</t>
  </si>
  <si>
    <t>('71696041','CANDIA','CORDERO','ANDREA CECILIA','1999-11-06','F','','',0),</t>
  </si>
  <si>
    <t>('40877525','ZANELLI','RUIZ','MICHELL ROBERT','1979-01-14','M','','',0),</t>
  </si>
  <si>
    <t>('76042289','HURTADO','YUPANQUI','KATHERINE','2001-05-15','F','','',0),</t>
  </si>
  <si>
    <t>('77322414','ESQUECHE','GALÁN','JESUS ALEXSANDER','1997-12-01','M','','',0),</t>
  </si>
  <si>
    <t>('70111572','ALARCON','GUERRA','ANTHONY ROBERTH','1994-06-04','M','','',0),</t>
  </si>
  <si>
    <t>('72966796','CALLA','BEGAZO','JHON GABRIEL','2001-05-13','M','','',0),</t>
  </si>
  <si>
    <t>('70387376','MARTINEZ','HUAMANI','BRYAN ALDAIR','2000-03-22','M','','',0),</t>
  </si>
  <si>
    <t>('76360073','PUMASUPA','ARCE','BRYAN ANTONIO','1997-07-29','M','','',0),</t>
  </si>
  <si>
    <t>('71985260','CARHUA','ALANIA','CAYO YOSMIL','1992-05-12','M','','',0),</t>
  </si>
  <si>
    <t>('42765233','QUISPE','MENDOZA','JOHAN PAUL','1985-01-02','M','','',0),</t>
  </si>
  <si>
    <t>('44454272','OLAYA','ALVARADO','JOHN YEISON','1987-08-06','M','','',0),</t>
  </si>
  <si>
    <t>('70262435','PORTAL','GIRON','JERIN LYNCOLNS','2001-12-23','M','','',0),</t>
  </si>
  <si>
    <t>('74171460','SANCHEZ','VARGAS','JOSE ANTONIO','1998-06-01','M','','',0),</t>
  </si>
  <si>
    <t>('74093522','RAMOS','DÁVILA','ROGER ALDAIR','1994-07-03','M','','',0),</t>
  </si>
  <si>
    <t>('08058783','RABANAL','CHAVEZ','CARLOS ENRIQUE','1964-02-19','M','','',0),</t>
  </si>
  <si>
    <t>('42370205','HUAMAN','MENDEZ','REX RENE','1984-04-11','M','','',0),</t>
  </si>
  <si>
    <t>('75143039','RODRIGUEZ','CUBA','FREDY ALFREDO','1992-11-21','M','','',0),</t>
  </si>
  <si>
    <t>('47290444','LIMA','SIME','GUSTAVO BARTOLOMÉ','1992-09-24','M','','',0),</t>
  </si>
  <si>
    <t>('09603303','VASQUEZ','ESCALANTE','JORGE LUIS','1970-10-30','M','','',0),</t>
  </si>
  <si>
    <t>('43680818','CONDORI','CAMA','VICTOR LUIS','1985-11-25','M','','',0),</t>
  </si>
  <si>
    <t>('74700803','LUNA','AGUILAR','DANTE JEAN FRANCO','2000-12-03','M','','',0),</t>
  </si>
  <si>
    <t>('21128474','ESPEJO','ROJAS','JORDAN WILSON','1978-08-30','M','','',0),</t>
  </si>
  <si>
    <t>('43004942','GARAYCOCHEA','ASENJO','TXIKI XAVIER','1985-05-13','M','','',0),</t>
  </si>
  <si>
    <t>('71854400','ELIAS','PARIÑAS','ERICK ALEXANDER','1991-02-23','M','','',0),</t>
  </si>
  <si>
    <t>('72776131','AVALOS','CHIZA','JOSE ARMANDO','1999-05-11','M','','',0),</t>
  </si>
  <si>
    <t>('73374504','GONZALES','COVEÑAS','JUNIOR OMAR','2000-01-10','M','','',0),</t>
  </si>
  <si>
    <t>('47460943','LOAYZA','LLANOS','JOSÉ WILDER','1992-09-14','M','','',0),</t>
  </si>
  <si>
    <t>('76815117','VARGAS','AQUIJES','RODOLFO SONY','2002-04-04','M','','',0),</t>
  </si>
  <si>
    <t>('62256198','JULCAHUANCA','SAAVEDRA','JOSÉ FRANCISCO','1994-03-09','M','','',0),</t>
  </si>
  <si>
    <t>('78720497','ROSALES','RAMOS','LUIS FERNANDO','1999-01-07','M','','',0),</t>
  </si>
  <si>
    <t>('70313163','TORO','CHANG','CESAR HUMBERTO','1990-03-21','M','','',0),</t>
  </si>
  <si>
    <t>('70622532','MALCA','QUIROZ','JEAN CARLOS','2004-01-27','M','','',0),</t>
  </si>
  <si>
    <t>('60960830','PEREZ','RAMOS','JEAN CARLO','2002-04-03','M','','',0),</t>
  </si>
  <si>
    <t>('09725249','KARI','OCHOA','GILMER JESUS','1972-11-11','M','','',0),</t>
  </si>
  <si>
    <t>('40353690','DELGADO','VIGO','OSCAR WILLY','1979-10-04','M','','',0),</t>
  </si>
  <si>
    <t>('45459960','AYALA','YAURI','DAVID','1988-05-04','M','','',0),</t>
  </si>
  <si>
    <t>('72206132','HOLGUIN','JIMENEZ','ADRIAN IBRAIN','1999-06-15','M','','',0),</t>
  </si>
  <si>
    <t>('42520934','MALPARTIDA','RAMOS','EDGARD FELIPE','1984-06-28','M','','',0),</t>
  </si>
  <si>
    <t>('70321829','VENERO','CORNEJO','JEAN CARLO','1990-06-07','M','','',0),</t>
  </si>
  <si>
    <t>('73123785','NUNURA','JARAMILLO','ANGEL EDUARDO','2002-08-01','M','','',0),</t>
  </si>
  <si>
    <t>('46885808','GARCÍA','GUTIÉRREZ','MARCO ANTONIO JUSTO','1992-01-29','M','','',0),</t>
  </si>
  <si>
    <t>('41619909','MENDOZA','MENDOZA','LUIS ANGEL','1982-07-05','M','','',0),</t>
  </si>
  <si>
    <t>('76229793','ESPINO','ANCHANTE','JESUS ALEXANDER','1994-03-24','M','','',0),</t>
  </si>
  <si>
    <t>('72043515','PARIONA','ROJAS','EDISON ELVIS','1995-09-20','M','','',0),</t>
  </si>
  <si>
    <t>('74900124','PARRA','ARBOLEDA','ENRIQUE ALEJANDRO','2004-01-29','M','','',0),</t>
  </si>
  <si>
    <t>('46582543','ALCEDO','CAMACHO','RODOLFO UBER','1990-08-28','M','','',0),</t>
  </si>
  <si>
    <t>('43163792','SALDARRIAGA','MONTEALBAN','JUAN MANUEL','1985-09-03','M','','',0),</t>
  </si>
  <si>
    <t>('75553847','VALDIVIEZO','SAONA','ALESSANDRO RAMON','2004-06-09','M','','',0),</t>
  </si>
  <si>
    <t>('47573952','TINCO','PARINA','RUBEN DAVID','1994-05-18','M','','',0),</t>
  </si>
  <si>
    <t>('74762529','MENDOZA','BUSTAMANTE','CYNTHIA MAYELY','2002-04-04','F','','',0),</t>
  </si>
  <si>
    <t>('46852385','VIDAL','BUIZA','JUAN CARLOS','1991-10-03','M','','',0),</t>
  </si>
  <si>
    <t>('73900419','PUCUHUAYLA','ORIHUELA','JORGE LUIS','1998-08-20','M','','',0),</t>
  </si>
  <si>
    <t>('47407058','PISCO','VERASTEGUI','MARIO ANTONIO','1992-05-22','M','','',0),</t>
  </si>
  <si>
    <t>('73353154','BECERRA','CORONADO','SAÚL','1993-02-10','M','','',0),</t>
  </si>
  <si>
    <t>('62356089','GAMARRA','MORALES','EDISON','2000-11-21','M','','',0),</t>
  </si>
  <si>
    <t>('42785949','ALFARO','RIVERA','ALVARO ROLANDO','1984-12-08','M','','',0),</t>
  </si>
  <si>
    <t>('46592096','CALSIN','TICONA','LUIS JUNIOR','1990-01-31','M','','',0),</t>
  </si>
  <si>
    <t>('73122116','PAREDES','LAMA','CARLOS ALEJANDRO','2000-03-14','M','','',0),</t>
  </si>
  <si>
    <t>('75428509','QUISPE','CORRALES','RENZO','2001-03-20','M','','',0),</t>
  </si>
  <si>
    <t>('72792670','TORPOCO','ROJAS','WILLIAM ANDRES','1998-06-14','M','','',0),</t>
  </si>
  <si>
    <t>('74490011','ABAD','NAVARRO','PAULO CESAR','1999-04-16','M','','',0),</t>
  </si>
  <si>
    <t>('73508064','CURO','CAMPOS','MARCO ANTONIO','1999-01-16','M','','',0),</t>
  </si>
  <si>
    <t>('71754097','RUIZ','JUAREZ','ANTHONY JOEL','1999-04-24','M','','',0),</t>
  </si>
  <si>
    <t>('47497897','CHUQUIHUANGA','SAAVEDRA','ELEAZAR','1992-11-21','M','','',0),</t>
  </si>
  <si>
    <t>('74641578','POMA','SALAS','MOISES AARON','2003-10-07','M','','',0),</t>
  </si>
  <si>
    <t>('47054107','BENITES','CHIROQUE','SAULO SAUL','1992-04-05','M','','',0),</t>
  </si>
  <si>
    <t>('73193399','SAAVEDRA','YOVERA','MARCO','2003-05-29','M','','',0),</t>
  </si>
  <si>
    <t>('72316852','ATAUCUSI','ABARCA','ALVARO HENRY','1993-06-30','M','','',0),</t>
  </si>
  <si>
    <t>('005905582','LEDEZMA','NAVARRO','LUIS','1979-09-09','M','','',0),</t>
  </si>
  <si>
    <t>('75357838','URTECHO','CASTRO','ALEXANDER','2001-02-20','M','','',0),</t>
  </si>
  <si>
    <t>('73858226','ROMAN','HUACHOHUILLCA','LAURA','1998-11-04','F','','',0),</t>
  </si>
  <si>
    <t>('71914391','CONDORCAHUANA','CONDORCAHUANA','FREDY','1999-12-17','M','','',0),</t>
  </si>
  <si>
    <t>('71502476','CHUNGA','SHIMOKAWA','DIEGO ALFONSO','2002-08-23','M','','',0),</t>
  </si>
  <si>
    <t>('72857265','CARHUANCHO','ALMANZA','DANIEL JUSTO','1998-08-01','M','','',0),</t>
  </si>
  <si>
    <t>('71419289','LLANOS','AGUILAR','ALAN JEAN PIERRE','2002-04-28','M','','',0),</t>
  </si>
  <si>
    <t>('42013908','MAGUIÑA','MALDONADO','EFRAIN AQUILES','1983-06-16','M','','',0),</t>
  </si>
  <si>
    <t>('74994958','VILLEGAS','MENDOZA','JOSE ERARDO','2001-01-08','M','','',0),</t>
  </si>
  <si>
    <t>('00126496','GUERE','DAGA','SAUL','1978-04-12','M','','',0),</t>
  </si>
  <si>
    <t>('72243976','HUAMAN','CABRERA','RODRIGO MICHEL','2001-04-09','M','','',0),</t>
  </si>
  <si>
    <t>('75081363','DAORTA','ROJAS','ALVARO SEBASTIÁN','2005-07-13','M','','',0),</t>
  </si>
  <si>
    <t>('10662442','MEZA','NANO','DEYVI YULI','1977-08-22','M','','',0),</t>
  </si>
  <si>
    <t>('74533802','VELÁSQUEZ','PARIONA','GIAN CARLO','1999-02-17','M','','',0),</t>
  </si>
  <si>
    <t>('76077072','PAYAJO','HERRERA','JONATHAN','2000-10-12','M','','',0),</t>
  </si>
  <si>
    <t>('77464512','SERON','SANABRIA','ANTHONY EDUARDO','2003-01-03','M','','',0),</t>
  </si>
  <si>
    <t>('73018898','PASACHE','SANDOVAL','EDINSON IVAN','2003-06-16','M','','',0),</t>
  </si>
  <si>
    <t>('75831113','VILCHERRES','GARCÉS','AARON','2001-10-17','M','','',0),</t>
  </si>
  <si>
    <t>('48060004','CARHUAS','GASPAR','JOEL ALBERTO','1993-12-28','M','','',0),</t>
  </si>
  <si>
    <t>('61554809','BALDEON','INGA','ELMER JESUS','1999-06-09','M','','',0),</t>
  </si>
  <si>
    <t>('76635820','SANTIAGO','MOGOLLON','ANDERSON MIGUEL','2004-05-29','M','','',0),</t>
  </si>
  <si>
    <t>('42738226','RUESTA','SANDOVAL','JULIO RAMIRO','1984-09-20','M','','',0),</t>
  </si>
  <si>
    <t>('76553052','SAMANIEGO','PIZARRO','ANTHONY ALEXANDER','1996-09-17','M','','',0),</t>
  </si>
  <si>
    <t>('75921946','CAMPOS','POMA','CARLA SAIDA','1998-08-14','F','','',0),</t>
  </si>
  <si>
    <t>('76928637','MENA','ABAD','JULIO CESAR','2001-12-23','M','','',0),</t>
  </si>
  <si>
    <t>('72223894','HUAMAN','CASTRO','FRANCISCO EDUARDO','1995-03-18','M','','',0),</t>
  </si>
  <si>
    <t>('70317411','RAMOS','PEREDA','GIANMARCO ANTONY','1998-10-17','M','','',0),</t>
  </si>
  <si>
    <t>('72838897','VARGAS','CUADROS','JOSSLY PAUL','1996-04-22','M','','',0),</t>
  </si>
  <si>
    <t>('44028454','QUIROZ','ROJAS','CESAR','1986-05-29','M','','',0),</t>
  </si>
  <si>
    <t>('76508212','ORIONDO','DE LA CRUZ','FABRICIO','2000-08-07','M','','',0),</t>
  </si>
  <si>
    <t>('46229768','RIOS','GARAY','ANTONIO DAVID','1990-02-13','M','','',0),</t>
  </si>
  <si>
    <t>('72941031','HUANCA','CASTILLO','CARLOS ALEJANDRO','2000-04-05','M','','',0),</t>
  </si>
  <si>
    <t>('71085374','QUISPE','CARDENAS','ROMULO','1992-01-01','M','','',0),</t>
  </si>
  <si>
    <t>('75598100','SANTIVAÑEZ','ZACARIAS','JHANCARLOS ANDRÉS','2002-05-25','M','','',0),</t>
  </si>
  <si>
    <t>('75396403','MENDO','CASTAÑEDA','EDUARDO FRANCO','2000-07-03','M','','',0),</t>
  </si>
  <si>
    <t>('76188068','CAPCHA','APAZA','LUIS','1995-03-20','M','','',0),</t>
  </si>
  <si>
    <t>('74737996','RONDON','CHAVEZ','GREGORIO JAMPIER','2001-01-26','M','','',0),</t>
  </si>
  <si>
    <t>('77491958','COLLAZOS','ZACARIAS','OWENH HIPOLITO','1999-01-09','M','','',0),</t>
  </si>
  <si>
    <t>('73527165','VIRREYRA','PREIS','RODRIGO DIEGO','1998-07-24','M','','',0),</t>
  </si>
  <si>
    <t>('70093793','QUISPE','HUAMAN','JESUS YONY','1993-05-07','M','','',0),</t>
  </si>
  <si>
    <t>('72634536','QUISPE','LUNA','LEMNIS LINO','1999-08-31','M','','',0),</t>
  </si>
  <si>
    <t>('46858864','ARANDA','TIPISMANA','EBERTH OMAR','1991-02-04','M','','',0),</t>
  </si>
  <si>
    <t>('76350192','COAQUIRA','PACCORI','DIEGO DOUGLAS','2000-06-23','M','','',0),</t>
  </si>
  <si>
    <t>('70666387','GARCIA','SINCHE','JAIME FERNANDO','1996-02-29','M','','',0),</t>
  </si>
  <si>
    <t>('74715476','HURTADO','FARIAS','ADRIANA LUCIA','1997-10-13','F','','',0),</t>
  </si>
  <si>
    <t>('75391800','SEMINARIO','SILVA','JULIO ALEXANDER','1997-01-29','M','','',0),</t>
  </si>
  <si>
    <t>('09572369','VILLA','ZORRILLA','ALEJANDRO MARTIN','1967-08-31','M','','',0),</t>
  </si>
  <si>
    <t>('76681205','ORELLANA','SURCO','GABRIEL OSWALDO','2002-06-04','M','','',0),</t>
  </si>
  <si>
    <t>('44229927','PEREZ','PAREDES','EDWAR YSRAEL','1986-10-23','M','','',0),</t>
  </si>
  <si>
    <t>('06671306','VASQUEZ','RIMARACHIN','ELMER','1974-04-20','M','','',0),</t>
  </si>
  <si>
    <t>('70218131','QUINCHO','ABAD','JOSÉ MIGUEL','1990-02-17','M','','',0),</t>
  </si>
  <si>
    <t>('41361657','CANO','RAMIREZ','MARCO ANTONIO','1982-07-02','M','','',0),</t>
  </si>
  <si>
    <t>('44921398','MORALES','CHINGUEL','MIGUEL GUILLERMO','1988-02-19','M','','',0),</t>
  </si>
  <si>
    <t>('74983073','DUEÑAS','CHOQUE','RODRIGO MARCEL','2004-04-12','M','','',0),</t>
  </si>
  <si>
    <t>('70763976','MACHUCA','VARGAS','JULIO CESAR','1998-07-28','M','','',0),</t>
  </si>
  <si>
    <t>('72460577','AGUILAR','VASQUEZ','ALAMIRO','1998-07-08','M','','',0),</t>
  </si>
  <si>
    <t>('70103445','CHINO','GRANDEZ','WILLIAN FRANS','1993-04-28','M','','',0),</t>
  </si>
  <si>
    <t>('73872493','PEREZ','FIGUEROA','CRISTHIAN MICHELL','1998-01-14','M','','',0),</t>
  </si>
  <si>
    <t>('74318723','DIAZ','VILLEGAS','ANDERSON BRANDOM','2004-09-04','M','','',0),</t>
  </si>
  <si>
    <t>('41844387','MINCHOLA','ZAVALA','GILMER JAVIER','1983-07-08','M','','',0),</t>
  </si>
  <si>
    <t>('73449345','ALARCON','ZANABRIA','JERSON JAIR','1993-11-09','M','','',0),</t>
  </si>
  <si>
    <t>('72980861','ALVARO','GUTIERREZ','NILTON ALEXANDER JEAN PIER','1996-12-16','M','','',0),</t>
  </si>
  <si>
    <t>('78968955','BAUTISTA','CUSMA','ELCER','1999-07-16','M','','',0),</t>
  </si>
  <si>
    <t>('47117604','PAUCAR','ALDANA','CARLOS FERNANDO','1991-06-20','M','','',0),</t>
  </si>
  <si>
    <t>('40749734','REQUEJO','ROJAS','NILTON CÉSAR','1980-12-04','M','','',0),</t>
  </si>
  <si>
    <t>('42442494','MENDOZA','ALVARADO','JOHAN CARLO','1984-05-27','M','','',0),</t>
  </si>
  <si>
    <t>('75443859','ATOCHE','VINCES','JERCY ARMANDO','1998-12-19','M','','',0),</t>
  </si>
  <si>
    <t>('70970251','CHUNGA','RUIZ','ELVIS GEANMARCO','1996-03-01','M','','',0),</t>
  </si>
  <si>
    <t>('70486874','QUIROZ','VASQUEZ','CHRISTOPHER BRYAN','2001-08-24','M','','',0),</t>
  </si>
  <si>
    <t>('73245944','RAMIREZ','SEGOVIA','ITHER ALVARO','1993-07-15','M','','',0),</t>
  </si>
  <si>
    <t>('42628404','ALCANTARA','ROJAS','JULIO CESAR','1984-04-10','M','','',0),</t>
  </si>
  <si>
    <t>('70836884','GALLO','ZAPATA','EMILIO ALBERTO','1995-02-18','M','','',0),</t>
  </si>
  <si>
    <t>('73992875','MIRANDA','VELEZ','CALEB ISMAEL','2000-05-30','M','','',0),</t>
  </si>
  <si>
    <t>('71450988','HUAMANI','CALLOSANI','FRAY HECTOR','2001-02-08','M','','',0),</t>
  </si>
  <si>
    <t>('47496281','LECCA','TAPIA','ADOLFO TITO','1992-09-17','','','',0),</t>
  </si>
  <si>
    <t>('74119665','FERNANDEZ','ATAMARI','CRISTHIAN ALEXANDER','1995-04-12','','','',0),</t>
  </si>
  <si>
    <t>('76185474 ','SANTOS','SANTOS','LUZGARDO BLADIMIR','1995-10-04','M','','',0),</t>
  </si>
  <si>
    <t>('73420512','ROJAS','CHOQUE','YIMI JEFFERSON','1999-10-04','','','',0),</t>
  </si>
  <si>
    <t>('74163049','TURPO','CONDORI','JULVER','2000-01-09','','','',0),</t>
  </si>
  <si>
    <t>('74077488','URIARTE','RAMOS','AXEL','1997-11-01','','','',0),</t>
  </si>
  <si>
    <t>('70412935','MONTES','BEJAR','CHRISTIAN ROBERTO','1992-12-02','M','','',0),</t>
  </si>
  <si>
    <t>('74459980','CASTAÑEDA','MEZA','JUAN ISAI','1996-04-21','M','','',0),</t>
  </si>
  <si>
    <t>('70172100','ACOSTA','TORRES','JULIO CESAR','1995-10-14','M','','',0),</t>
  </si>
  <si>
    <t>('74995248','CRUZ','GONZALES','YORK ALEXANDER','2004-12-31','','','',0),</t>
  </si>
  <si>
    <t>('46516343','CONDE','ARCE','JOB ESTEBAN','1990-08-03','M','','',0),</t>
  </si>
  <si>
    <t>('74618733','RAMOS','NAVARRO','MOISES NEHEMIAS','2003-03-17','M','','',0),</t>
  </si>
  <si>
    <t>('47916517','MONTALVAN','YAHUARA','DENIS_x000D_','1993-07-19','M','','',0),</t>
  </si>
  <si>
    <t>('77131717','VICUÑA','CAJAHUANCA','MANUEL FRANCISCO','2001-05-05','M','','',0),</t>
  </si>
  <si>
    <t>('71935584','HUAMAN','CABALLON','LUIS FERNANDO','1999-12-03','M','','',0),</t>
  </si>
  <si>
    <t>('45599405','ÑIHUIN','HERRERA','EDWIN RODRIGO','1989-02-26','M','','',0),</t>
  </si>
  <si>
    <t>('72645782','SUAREZ','DELGADO','MIGUEL ANGEL','1992-06-28','M','','',0),</t>
  </si>
  <si>
    <t>('72220834','MENDOZA','DIAZ','JUNIOR MELANIO','1997-11-18','M','','',0),</t>
  </si>
  <si>
    <t>('40800480','CAMPOS','PONCE','HANS JAIRS','1980-08-10','M','','',0),</t>
  </si>
  <si>
    <t>('48472896','ARROYO','MORALES','EDGAR YHORDI','1994-01-07','M','','',0),</t>
  </si>
  <si>
    <t>('73759182','DUEÑAS','HUAYAMA','MAURICIO JESUS','1998-04-10','M','','',0),</t>
  </si>
  <si>
    <t>('47696895','OBLEA','CHERO','VICTOR RAUL','1993-03-09','M','','',0),</t>
  </si>
  <si>
    <t>('72677707','HURTADO','ALCANTARA','JORGE JAIR','1994-02-13','M','','',0),</t>
  </si>
  <si>
    <t>('46980059','LAURA','TOSCANO','YEFFERSON PIERRE','1992-03-06','M','','',0),</t>
  </si>
  <si>
    <t>('44232043','VITE','CELEDONIO','PEDRO MANUEL','1986-11-18','M','','',0),</t>
  </si>
  <si>
    <t>('75469898','ZEVALLOS','RAMOS','MICHAEL SMITH','2000-08-04','M','','',0),</t>
  </si>
  <si>
    <t>('74095638','FERNANDEZ','VILLEGAS','MARCELO','1999-03-18','M','','',0),</t>
  </si>
  <si>
    <t>('48279915','IPANAQUE','TUÑOQUE','JESUS ALBERTO','1994-06-22','M','','',0),</t>
  </si>
  <si>
    <t>('73530871','HINOJOSA','ORDOÑEZ','DIEGO ALVARO','1997-12-31','M','','',0),</t>
  </si>
  <si>
    <t>('74810766','CACERES','ANGELES','ANGEL NILTON','1995-12-09','M','','',0),</t>
  </si>
  <si>
    <t>('75164658','DAVALOS','GALICIA','ROMAY BRYAN','1996-03-18','M','','',0),</t>
  </si>
  <si>
    <t>('72794468','ARIAS','PANEBRA','CARLOS ANTONIO','1997-01-03','M','','',0),</t>
  </si>
  <si>
    <t>('74299254','ALVARADO','MEDINA','RODRIGO ENRIQUE','2002-09-20','M','','',0),</t>
  </si>
  <si>
    <t>('16563357','GALLEGOS','ABAD','GEYNER','1974-08-20','M','','',0),</t>
  </si>
  <si>
    <t>('72945652','VIERA','GARRIDO','GUSTAVO ERNESTO','1993-04-11','M','','',0),</t>
  </si>
  <si>
    <t>('74730082','BEDOYA','PIANO','ALEX JERRY','1997-09-15','M','','',0),</t>
  </si>
  <si>
    <t>('48174765','MORE','VILLEGAS','EDGAR IVAN','1994-02-28','M','','',0),</t>
  </si>
  <si>
    <t>('74720095','VASQUEZ','GARCIA','FERNANDO JOEL','2000-12-09','M','','',0),</t>
  </si>
  <si>
    <t>('72387145','VELIZ','LIZARRAGA','CRISTOFER','2002-01-28','M','','',0),</t>
  </si>
  <si>
    <t>('78623521','NEYRA','GOMEZ','HENRY','1997-06-15','M','','',0),</t>
  </si>
  <si>
    <t>('71746787','CORREA','FIGUEROA','CESAR ISRAEL','1999-05-09','M','','',0),</t>
  </si>
  <si>
    <t>('70881220','CHAVEZ','AYALA','WALTER ADRIAN','2005-11-02','M','','',0),</t>
  </si>
  <si>
    <t>('75151602','RODRIGUEZ','MAMANI','WILBER','1994-06-12','M','','',0),</t>
  </si>
  <si>
    <t>('70175057','PEREZ','ALBINO','WILDER VICTOR','2000-02-04','M','','',0),</t>
  </si>
  <si>
    <t>('44841695','ORTIZ','DE LA CRUZ','HIVAR LEONIDES','1987-01-26','M','','',0),</t>
  </si>
  <si>
    <t>('72427914','GUILLEN','TUBILLAS','JUAN DANIEL','1997-07-22','M','','',0),</t>
  </si>
  <si>
    <t>('72547482','FLORES','ACUÑA','IAN ANTHONY','2003-05-20','M','','',0),</t>
  </si>
  <si>
    <t>('75697071','BALDEON','CANCHUMANYA','ANDRES YOSBALL','1998-02-20','M','','',0),</t>
  </si>
  <si>
    <t>('72480766','POCCO','GOMEZ','CARLOS SIMON','1997-09-13','M','','',0),</t>
  </si>
  <si>
    <t>('42122588','OLIVA','LEON','ERICK VLADIMIR','1983-10-28','M','','',0),</t>
  </si>
  <si>
    <t>('71498135','CARRERA','CONTRERAS','CLAUDIA AMERICA ESTHER','1995-01-17','F','','',0),</t>
  </si>
  <si>
    <t>('72863018','TIMANA','AGUIRRE','JOSE ROBERT','2000-07-07','M','','',0),</t>
  </si>
  <si>
    <t>('62747680','MAGUIÑA','OSORIO','ANGELO','2003-06-04','M','','',0),</t>
  </si>
  <si>
    <t>('73331711','VASQUEZ','LUERA','AQUILES REMIGIO','1995-01-16','','','',0),</t>
  </si>
  <si>
    <t>('76216049','CHAVEZ','CHALAN','FRANKLIN','1997-05-21','M','','',0),</t>
  </si>
  <si>
    <t>('10035746','GUTIERREZ','RAMIREZ','MARTIN','1976-04-02','M','','',0),</t>
  </si>
  <si>
    <t>('79469013','CHOCCE','BERMUDES','FLOR CARLA','1999-09-05','F','','',0),</t>
  </si>
  <si>
    <t>('70102401','QUISPE','MAMANI','JOSE GERMAN','1996-01-16','M','','',0),</t>
  </si>
  <si>
    <t>('72631147','SOLANO','ZAVALA','EVER JOSÉ MANUEL','1996-12-26','M','','',0),</t>
  </si>
  <si>
    <t>('41865954','ESPINOZA','HERRERA','IVAN',null,'M','','',0),</t>
  </si>
  <si>
    <t>('45454437','VADILLO','FLORES','PABLO ALBERTO',null,'M','','',0),</t>
  </si>
  <si>
    <t>('46372648','GUZMAN','SANCHEZ','ALEX NOBEL',null,'M','','',0),</t>
  </si>
  <si>
    <t>('43937849','DOMINGUEZ','AYMA','JENNIFER',null,'F','','',0),</t>
  </si>
  <si>
    <t>('10653965','VILLAR','MENDOZA','VICTOR MANUEL',null,'M','','',0),</t>
  </si>
  <si>
    <t>('44360499','RENGIFO','REVILLA','JOSE LUIS',null,'M','','',0),</t>
  </si>
  <si>
    <t>('40423571','ORTIZ','RIOS','CARLO FRANCO',null,'M','','',0),</t>
  </si>
  <si>
    <t>('42328907','DE','LA PIEDRA RAMOS','PATRICIO AUGUSTO',null,'M','','',0),</t>
  </si>
  <si>
    <t>('21532532','QUIJAITE','GRANADOS','FRANKLIN YAN',null,'M','','',0),</t>
  </si>
  <si>
    <t>('46395708','OCAÑA','REQUENA','LUIS ALBERTO',null,'M','','',0),</t>
  </si>
  <si>
    <t>('43573639','ALVAREZ','GALLEGO','GIANCARLO',null,'M','','',0),</t>
  </si>
  <si>
    <t>('70340562','LAZARO','PAREDES','ANGEL JESUS',null,'M','','',0),</t>
  </si>
  <si>
    <t>('47301956','CRISTOBAL','BASILIO','ANDERSEN DINO',null,'M','','',0),</t>
  </si>
  <si>
    <t>('72421216','PINO','CONTRERAS','CARLOS ALBERTO',null,'M','','',0),</t>
  </si>
  <si>
    <t>('47684287','VILLA','BOBADILLA','CRISTHIAN FABIO',null,'M','','',0),</t>
  </si>
  <si>
    <t>('75177599','CANALES','MEMBRILLO','VANIA ANDREA',null,'F','','',0),</t>
  </si>
  <si>
    <t>('44398959','SERNAQUE','ZAPATA','OSCAR',null,'M','','',0),</t>
  </si>
  <si>
    <t>('43774748','LAVADO','POLANCO','SERGIO',null,'M','','',0),</t>
  </si>
  <si>
    <t>('45096943','MARTINEZ','BUSTAMANTE','CHRISTIAN MANUEL',null,'M','','',0),</t>
  </si>
  <si>
    <t>('72306861','MIRANDA','GARCIA','SERGIO ANDRE',null,'M','','',0),</t>
  </si>
  <si>
    <t>('44520465','FALCON','VARAS','JAIR',null,'M','','',0),</t>
  </si>
  <si>
    <t>('74291956','MENESES','GUTIERREZ','JESSY MURIEL',null,'F','','',0),</t>
  </si>
  <si>
    <t>('70857131','DIAZ','AGURTO','FRITZGERALD DEMETRY',null,'M','','',0),</t>
  </si>
  <si>
    <t>('73668329','RUFINO','RIOFRIO','JEAN CARLOS',null,'M','','',0),</t>
  </si>
  <si>
    <t>('72781800','JUNIOR','ORLANDO','BERRU ZAPATA',null,'M','','',0),</t>
  </si>
  <si>
    <t>('45149056','PALACIOS','SOTA','MARCEL ALI',null,'M','','',0),</t>
  </si>
  <si>
    <t>('70267769','SOTO','HUARNIZ','MIGUEL ANTHONY',null,'M','','',0),</t>
  </si>
  <si>
    <t>('72627711','JORDAN','TAPARA','RODRIGO',null,'M','','',0),</t>
  </si>
  <si>
    <t>('48076442','HERRERA','CRIOLLO','LEONEL',null,'M','','',0),</t>
  </si>
  <si>
    <t>('47880552','MALLMA','MOSQUERA','RELVI ORLAN',null,'M','','',0),</t>
  </si>
  <si>
    <t>('72452225','ALMEYDA','VEGA','MICHELL',null,'M','','',0),</t>
  </si>
  <si>
    <t>('76627658','ORTIZ','LOPEZ','LEONARDO ADRIAN',null,'M','','',0),</t>
  </si>
  <si>
    <t>('77337125','VARGAS','GUTIERREZ','JOYCE',null,'M','','',0),</t>
  </si>
  <si>
    <t>('47514096','AGURTO','HUACAUSI','WILMER FREDDY',null,'M','','',0),</t>
  </si>
  <si>
    <t>('43288742','RIVADENEYRA','ZAMBRANO','FABRICIO PIERRE',null,'M','','',0),</t>
  </si>
  <si>
    <t>('74461157','RAMIREZ','QUIROGA','HÉCTOR ANDRÉS',null,'M','','',0),</t>
  </si>
  <si>
    <t>('71807127','CISNEROS','YESAN','ROY KEVIN',null,'M','','',0),</t>
  </si>
  <si>
    <t>('72528632','LLAXA','ACASIO','CARLOS GABRIEL',null,'M','','',0),</t>
  </si>
  <si>
    <t>('70128416','MARQUEZ','PRIETO','BILLY JOEL',null,'M','','',0),</t>
  </si>
  <si>
    <t>('70025303','SALAS','BRAVO','PIERINA MILAGROS',null,'M','','',0),</t>
  </si>
  <si>
    <t>('73815045','ALEGRIA','PELAYO','NELSON WALTER',null,'M','','',0),</t>
  </si>
  <si>
    <t>('71880837','OCUPA','LABAN','JUNIOR',null,'M','','',0),</t>
  </si>
  <si>
    <t>('42203379','VENTOCILLA','CHOQUE','PETER SAM',null,'M','','',0),</t>
  </si>
  <si>
    <t>('10867019','BACA','ALFARO','FRANCISCO EULOGIO',null,'M','','',0),</t>
  </si>
  <si>
    <t>('74303103','CONDORI','HUANQUI','DIEGO AUGUSTO',null,'M','','',0),</t>
  </si>
  <si>
    <t>('77540450','DAMIAN','SULLON','SARAH BELEN',null,'F','','',0),</t>
  </si>
  <si>
    <t>('48148309','CAMACHO','MONTALVO','FRANK ALDAREIR',null,'M','','',0),</t>
  </si>
  <si>
    <t>('70111846','VILCA','AGUIRRE','JOSÉ LUIS',null,'M','','',0),</t>
  </si>
  <si>
    <t>('74087877','YBAÑEZ','RAMOS','HENRRY ENRIQUE',null,'M','','',0),</t>
  </si>
  <si>
    <t>('72195008','LAZO','TICLAVILCA','GUSTAVO ALONSO',null,'M','','',0),</t>
  </si>
  <si>
    <t>('44098549','ZEVALLOS','CASTRO','VICTOR EDUARDO',null,'M','','',0),</t>
  </si>
  <si>
    <t>('40782750','CORTEZ','QUISPE','JESUS ANGEL',null,'M','','',0),</t>
  </si>
  <si>
    <t>('48074080','SANDOVAL','CABELLO','KATHERINE MARLENE',null,'F','','',0),</t>
  </si>
  <si>
    <t>('45641110','ROJAS','COBEÑAS','JOSÉ LUIS',null,'M','','',0),</t>
  </si>
  <si>
    <t>('76027331','CCOLQUE','ALATA','YURI',null,'M','','',0),</t>
  </si>
  <si>
    <t>('48742176','DIAZ','VASQUEZ','YONHATAN ALEXANDER',null,'M','','',0),</t>
  </si>
  <si>
    <t>('44454534','SOTO','VARGAS','HARRY JOHN',null,'M','','',0),</t>
  </si>
  <si>
    <t>('72008102','HURTADO','CONTRERAS','YHOEL YHORDIÑO',null,'M','','',0),</t>
  </si>
  <si>
    <t>id_persona</t>
  </si>
  <si>
    <t>JBOZA</t>
  </si>
  <si>
    <t>ROLIVOS</t>
  </si>
  <si>
    <t>KLAURA</t>
  </si>
  <si>
    <t>JCAMPOS</t>
  </si>
  <si>
    <t>MCABEZA</t>
  </si>
  <si>
    <t>NMOORE</t>
  </si>
  <si>
    <t>MMARISCAL</t>
  </si>
  <si>
    <t>EAGUILAR</t>
  </si>
  <si>
    <t>OHORNA</t>
  </si>
  <si>
    <t>AMICHELINI</t>
  </si>
  <si>
    <t>SMSHOUGANG</t>
  </si>
  <si>
    <t>FSEVERINO</t>
  </si>
  <si>
    <t>LGUTIERREZ</t>
  </si>
  <si>
    <t>MCONDORI</t>
  </si>
  <si>
    <t>JHILARIO</t>
  </si>
  <si>
    <t>ERODRIGUEZ</t>
  </si>
  <si>
    <t>MSUAREZ</t>
  </si>
  <si>
    <t>CNORES</t>
  </si>
  <si>
    <t>MPLAZA</t>
  </si>
  <si>
    <t>AVILLANUEVA</t>
  </si>
  <si>
    <t>HALEJO</t>
  </si>
  <si>
    <t>JDIANDERAS</t>
  </si>
  <si>
    <t>AGUTIERREZ</t>
  </si>
  <si>
    <t>ECHAVEZ</t>
  </si>
  <si>
    <t>AHUALLPA</t>
  </si>
  <si>
    <t>RBORJAS</t>
  </si>
  <si>
    <t>EVASQUEZ</t>
  </si>
  <si>
    <t>AAVILA</t>
  </si>
  <si>
    <t>JZAVALETA</t>
  </si>
  <si>
    <t>FSANTIAGO</t>
  </si>
  <si>
    <t>FSUAREZ</t>
  </si>
  <si>
    <t>JANGELES</t>
  </si>
  <si>
    <t>LRAMOS</t>
  </si>
  <si>
    <t>SOPORTE2</t>
  </si>
  <si>
    <t>APUCUHUAYLA</t>
  </si>
  <si>
    <t>ALMACENLURIN</t>
  </si>
  <si>
    <t>CCASAS</t>
  </si>
  <si>
    <t>AIMAN</t>
  </si>
  <si>
    <t>PCAMACHO</t>
  </si>
  <si>
    <t>GTORRES</t>
  </si>
  <si>
    <t>AQUISPE</t>
  </si>
  <si>
    <t>LHINOJOSA</t>
  </si>
  <si>
    <t>EALFONZO</t>
  </si>
  <si>
    <t>EPINTADO</t>
  </si>
  <si>
    <t>XRUIZ</t>
  </si>
  <si>
    <t>NBUSTAMANTE</t>
  </si>
  <si>
    <t>LSANCHEZ</t>
  </si>
  <si>
    <t>MBENITES</t>
  </si>
  <si>
    <t>RTALLEDO</t>
  </si>
  <si>
    <t>BCABELLO</t>
  </si>
  <si>
    <t>ACARRILLO</t>
  </si>
  <si>
    <t>MSANTIBANEZ</t>
  </si>
  <si>
    <t>GVELARDE</t>
  </si>
  <si>
    <t>ALMLAVICTORI</t>
  </si>
  <si>
    <t>MSANDOVAL</t>
  </si>
  <si>
    <t>JMEDINA</t>
  </si>
  <si>
    <t>HVIDAL</t>
  </si>
  <si>
    <t>FMOTTA</t>
  </si>
  <si>
    <t>NPENA</t>
  </si>
  <si>
    <t>KEGUES</t>
  </si>
  <si>
    <t>ELAZARTE</t>
  </si>
  <si>
    <t>COSTOSCGM</t>
  </si>
  <si>
    <t>JVEGA</t>
  </si>
  <si>
    <t>LOGAQP</t>
  </si>
  <si>
    <t>RSALDIVAR</t>
  </si>
  <si>
    <t>RECEPCIONCGM</t>
  </si>
  <si>
    <t>LRIOS</t>
  </si>
  <si>
    <t>LVALENZUELA</t>
  </si>
  <si>
    <t>RGUANILO</t>
  </si>
  <si>
    <t>FMEGO</t>
  </si>
  <si>
    <t>BIDONE</t>
  </si>
  <si>
    <t>VTORRES</t>
  </si>
  <si>
    <t>EMALPARTIDA</t>
  </si>
  <si>
    <t>JVENERO</t>
  </si>
  <si>
    <t>MPISCO</t>
  </si>
  <si>
    <t>AVILLA</t>
  </si>
  <si>
    <t>EVASQUEZR</t>
  </si>
  <si>
    <t>GGALLEGOS</t>
  </si>
  <si>
    <t>WCHIPANA</t>
  </si>
  <si>
    <t>USUARIO_SAP</t>
  </si>
  <si>
    <t>fecha_baja</t>
  </si>
  <si>
    <t>=CONCAT("(";A2;",'";B2;"','";C2;"','";D2;"',";"";E2;"";",";F2;",'";TEXTO(G2;"yyyy-mm-dd");"'),")</t>
  </si>
  <si>
    <t>(19,'','EAGUILAR','',0,1,'2023-08-31'),</t>
  </si>
  <si>
    <t>(26,'P42271014','FSEVERINO','fernando.severino@cgmrental.com.pe',0,1,'2025-02-04'),</t>
  </si>
  <si>
    <t>(37,'P47454970','MCONDORI','mario.condori@cgmrental.com.pe',0,1,'2025-08-10'),</t>
  </si>
  <si>
    <t>(39,'P45782284','ERODRIGUEZ','',0,1,'2025-02-28'),</t>
  </si>
  <si>
    <t>(49,'P45634567','MPLAZA','',0,1,'2024-07-31'),</t>
  </si>
  <si>
    <t>(51,'','AVILLANUEVA','alirio.villanueva@cgmrental.com.pe',0,1,'2024-03-08'),</t>
  </si>
  <si>
    <t>(73,'P46939444','AHUALLPA','alex.huallpa@cgmrental.com.pe',0,1,'2025-07-15'),</t>
  </si>
  <si>
    <t>(148,'','','',0,1,'2024-02-29'),</t>
  </si>
  <si>
    <t>(159,'P75542794','ALMACENLURIN','almacen.lavictoria@cgmrental.com.pe',0,1,'2024-05-22'),</t>
  </si>
  <si>
    <t>(164,'','AIMAN','',0,1,'2024-01-31'),</t>
  </si>
  <si>
    <t>(169,'P75069752','PCAMACHO','',0,1,'2024-05-31'),</t>
  </si>
  <si>
    <t>(172,'P72429550','GTORRES','gonzalo.torres@cgmrental.com.pe',0,1,'2025-04-11'),</t>
  </si>
  <si>
    <t>(177,'P76083021','LRIOS','leonardo.rios@cgmrental.com.pe',0,1,'2023-09-30'),</t>
  </si>
  <si>
    <t>(179,'','RSALDIVAR','',0,1,'2023-10-11'),</t>
  </si>
  <si>
    <t>(183,'P71924746','AQUISPE','',0,1,'2024-04-11'),</t>
  </si>
  <si>
    <t>(198,'P76163175','LHINOJOSA','',0,1,'2024-07-31'),</t>
  </si>
  <si>
    <t>(240,'P45415967','NBUSTAMANTE','nilton.bustamante@cgmrental.com.pe',0,1,'2025-03-28'),</t>
  </si>
  <si>
    <t>(247,'P72679404','LSANCHEZ','lorena.sanchez@cgmrental.com.pe',0,1,'2024-06-09'),</t>
  </si>
  <si>
    <t>(248,'P73146757','FMOTTA','',0,1,'2025-01-31'),</t>
  </si>
  <si>
    <t>(249,'P72194296','ACARRILLO','',0,1,'2024-10-27'),</t>
  </si>
  <si>
    <t>(251,'','JVEGA','jaffet.vega@cgmrental.com.pe',0,1,'2023-05-31'),</t>
  </si>
  <si>
    <t>(254,'P75764575','MBENITES','melanny.benites@cgmrental.com.pe',0,1,'2023-09-30'),</t>
  </si>
  <si>
    <t>(260,'','XRUIZ','',0,1,'2023-11-10'),</t>
  </si>
  <si>
    <t>(263,'P73796897','RTALLEDO','renato.talledo@cgmrental.com.pe',0,1,'2025-07-31'),</t>
  </si>
  <si>
    <t>(266,'P70850101','BCABELLO','',0,1,'2024-09-30'),</t>
  </si>
  <si>
    <t>(269,'P45861620','MSANTIBANEZ','manuel.santivanez@cgmrental.com.pe',0,1,'2025-05-31'),</t>
  </si>
  <si>
    <t>(270,'P46684823','GVELARDE','',0,1,'2024-10-25'),</t>
  </si>
  <si>
    <t>(289,'P46661529','MSANDOVAL','',0,1,'2024-05-03'),</t>
  </si>
  <si>
    <t>(304,'','HVIDAL','',0,1,'2023-09-30'),</t>
  </si>
  <si>
    <t>(313,'P48369134','COSTOSCGM','ricardo.salcedo@cgmrental.com.pe',0,1,'2024-07-31'),</t>
  </si>
  <si>
    <t>(328,'','NPENA','',0,1,'2024-01-31'),</t>
  </si>
  <si>
    <t>(332,'P72274425','ELAZARTE','andree.lazarte@cgmrental.com.pe',0,1,'2025-11-30'),</t>
  </si>
  <si>
    <t>(384,'P75680792','RECEPCIONCGM','recepcioncgm@cgmrental.com.pe',0,1,'2025-07-11'),</t>
  </si>
  <si>
    <t>(415,'P74150448','LVALENZUELA','',0,1,'2025-02-07'),</t>
  </si>
  <si>
    <t>(441,'P76227097','','',0,1,'2025-01-31'),</t>
  </si>
  <si>
    <t>(712,'P70103445','','',0,1,'2025-11-30'),</t>
  </si>
  <si>
    <t>(713,'P73872493','','',0,1,'2025-11-22'),</t>
  </si>
  <si>
    <t>(716,'P73449345','','',0,1,'2025-11-21'),</t>
  </si>
  <si>
    <t>(725,'P73245944','','',0,1,'2025-11-30'),</t>
  </si>
  <si>
    <t>(732,'P76185474 ','','',0,1,'2025-10-14'),</t>
  </si>
  <si>
    <t>(734,'P74163049','','',0,1,'2025-08-25'),</t>
  </si>
  <si>
    <t>(739,'P74995248','','',0,1,'2025-09-05'),</t>
  </si>
  <si>
    <t>(749,'P48472896','','',0,1,'2025-11-07'),</t>
  </si>
  <si>
    <t>(755,'P75469898','','michael.zevallos@cgmrental.com.pe',0,1,'2025-11-07'),</t>
  </si>
  <si>
    <t>(762,'','','rodrigo.alvarado@cgmrental.com.pe',0,1,'2025-10-09'),</t>
  </si>
  <si>
    <t>(1,'P07792589','JBOZA','jaime.boza@cgmrental.com.pe',1,0,null),</t>
  </si>
  <si>
    <t>(2,'P32989550','ROLIVOS','ricardo.olivos@cgmrental.com.pe',1,0,null),</t>
  </si>
  <si>
    <t>(4,'P40240738','KLAURA','katty.laura@cgmrental.com.pe',1,0,null),</t>
  </si>
  <si>
    <t>(5,'P48549137','JCAMPOS','jose.campos@cgmrental.com.pe',1,0,null),</t>
  </si>
  <si>
    <t>(7,'P45681005','MCABEZA','marcos.cabezas@cgmrental.com.pe',1,0,null),</t>
  </si>
  <si>
    <t>(14,'P42581424','NMOORE','nino.moore@cgmrental.com.pe',1,0,null),</t>
  </si>
  <si>
    <t>(15,'P43334686','MMARISCAL','mario.mariscal@cgmrental.com.pe',1,0,null),</t>
  </si>
  <si>
    <t>(21,'P44835875','OHORNA','orlando.horna@cgmrental.com.pe',1,0,null),</t>
  </si>
  <si>
    <t>(22,'P42596150','AMICHELINI','aldo.michelini@cgmrental.com.pe',1,0,null),</t>
  </si>
  <si>
    <t>(24,'P40906031','SMSHOUGANG','esteban.chiquillan@cgmrental.com.pe',1,0,null),</t>
  </si>
  <si>
    <t>(29,'P44652791','LGUTIERREZ','luis.gutierrez@cgmrental.com.pe',1,0,null),</t>
  </si>
  <si>
    <t>(38,'P44548369','JHILARIO','jaime.hilario@cgmrental.com.pe',1,0,null),</t>
  </si>
  <si>
    <t>(40,'P72713612','MSUAREZ','mirella.suarez@cgmrental.com.pe',1,0,null),</t>
  </si>
  <si>
    <t>(42,'P46246289','CNORES','cristhian.nores@cgmrental.com.pe',1,0,null),</t>
  </si>
  <si>
    <t>(54,'P76126150','HALEJO','harold.alejo@cgmrental.com.pe',1,0,null),</t>
  </si>
  <si>
    <t>(56,'P43965644','JDIANDERAS','joseth.dianderas@cgmrental.com.pe',1,0,null),</t>
  </si>
  <si>
    <t>(61,'P44903589','AGUTIERREZ','anthony.gutierrez@cgmrental.com.pe',1,0,null),</t>
  </si>
  <si>
    <t>(67,'P40871583','ECHAVEZ','edgard.chavez@cgmrental.com.pe',1,0,null),</t>
  </si>
  <si>
    <t>(78,'P45553012','RBORJAS','roxana.borjas@cgmrental.com.pe',1,0,null),</t>
  </si>
  <si>
    <t>(79,'P18207097','EVASQUEZ','eiser.vasquez@cgmrental.com.pe',1,0,null),</t>
  </si>
  <si>
    <t>(89,'P44445194','AAVILA','adrian.avila@cgmrental.com.pe',1,0,null),</t>
  </si>
  <si>
    <t>(99,'P77073844','JZAVALETA','jimena.zavaleta@cgmrental.com.pe',1,0,null),</t>
  </si>
  <si>
    <t>(101,'P48518363','FSANTIAGO','franco.santiago@cgmrental.com.pe',1,0,null),</t>
  </si>
  <si>
    <t>(105,'P72526631','FSUAREZ','frank.suarez@cgmrental.com.pe',1,0,null),</t>
  </si>
  <si>
    <t>(106,'P47008403','JANGELES','jorge.angeles@cgmrental.com.pe',1,0,null),</t>
  </si>
  <si>
    <t>(115,'P77390981','LRAMOS','laura.ramos@cgmrental.com.pe',1,0,null),</t>
  </si>
  <si>
    <t>(131,'P45782476','SOPORTE2','jean.bazalar@cgmrental.com.pe',1,0,null),</t>
  </si>
  <si>
    <t>(139,'P70234926','APUCUHUAYLA','antonio.pucuhuayla@cgmrental.com.pe',1,0,null),</t>
  </si>
  <si>
    <t>(161,'P76231875','CCASAS','cesar.casas@cgmrental.com.pe',1,0,null),</t>
  </si>
  <si>
    <t>(200,'P01927983','EALFONZO','evelio.alfonzo@cgmrental.com.pe',1,0,null),</t>
  </si>
  <si>
    <t>(212,'P75822867','','william.tezen@cgmrental.com.pe',1,0,null),</t>
  </si>
  <si>
    <t>(213,'P72230277','EPINTADO','edwin.pintado@cgmrental.com.pe',1,0,null),</t>
  </si>
  <si>
    <t>(217,'P46517617','','wilmer.cuadra@cgmrental.com.pe',1,0,null),</t>
  </si>
  <si>
    <t>(223,'P70658854','FMEGO','felly.mego@cgmrental.com.pe',1,0,null),</t>
  </si>
  <si>
    <t>(280,'P76726246','ALMLAVICTORI','arturo.espinoza@cgmrental.com.pe',1,0,null),</t>
  </si>
  <si>
    <t>(290,'P43812050','','',1,0,null),</t>
  </si>
  <si>
    <t>(299,'P74088544','JMEDINA','jose.medina@cgmrental.com.pe',1,0,null),</t>
  </si>
  <si>
    <t>(330,'P75223602','KEGUES','kristel.egues@cgmrental.com.pe',1,0,null),</t>
  </si>
  <si>
    <t>(338,'P72287833','','jose.cardenas@cgmrental.com.pe',1,0,null),</t>
  </si>
  <si>
    <t>(371,'P70525602','LOGAQP','jhonatan.uscamayta@cgmrental.com.pe',1,0,null),</t>
  </si>
  <si>
    <t>(424,'P72021462','RGUANILO','rafael.guanilo@cgmrental.com.pe',1,0,null),</t>
  </si>
  <si>
    <t>(443,'P75378291','BIDONE','brigitt.idone@cgmrental.com.pe',1,0,null),</t>
  </si>
  <si>
    <t>(545,'P45138057','','',1,0,null),</t>
  </si>
  <si>
    <t>(564,'P71283419','VTORRES','vladimir.torres@cgmrental.com.pe',1,0,null),</t>
  </si>
  <si>
    <t>(602,'P08058783','','',1,0,null),</t>
  </si>
  <si>
    <t>(613,'P73374504','','',1,0,null),</t>
  </si>
  <si>
    <t>(625,'P42520934','EMALPARTIDA','edgar.malpartida@cgmrental.com.pe',1,0,null),</t>
  </si>
  <si>
    <t>(626,'P70321829','JVENERO','jean.venero@cgmrental.com.pe',1,0,null),</t>
  </si>
  <si>
    <t>(640,'P47407058','MPISCO','mario.pisco@cgmrental.com.pe',1,0,null),</t>
  </si>
  <si>
    <t>(660,'P71502476','','',1,0,null),</t>
  </si>
  <si>
    <t>(661,'P72857265','','daniel.carhuancho@cgmrental.com.pe',1,0,null),</t>
  </si>
  <si>
    <t>(662,'P71419289','','',1,0,null),</t>
  </si>
  <si>
    <t>(673,'P75831113','','',1,0,null),</t>
  </si>
  <si>
    <t>(697,'P46858864','','',1,0,null),</t>
  </si>
  <si>
    <t>(698,'P76350192','','',1,0,null),</t>
  </si>
  <si>
    <t>(699,'P70666387','','',1,0,null),</t>
  </si>
  <si>
    <t>(700,'P74715476','','recepcioncgm@cgmrental.com.pe',1,0,null),</t>
  </si>
  <si>
    <t>(702,'P09572369','AVILLA','alejandro.villa@cgmrental.com.pe',1,0,null),</t>
  </si>
  <si>
    <t>(703,'P76681205','','gabriel.orellana@cgmrental.com.pe',1,0,null),</t>
  </si>
  <si>
    <t>(704,'P44229927','','',1,0,null),</t>
  </si>
  <si>
    <t>(705,'P06671306','EVASQUEZR','elmer.vasquez@cgmrental.com.pe',1,0,null),</t>
  </si>
  <si>
    <t>(707,'P41361657','','seguridad@cgmrental.com.pe',1,0,null),</t>
  </si>
  <si>
    <t>(709,'P74983073','','',1,0,null),</t>
  </si>
  <si>
    <t>(710,'P70763976','','',1,0,null),</t>
  </si>
  <si>
    <t>(711,'P72460577','','',1,0,null),</t>
  </si>
  <si>
    <t>(714,'P74318723','','',1,0,null),</t>
  </si>
  <si>
    <t>(717,'P72980861','','',1,0,null),</t>
  </si>
  <si>
    <t>(718,'P78968955','','',1,0,null),</t>
  </si>
  <si>
    <t>(719,'P47117604','','',1,0,null),</t>
  </si>
  <si>
    <t>(720,'P40749734','','',1,0,null),</t>
  </si>
  <si>
    <t>(722,'P75443859','','',1,0,null),</t>
  </si>
  <si>
    <t>(723,'P70970251','','',1,0,null),</t>
  </si>
  <si>
    <t>(724,'P70486874','','',1,0,null),</t>
  </si>
  <si>
    <t>(726,'P42628404','','',1,0,null),</t>
  </si>
  <si>
    <t>(728,'P73992875','','',1,0,null),</t>
  </si>
  <si>
    <t>(729,'P71450988','','fray.huamani@cgmrental.com.pe',1,0,null),</t>
  </si>
  <si>
    <t>(730,'P47496281','','',1,0,null),</t>
  </si>
  <si>
    <t>(731,'P74119665','','',1,0,null),</t>
  </si>
  <si>
    <t>(733,'P73420512','','',1,0,null),</t>
  </si>
  <si>
    <t>(735,'P74077488','','axel.uriarte@cgmrental.com.pe',1,0,null),</t>
  </si>
  <si>
    <t>(738,'P70172100','','julio.acosta@cgmrental.com.pe',1,0,null),</t>
  </si>
  <si>
    <t>(740,'P46516343','','',1,0,null),</t>
  </si>
  <si>
    <t>(742,'P47916517','','',1,0,null),</t>
  </si>
  <si>
    <t>(743,'P77131717','','',1,0,null),</t>
  </si>
  <si>
    <t>(744,'P71935584','','',1,0,null),</t>
  </si>
  <si>
    <t>(745,'P45599405','','',1,0,null),</t>
  </si>
  <si>
    <t>(746,'P72645782','','',1,0,null),</t>
  </si>
  <si>
    <t>(747,'P72220834','','',1,0,null),</t>
  </si>
  <si>
    <t>(751,'P47696895','','',1,0,null),</t>
  </si>
  <si>
    <t>(752,'P72677707','','',1,0,null),</t>
  </si>
  <si>
    <t>(753,'P46980059','','',1,0,null),</t>
  </si>
  <si>
    <t>(754,'P44232043','','',1,0,null),</t>
  </si>
  <si>
    <t>(756,'P74095638','','',1,0,null),</t>
  </si>
  <si>
    <t>(757,'P48279915','','',1,0,null),</t>
  </si>
  <si>
    <t>(758,'P73530871','','diego.hinojosa@cgmrental.com.pe',1,0,null),</t>
  </si>
  <si>
    <t>(759,'P74810766','','',1,0,null),</t>
  </si>
  <si>
    <t>(760,'P75164658','','',1,0,null),</t>
  </si>
  <si>
    <t>(761,'P72794468','','',1,0,null),</t>
  </si>
  <si>
    <t>(763,'P16563357','GGALLEGOS','geyner.gallegos@cgmrental.com.pe',1,0,null),</t>
  </si>
  <si>
    <t>(764,'P72945652','','',1,0,null),</t>
  </si>
  <si>
    <t>(765,'P74730082','','',1,0,null),</t>
  </si>
  <si>
    <t>(766,'P48174765','','',1,0,null),</t>
  </si>
  <si>
    <t>(767,'P74720095','','',1,0,null),</t>
  </si>
  <si>
    <t>(768,'P72387145','','',1,0,null),</t>
  </si>
  <si>
    <t>(769,'P78623521','','henry.neyra@cgmrental.com.pe',1,0,null),</t>
  </si>
  <si>
    <t>(770,'P71746787','','',1,0,null),</t>
  </si>
  <si>
    <t>(771,'P70881220','','',1,0,null),</t>
  </si>
  <si>
    <t>(772,'P75151602','WCHIPANA','wilber.rodriguez@cgmrental.com.pe',1,0,null),</t>
  </si>
  <si>
    <t>(773,'P70175057','','',1,0,null),</t>
  </si>
  <si>
    <t>(774,'P44841695','','',1,0,null),</t>
  </si>
  <si>
    <t>(775,'P72427914','','daniel.guillen@cgmrental.com.pe',1,0,null),</t>
  </si>
  <si>
    <t>(778,'P72480766','','',1,0,null),</t>
  </si>
  <si>
    <t>(782,'','','',1,0,null),</t>
  </si>
  <si>
    <t>(783,'','','',1,0,null),</t>
  </si>
  <si>
    <t>(784,'P76216049','','',1,0,null),</t>
  </si>
  <si>
    <t>(788,'','','jose.solano@cgmrental.com.pe',1,0,null),</t>
  </si>
  <si>
    <t>(3,'','','ivan.espinoza@cgmrental.com.pe',0,1,'2022-08-31'),</t>
  </si>
  <si>
    <t>(23,'','','',0,1,'2023-02-28'),</t>
  </si>
  <si>
    <t>(25,'','','',0,1,'2023-05-08'),</t>
  </si>
  <si>
    <t>(27,'P76133723','','',0,1,'2025-08-15'),</t>
  </si>
  <si>
    <t>(30,'P45074623','','david.pacheco@cgmrental.com.pe',0,1,'2024-12-13'),</t>
  </si>
  <si>
    <t>(32,'','','',0,1,'2023-07-10'),</t>
  </si>
  <si>
    <t>(33,'','','',0,1,'2023-01-23'),</t>
  </si>
  <si>
    <t>(34,'','','',0,1,'2022-12-07'),</t>
  </si>
  <si>
    <t>(36,'P45425144','','wilberth.castro@cgmrental.com.pe',0,1,'2024-09-30'),</t>
  </si>
  <si>
    <t>(43,'P45179398','','eduar.zafra@cgmrental.com.pe',0,1,'2025-01-31'),</t>
  </si>
  <si>
    <t>(44,'','','',0,1,'2023-01-20'),</t>
  </si>
  <si>
    <t>(45,'','','',0,1,'2022-10-15'),</t>
  </si>
  <si>
    <t>(46,'','','',0,1,'2023-01-25'),</t>
  </si>
  <si>
    <t>(47,'P42833884','','jesus.velasquez@cgmrental.com.pe',0,1,'2025-07-31'),</t>
  </si>
  <si>
    <t>(50,'P43981457','','oswaldo.camero@cgmrental.com.pe',0,1,'2024-09-30'),</t>
  </si>
  <si>
    <t>(53,'','','',0,1,'2023-01-11'),</t>
  </si>
  <si>
    <t>(55,'','','',0,1,'2022-08-01'),</t>
  </si>
  <si>
    <t>(57,'','','',0,1,'2022-05-16'),</t>
  </si>
  <si>
    <t>(58,'','','',0,1,'2023-07-31'),</t>
  </si>
  <si>
    <t>(59,'','','',0,1,'2023-02-28'),</t>
  </si>
  <si>
    <t>(60,'','','',0,1,'2023-06-30'),</t>
  </si>
  <si>
    <t>(63,'P70769042','','',0,1,'2024-12-26'),</t>
  </si>
  <si>
    <t>(65,'P47572724','','',0,1,'2024-07-31'),</t>
  </si>
  <si>
    <t>(66,'P42125009','','',0,1,'2025-11-30'),</t>
  </si>
  <si>
    <t>(69,'P45474604','','',0,1,'2025-07-16'),</t>
  </si>
  <si>
    <t>(70,'','','',0,1,'2022-07-05'),</t>
  </si>
  <si>
    <t>(71,'P46318494','','adriano.villegas@cgmrental.com.pe',0,1,'2024-09-30'),</t>
  </si>
  <si>
    <t>(75,'','','',0,1,'2022-12-12'),</t>
  </si>
  <si>
    <t>(77,'','','',0,1,'2022-07-22'),</t>
  </si>
  <si>
    <t>(80,'','','',0,1,'2023-09-30'),</t>
  </si>
  <si>
    <t>(84,'','','',0,1,'2022-07-31'),</t>
  </si>
  <si>
    <t>(85,'','','',0,1,'2022-12-31'),</t>
  </si>
  <si>
    <t>(87,'P70007778','','alejandro.regente@cgmrental.com.pe',0,1,'2024-09-10'),</t>
  </si>
  <si>
    <t>(88,'P09453884','','',0,1,'2024-05-10'),</t>
  </si>
  <si>
    <t>(90,'','','',0,1,'2022-06-30'),</t>
  </si>
  <si>
    <t>(91,'','','',0,1,'2022-05-31'),</t>
  </si>
  <si>
    <t>(92,'P43647429','','',0,1,'2024-12-31'),</t>
  </si>
  <si>
    <t>(93,'','','',0,1,'2022-05-27'),</t>
  </si>
  <si>
    <t>(100,'P47428228','','',0,1,'2024-05-17'),</t>
  </si>
  <si>
    <t>(102,'','','',0,1,'2023-04-07'),</t>
  </si>
  <si>
    <t>(103,'','','',0,1,'2022-06-30'),</t>
  </si>
  <si>
    <t>(104,'','','',0,1,'2023-11-13'),</t>
  </si>
  <si>
    <t>(110,'','','',0,1,'2023-06-13'),</t>
  </si>
  <si>
    <t>(112,'','','',0,1,'2022-05-06'),</t>
  </si>
  <si>
    <t>(113,'','','',0,1,'2022-07-15'),</t>
  </si>
  <si>
    <t>(114,'','','',0,1,'2023-12-31'),</t>
  </si>
  <si>
    <t>(116,'','','',0,1,'2022-04-24'),</t>
  </si>
  <si>
    <t>(117,'','','',0,1,'2023-02-28'),</t>
  </si>
  <si>
    <t>(119,'P73502260','','',0,1,'2025-01-15'),</t>
  </si>
  <si>
    <t>(120,'P70552546','','',0,1,'2025-07-31'),</t>
  </si>
  <si>
    <t>(121,'P04241403','','',0,1,'2024-10-27'),</t>
  </si>
  <si>
    <t>(122,'P75016878','','',0,1,'2025-04-29'),</t>
  </si>
  <si>
    <t>(123,'','','',0,1,'2023-11-30'),</t>
  </si>
  <si>
    <t>(124,'','','',0,1,'2023-08-01'),</t>
  </si>
  <si>
    <t>(126,'','','',0,1,'2023-06-02'),</t>
  </si>
  <si>
    <t>(127,'P72740073','','',0,1,'2024-09-30'),</t>
  </si>
  <si>
    <t>(132,'','','',0,1,'2022-07-31'),</t>
  </si>
  <si>
    <t>(133,'P76426942','','',0,1,'2023-06-30'),</t>
  </si>
  <si>
    <t>(134,'','','',0,1,'2022-07-31'),</t>
  </si>
  <si>
    <t>(137,'','','',0,1,'2023-08-24'),</t>
  </si>
  <si>
    <t>(140,'P76230595','','humberto.diaz@cgmrental.com.pe',0,1,'2023-09-30'),</t>
  </si>
  <si>
    <t>(141,'','','',0,1,'2023-06-30'),</t>
  </si>
  <si>
    <t>(142,'','','',0,1,'2022-06-30'),</t>
  </si>
  <si>
    <t>(143,'P47656233','','dante.johanson@cgmrental.com.pe',0,1,'2025-06-24'),</t>
  </si>
  <si>
    <t>(144,'','','',0,1,'2022-12-10'),</t>
  </si>
  <si>
    <t>(145,'','','',0,1,'2022-10-24'),</t>
  </si>
  <si>
    <t>(149,'','','',0,1,'2023-06-16'),</t>
  </si>
  <si>
    <t>(151,'','','',0,1,'2022-07-22'),</t>
  </si>
  <si>
    <t>(153,'','','',0,1,'2023-05-31'),</t>
  </si>
  <si>
    <t>(155,'','','',0,1,'2023-10-05'),</t>
  </si>
  <si>
    <t>(156,'','','',0,1,'2022-06-30'),</t>
  </si>
  <si>
    <t>(158,'','','',0,1,'2023-10-13'),</t>
  </si>
  <si>
    <t>(162,'','','',0,1,'2022-09-30'),</t>
  </si>
  <si>
    <t>(165,'','','',0,1,'2022-11-30'),</t>
  </si>
  <si>
    <t>(166,'','','',0,1,'2023-11-10'),</t>
  </si>
  <si>
    <t>(167,'','','',0,1,'2022-07-16'),</t>
  </si>
  <si>
    <t>(168,'','','',0,1,'2022-10-10'),</t>
  </si>
  <si>
    <t>(170,'','','',0,1,'2022-10-31'),</t>
  </si>
  <si>
    <t>(174,'P75769849','','',0,1,'2025-01-31'),</t>
  </si>
  <si>
    <t>(176,'','','',0,1,'2022-04-24'),</t>
  </si>
  <si>
    <t>(178,'','','',0,1,'2022-04-17'),</t>
  </si>
  <si>
    <t>(180,'','','',0,1,'2022-09-02'),</t>
  </si>
  <si>
    <t>(181,'','','',0,1,'2022-07-07'),</t>
  </si>
  <si>
    <t>(182,'','','',0,1,'2023-04-30'),</t>
  </si>
  <si>
    <t>(184,'','','',0,1,'2023-08-31'),</t>
  </si>
  <si>
    <t>(185,'','','',0,1,'2022-08-12'),</t>
  </si>
  <si>
    <t>(186,'','','',0,1,'2022-11-30'),</t>
  </si>
  <si>
    <t>(188,'','','',0,1,'2022-12-26'),</t>
  </si>
  <si>
    <t>(189,'','','',0,1,'2022-07-22'),</t>
  </si>
  <si>
    <t>(190,'','','',0,1,'2023-02-23'),</t>
  </si>
  <si>
    <t>(191,'P45578309','','edison.gil@cgmrental.com.pe',0,1,'2025-05-31'),</t>
  </si>
  <si>
    <t>(194,'','','',0,1,'2022-07-31'),</t>
  </si>
  <si>
    <t>(196,'','','',0,1,'2023-11-15'),</t>
  </si>
  <si>
    <t>(201,'','','',0,1,'2024-02-13'),</t>
  </si>
  <si>
    <t>(202,'','','',0,1,'2022-10-31'),</t>
  </si>
  <si>
    <t>(203,'','','',0,1,'2022-07-15'),</t>
  </si>
  <si>
    <t>(204,'','','',0,1,'2023-11-30'),</t>
  </si>
  <si>
    <t>(205,'P73657196','','',0,1,'2025-05-31'),</t>
  </si>
  <si>
    <t>(206,'','','',0,1,'2022-08-31'),</t>
  </si>
  <si>
    <t>(209,'','','',0,1,'2022-07-31'),</t>
  </si>
  <si>
    <t>(210,'','','',0,1,'2022-09-02'),</t>
  </si>
  <si>
    <t>(211,'','','',0,1,'2022-08-31'),</t>
  </si>
  <si>
    <t>(214,'P72716005','','boris.soto@cgmrental.com.pe',0,1,'2025-09-07'),</t>
  </si>
  <si>
    <t>(215,'','','',0,1,'2022-12-01'),</t>
  </si>
  <si>
    <t>(218,'','','',0,1,'2023-05-31'),</t>
  </si>
  <si>
    <t>(219,'','','',0,1,'2023-05-05'),</t>
  </si>
  <si>
    <t>(220,'','','',0,1,'2023-03-31'),</t>
  </si>
  <si>
    <t>(221,'P41270434','','',0,1,'2025-03-06'),</t>
  </si>
  <si>
    <t>(224,'P47655661','','',0,1,'2025-01-12'),</t>
  </si>
  <si>
    <t>(227,'','','',0,1,'2023-10-02'),</t>
  </si>
  <si>
    <t>(228,'P74222776','','lariza.duran@cgmrental.com.pe',0,1,'2024-06-30'),</t>
  </si>
  <si>
    <t>(229,'','','',0,1,'2023-02-28'),</t>
  </si>
  <si>
    <t>(230,'','','',0,1,'2022-10-05'),</t>
  </si>
  <si>
    <t>(231,'','','',0,1,'2022-09-21'),</t>
  </si>
  <si>
    <t>(232,'P48452548','','gary.vargas@cgmrental.com.pe',0,1,'2024-09-30'),</t>
  </si>
  <si>
    <t>(233,'','','',0,1,'2023-03-07'),</t>
  </si>
  <si>
    <t>(235,'P44266624','','',0,1,'2025-03-31'),</t>
  </si>
  <si>
    <t>(236,'','','',0,1,'2022-10-28'),</t>
  </si>
  <si>
    <t>(237,'','','',0,1,'2023-07-14'),</t>
  </si>
  <si>
    <t>(239,'','','',0,1,'2023-11-10'),</t>
  </si>
  <si>
    <t>(241,'P76446197','','',0,1,'2025-01-31'),</t>
  </si>
  <si>
    <t>(242,'P46191773','','',0,1,'2024-08-31'),</t>
  </si>
  <si>
    <t>(243,'','','',0,1,'2022-12-31'),</t>
  </si>
  <si>
    <t>(245,'P47457409','','',0,1,'2025-05-07'),</t>
  </si>
  <si>
    <t>(246,'','','',0,1,'2022-12-31'),</t>
  </si>
  <si>
    <t>(253,'','','',0,1,'2023-06-16'),</t>
  </si>
  <si>
    <t>(255,'','','',0,1,'2022-12-28'),</t>
  </si>
  <si>
    <t>(256,'','','',0,1,'2023-01-06'),</t>
  </si>
  <si>
    <t>(257,'','','',0,1,'2023-05-09'),</t>
  </si>
  <si>
    <t>(259,'','','',0,1,'2023-05-31'),</t>
  </si>
  <si>
    <t>(261,'','','',0,1,'2023-07-14'),</t>
  </si>
  <si>
    <t>(262,'','','',0,1,'2023-01-19'),</t>
  </si>
  <si>
    <t>(265,'','','',0,1,'2022-11-25'),</t>
  </si>
  <si>
    <t>(267,'','','',0,1,'2023-08-31'),</t>
  </si>
  <si>
    <t>(268,'P43730049','','',0,1,'2025-07-31'),</t>
  </si>
  <si>
    <t>(271,'','','',0,1,'2023-10-01'),</t>
  </si>
  <si>
    <t>(273,'','','',0,1,'2023-05-25'),</t>
  </si>
  <si>
    <t>(274,'','','',0,1,'2023-04-14'),</t>
  </si>
  <si>
    <t>(275,'','','',0,1,'2023-06-30'),</t>
  </si>
  <si>
    <t>(276,'','','',0,1,'2023-05-03'),</t>
  </si>
  <si>
    <t>(278,'','','',0,1,'2023-01-20'),</t>
  </si>
  <si>
    <t>(281,'','','',0,1,'2023-02-10'),</t>
  </si>
  <si>
    <t>(283,'','','',0,1,'2023-09-30'),</t>
  </si>
  <si>
    <t>(284,'','','joshua.aguirre@cgmrental.com.pe',0,1,'2024-04-15'),</t>
  </si>
  <si>
    <t>(285,'P45537435','','',0,1,'2025-10-03'),</t>
  </si>
  <si>
    <t>(286,'','','',0,1,'2023-02-28'),</t>
  </si>
  <si>
    <t>(291,'P43059578','','',0,1,'2025-03-10'),</t>
  </si>
  <si>
    <t>(293,'','','',0,1,'2023-05-31'),</t>
  </si>
  <si>
    <t>(294,'','','',0,1,'2023-06-02'),</t>
  </si>
  <si>
    <t>(295,'P47451933','','',0,1,'2025-10-31'),</t>
  </si>
  <si>
    <t>(296,'P71058513','','',0,1,'2024-07-15'),</t>
  </si>
  <si>
    <t>(297,'','','melany.palomino@cgmrental.com.pe',0,1,'2024-01-29'),</t>
  </si>
  <si>
    <t>(298,'P76268409','','',0,1,'2024-05-31'),</t>
  </si>
  <si>
    <t>(301,'','','',0,1,'2023-09-04'),</t>
  </si>
  <si>
    <t>(302,'','','',0,1,'2023-06-09'),</t>
  </si>
  <si>
    <t>(303,'P77322869','','ronald.riva@cgmrental.com.pe',0,1,'2025-09-30'),</t>
  </si>
  <si>
    <t>(306,'','','',0,1,'2023-03-31'),</t>
  </si>
  <si>
    <t>(307,'','','',0,1,'2023-03-28'),</t>
  </si>
  <si>
    <t>(308,'','','',0,1,'2023-05-19'),</t>
  </si>
  <si>
    <t>(310,'P70310250','','martin.ticona@cgmrental.com.pe',0,1,'2025-08-31'),</t>
  </si>
  <si>
    <t>(311,'P72421032','','',0,1,'2024-11-09'),</t>
  </si>
  <si>
    <t>(312,'','','',0,1,'2023-09-30'),</t>
  </si>
  <si>
    <t>(316,'','','',0,1,'2023-05-31'),</t>
  </si>
  <si>
    <t>(317,'P45437518','','',0,1,'2025-08-31'),</t>
  </si>
  <si>
    <t>(318,'','','',0,1,'2023-06-16'),</t>
  </si>
  <si>
    <t>(319,'','','',0,1,'2023-07-09'),</t>
  </si>
  <si>
    <t>(320,'','','',0,1,'2023-04-28'),</t>
  </si>
  <si>
    <t>(323,'P77079421','','',0,1,'2024-07-14'),</t>
  </si>
  <si>
    <t>(324,'','','',0,1,'2023-09-30'),</t>
  </si>
  <si>
    <t>(326,'P75772572','','',0,1,'2024-09-30'),</t>
  </si>
  <si>
    <t>(329,'P41426563','','',0,1,'2024-08-30'),</t>
  </si>
  <si>
    <t>(331,'','','',0,1,'2023-10-06'),</t>
  </si>
  <si>
    <t>(333,'','','',0,1,'2023-06-30'),</t>
  </si>
  <si>
    <t>(334,'','','',0,1,'2023-10-20'),</t>
  </si>
  <si>
    <t>(335,'','','',0,1,'2023-06-30'),</t>
  </si>
  <si>
    <t>(336,'','','',0,1,'2024-02-15'),</t>
  </si>
  <si>
    <t>(337,'','','',0,1,'2024-01-30'),</t>
  </si>
  <si>
    <t>(339,'P72078930','','',0,1,'2025-09-30'),</t>
  </si>
  <si>
    <t>(341,'P72695581','','',0,1,'2025-03-31'),</t>
  </si>
  <si>
    <t>(342,'P47070271','','',0,1,'2024-07-04'),</t>
  </si>
  <si>
    <t>(343,'P46972995','','',0,1,'2025-05-15'),</t>
  </si>
  <si>
    <t>(344,'','','',0,1,'2023-08-01'),</t>
  </si>
  <si>
    <t>(345,'P71273363','','',0,1,'2024-06-05'),</t>
  </si>
  <si>
    <t>(347,'','','yesenia.carrion@cgmrental.com.pe',0,1,'2023-08-21'),</t>
  </si>
  <si>
    <t>(348,'P77464584','','',0,1,'2024-05-28'),</t>
  </si>
  <si>
    <t>(349,'','','',0,1,'2023-12-12'),</t>
  </si>
  <si>
    <t>(350,'','','',0,1,'2023-06-26'),</t>
  </si>
  <si>
    <t>(351,'P31660729','','',0,1,'2025-06-30'),</t>
  </si>
  <si>
    <t>(352,'','','',0,1,'2023-08-02'),</t>
  </si>
  <si>
    <t>(354,'P41845226','','',0,1,'2025-04-30'),</t>
  </si>
  <si>
    <t>(355,'','','',0,1,'2023-07-18'),</t>
  </si>
  <si>
    <t>(356,'','','',0,1,'2023-11-15'),</t>
  </si>
  <si>
    <t>(358,'P70614423','','',0,1,'2024-10-10'),</t>
  </si>
  <si>
    <t>(359,'','','',0,1,'2023-08-02'),</t>
  </si>
  <si>
    <t>(360,'','','',0,1,'2024-04-30'),</t>
  </si>
  <si>
    <t>(361,'P71947894','','diego.silva@cgmrental.com.pe',0,1,'2024-12-03'),</t>
  </si>
  <si>
    <t>(362,'','','',0,1,'2023-08-01'),</t>
  </si>
  <si>
    <t>(364,'P71559045','','almacen.piura@cgmrental.com.pe',0,1,'2025-09-30'),</t>
  </si>
  <si>
    <t>(365,'P43953805','','',0,1,'2024-09-15'),</t>
  </si>
  <si>
    <t>(367,'P48472345','','',0,1,'2025-07-05'),</t>
  </si>
  <si>
    <t>(370,'P73023781','','',0,1,'2025-10-17'),</t>
  </si>
  <si>
    <t>(372,'','','',0,1,'2023-08-21'),</t>
  </si>
  <si>
    <t>(373,'','','',0,1,'2023-09-13'),</t>
  </si>
  <si>
    <t>(374,'P75603447','','michelle.boza@cgmrental.com.pe',0,1,'2024-02-29'),</t>
  </si>
  <si>
    <t>(376,'P72972650','','lisset.alvarado@cgmrental.com.pe',0,1,'2025-04-06'),</t>
  </si>
  <si>
    <t>(377,'P70089249','','',0,1,'2024-08-04'),</t>
  </si>
  <si>
    <t>(379,'','','',0,1,'2023-10-13'),</t>
  </si>
  <si>
    <t>(381,'','','',0,1,'2023-12-26'),</t>
  </si>
  <si>
    <t>(390,'P43891635','','',0,1,'2024-07-18'),</t>
  </si>
  <si>
    <t>(391,'P46644360','','',0,1,'2024-07-31'),</t>
  </si>
  <si>
    <t>(392,'P74709350','','cristhian.huayta@cgmrental.com.pe',0,1,'2025-11-09'),</t>
  </si>
  <si>
    <t>(393,'P46261892','','stivenson.barreto@cgmrental.com.pe',0,1,'2025-07-25'),</t>
  </si>
  <si>
    <t>(394,'P71406710','','alejandro.barrientos@cgmrental.com.pe',0,1,'2025-10-31'),</t>
  </si>
  <si>
    <t>(395,'','','',0,1,'2023-10-12'),</t>
  </si>
  <si>
    <t>(396,'','','jeremy.enriquez@cgmrental.com.pe',0,1,'2023-10-24'),</t>
  </si>
  <si>
    <t>(398,'P76132838','','',0,1,'2025-05-31'),</t>
  </si>
  <si>
    <t>(399,'P10619388','','makino.donayre@cgmrental.com.pe',0,1,'2024-08-13'),</t>
  </si>
  <si>
    <t>(400,'','','',0,1,'2024-01-10'),</t>
  </si>
  <si>
    <t>(401,'','','',0,1,'2023-11-15'),</t>
  </si>
  <si>
    <t>(402,'','','',0,1,'2023-11-30'),</t>
  </si>
  <si>
    <t>(403,'','','',0,1,'2023-10-27'),</t>
  </si>
  <si>
    <t>(404,'','','',0,1,'2023-11-14'),</t>
  </si>
  <si>
    <t>(405,'','','',0,1,'2024-01-31'),</t>
  </si>
  <si>
    <t>(406,'','','',0,1,'2023-11-03'),</t>
  </si>
  <si>
    <t>(408,'P70374534','','',0,1,'2024-06-17'),</t>
  </si>
  <si>
    <t>(409,'P72927180','','',0,1,'2024-07-31'),</t>
  </si>
  <si>
    <t>(411,'P77044901','','',0,1,'2025-07-04'),</t>
  </si>
  <si>
    <t>(413,'','','',0,1,'2024-03-27'),</t>
  </si>
  <si>
    <t>(417,'P70606772','','almacenarequipa@cgmrental.com.pe',0,1,'2024-10-31'),</t>
  </si>
  <si>
    <t>(418,'','','',0,1,'2024-01-18'),</t>
  </si>
  <si>
    <t>(419,'','','',0,1,'2023-11-24'),</t>
  </si>
  <si>
    <t>(422,'P71551235','','',0,1,'2024-05-31'),</t>
  </si>
  <si>
    <t>(423,'','','',0,1,'2024-03-31'),</t>
  </si>
  <si>
    <t>(425,'','','',0,1,'2024-02-20'),</t>
  </si>
  <si>
    <t>(427,'P73343818','','',0,1,'2024-06-30'),</t>
  </si>
  <si>
    <t>(428,'P72311204','','karla.mendizabal@cgmrental.com.pe',0,1,'2024-10-20'),</t>
  </si>
  <si>
    <t>(429,'P77170643','','',0,1,'2024-07-08'),</t>
  </si>
  <si>
    <t>(430,'P46108489','','junior.vasquez@cgmrental.com.pe',0,1,'2025-09-21'),</t>
  </si>
  <si>
    <t>(431,'P76416791','','',0,1,'2024-08-05'),</t>
  </si>
  <si>
    <t>(434,'P70076081','','',0,1,'2025-08-31'),</t>
  </si>
  <si>
    <t>(436,'','','',0,1,'2024-03-07'),</t>
  </si>
  <si>
    <t>(437,'P45479131','','',0,1,'2024-09-15'),</t>
  </si>
  <si>
    <t>(438,'P72232022','','',0,1,'2024-07-31'),</t>
  </si>
  <si>
    <t>(439,'P71784328','','erick.donaires@cgmrental.com.pe',0,1,'2025-06-17'),</t>
  </si>
  <si>
    <t>(440,'P74921567','','',0,1,'2024-08-21'),</t>
  </si>
  <si>
    <t>(444,'P72648353','','',0,1,'2024-09-27'),</t>
  </si>
  <si>
    <t>(446,'P43619384','','luis.garcia@cgmrental.com.pe',0,1,'2024-10-31'),</t>
  </si>
  <si>
    <t>(447,'P77247478','','',0,1,'2024-04-22'),</t>
  </si>
  <si>
    <t>(448,'P43712021','','',0,1,'2024-07-31'),</t>
  </si>
  <si>
    <t>(451,'P002722297','','',0,1,'2024-06-03'),</t>
  </si>
  <si>
    <t>(452,'P74918492','','',0,1,'2024-12-13'),</t>
  </si>
  <si>
    <t>(454,'P71130640','','jair.cervera@cgmrental.com.pe',0,1,'2024-09-10'),</t>
  </si>
  <si>
    <t>(455,'P45623052','','',0,1,'2024-05-16'),</t>
  </si>
  <si>
    <t>(456,'P76020998','','',0,1,'2024-06-30'),</t>
  </si>
  <si>
    <t>(458,'P71408090','','juan.bernal@cgmrental.com.pe',0,1,'2024-10-31'),</t>
  </si>
  <si>
    <t>(459,'P74454102','','',0,1,'2025-10-09'),</t>
  </si>
  <si>
    <t>(460,'P76188829','','luiyi.naupa@cgmrental.com.pe',0,1,'2025-11-07'),</t>
  </si>
  <si>
    <t>(461,'P60366107','','',0,1,'2025-09-30'),</t>
  </si>
  <si>
    <t>(462,'P71609476','','',0,1,'2025-09-11'),</t>
  </si>
  <si>
    <t>(463,'P45378459','','',0,1,'2024-07-26'),</t>
  </si>
  <si>
    <t>(464,'P45604218','','',0,1,'2024-07-05'),</t>
  </si>
  <si>
    <t>(467,'P71454271','','',0,1,'2024-05-04'),</t>
  </si>
  <si>
    <t>(471,'P46307581','','',0,1,'2025-02-28'),</t>
  </si>
  <si>
    <t>(472,'P42518856','','',0,1,'2024-10-31'),</t>
  </si>
  <si>
    <t>(475,'P46289372','','carlos.palpa@cgmrental.com.pe',0,1,'2025-09-30'),</t>
  </si>
  <si>
    <t>(476,'P76288697','','joe.briceno@cgmrental.com.pe',0,1,'2024-05-15'),</t>
  </si>
  <si>
    <t>(477,'P47611633','','',0,1,'2025-08-31'),</t>
  </si>
  <si>
    <t>(478,'P73950968','','manfredo.esparza@cgmrental.com.pe',0,1,'2025-08-08'),</t>
  </si>
  <si>
    <t>(479,'P72658018','','gonzalo.sequeiros@cgmrental.com.pe',0,1,'2025-09-05'),</t>
  </si>
  <si>
    <t>(481,'P48296768','','reparaciones@cgmrental.com.pe',0,1,'2025-01-16'),</t>
  </si>
  <si>
    <t>(482,'P46517298','','',0,1,'2024-08-31'),</t>
  </si>
  <si>
    <t>(483,'P75372788','','',0,1,'2024-09-23'),</t>
  </si>
  <si>
    <t>(485,'P74076555','','',0,1,'2025-05-31'),</t>
  </si>
  <si>
    <t>(486,'P70672081','','',0,1,'2024-11-30'),</t>
  </si>
  <si>
    <t>(487,'P48199133','','',0,1,'2024-09-20'),</t>
  </si>
  <si>
    <t>(488,'P47523374','','',0,1,'2025-05-31'),</t>
  </si>
  <si>
    <t>(490,'P10658461','','oscar.abanto@cgmrental.com.pe',0,1,'2024-10-31'),</t>
  </si>
  <si>
    <t>(491,'P46408032','','',0,1,'2025-04-22'),</t>
  </si>
  <si>
    <t>(492,'P76071088','','',0,1,'2025-05-31'),</t>
  </si>
  <si>
    <t>(493,'P76325541','','',0,1,'2025-03-31'),</t>
  </si>
  <si>
    <t>(496,'P76358177','','',0,1,'2025-05-14'),</t>
  </si>
  <si>
    <t>(497,'P48815828','','',0,1,'2025-05-26'),</t>
  </si>
  <si>
    <t>(500,'P74353371','','jose.cotrina@cgmrental.com.pe',0,1,'2025-09-14'),</t>
  </si>
  <si>
    <t>(502,'P75376042','','',0,1,'2024-07-31'),</t>
  </si>
  <si>
    <t>(504,'P72787702','','',0,1,'2025-05-31'),</t>
  </si>
  <si>
    <t>(505,'P75356666','','',0,1,'2025-08-31'),</t>
  </si>
  <si>
    <t>(507,'P43178070','','',0,1,'2025-11-30'),</t>
  </si>
  <si>
    <t>(508,'P73827830','','',0,1,'2025-11-13'),</t>
  </si>
  <si>
    <t>(509,'P75906040','','',0,1,'2024-08-02'),</t>
  </si>
  <si>
    <t>(512,'P76094299','','',0,1,'2025-08-07'),</t>
  </si>
  <si>
    <t>(513,'P71422135','','',0,1,'2024-10-31'),</t>
  </si>
  <si>
    <t>(514,'P75194230','','oneil.taboada@cgmrental.com.pe',0,1,'2025-09-14'),</t>
  </si>
  <si>
    <t>(515,'P75624024','','josein.moran@cgmrental.com.pe',0,1,'2024-10-25'),</t>
  </si>
  <si>
    <t>(516,'P09352258','','',0,1,'2025-08-31'),</t>
  </si>
  <si>
    <t>(517,'P71562449','','',0,1,'2024-10-20'),</t>
  </si>
  <si>
    <t>(519,'P75786199','','',0,1,'2025-07-14'),</t>
  </si>
  <si>
    <t>(520,'P72679808','','',0,1,'2024-08-30'),</t>
  </si>
  <si>
    <t>(521,'','','',0,1,'2023-01-16'),</t>
  </si>
  <si>
    <t>(522,'P74399395','','',0,1,'2024-09-30'),</t>
  </si>
  <si>
    <t>(523,'P74916186','','',0,1,'2024-10-31'),</t>
  </si>
  <si>
    <t>(524,'P70223136','','',0,1,'2024-08-22'),</t>
  </si>
  <si>
    <t>(527,'P46175611','','onesimo.zevallos@cgmrental.com.pe',0,1,'2025-07-03'),</t>
  </si>
  <si>
    <t>(529,'P73241393','','',0,1,'2025-08-06'),</t>
  </si>
  <si>
    <t>(530,'P76394474','','',0,1,'2025-08-31'),</t>
  </si>
  <si>
    <t>(531,'P46990198','','angielo.taboada@cgmrental.com.pe',0,1,'2025-08-31'),</t>
  </si>
  <si>
    <t>(532,'P71852973','','carlos.curitima@cgmrental.com.pe',0,1,'2024-12-31'),</t>
  </si>
  <si>
    <t>(536,'P44588683','','',0,1,'2025-10-31'),</t>
  </si>
  <si>
    <t>(537,'P01132879','','',0,1,'2024-09-14'),</t>
  </si>
  <si>
    <t>(539,'P45985777','','',0,1,'2025-02-28'),</t>
  </si>
  <si>
    <t>(540,'P75014226','','',0,1,'2025-09-30'),</t>
  </si>
  <si>
    <t>(541,'P76324526','','rolling.davila@cgmrental.com.pe',0,1,'2025-06-04'),</t>
  </si>
  <si>
    <t>(542,'P75723787','','',0,1,'2022-08-31'),</t>
  </si>
  <si>
    <t>(543,'P75780201','','',0,1,'2024-11-30'),</t>
  </si>
  <si>
    <t>(544,'P76281026','','',0,1,'2025-03-31'),</t>
  </si>
  <si>
    <t>(546,'P73545571','','',0,1,'2025-03-17'),</t>
  </si>
  <si>
    <t>(547,'P74933703','','',0,1,'2025-01-12'),</t>
  </si>
  <si>
    <t>(548,'P47131869','','',0,1,'2025-08-15'),</t>
  </si>
  <si>
    <t>(549,'P46540933','','yoshua.rodriguez@cgmrental.com.pe',0,1,'2025-03-12'),</t>
  </si>
  <si>
    <t>(551,'P72444272','','',0,1,'2025-10-15'),</t>
  </si>
  <si>
    <t>(552,'P75371915','','alvaro.orccotoma@cgmrental.com.pe',0,1,'2025-06-30'),</t>
  </si>
  <si>
    <t>(553,'P71968683','','',0,1,'2025-09-30'),</t>
  </si>
  <si>
    <t>(554,'P40449816','','',0,1,'2025-02-21'),</t>
  </si>
  <si>
    <t>(556,'P76298366','','',0,1,'2025-03-09'),</t>
  </si>
  <si>
    <t>(561,'P72623787','','jairo.suarez@cgmrental.com.pe',0,1,'2024-12-30'),</t>
  </si>
  <si>
    <t>(563,'P70059143','','',0,1,'2025-01-31'),</t>
  </si>
  <si>
    <t>(565,'P76024497','','nicolas.chipani@cgmrental.com.pe',0,1,'2025-09-19'),</t>
  </si>
  <si>
    <t>(569,'P46373209','','',0,1,'2025-02-28'),</t>
  </si>
  <si>
    <t>(570,'P72239673','','',0,1,'2025-08-31'),</t>
  </si>
  <si>
    <t>(571,'P10437468','','',0,1,'2025-05-18'),</t>
  </si>
  <si>
    <t>(574,'P76520327','','',0,1,'2025-02-19'),</t>
  </si>
  <si>
    <t>(575,'P48625968','','',0,1,'2025-08-31'),</t>
  </si>
  <si>
    <t>(576,'P75463985','','',0,1,'2025-02-11'),</t>
  </si>
  <si>
    <t>(577,'P72077777','','',0,1,'2025-02-24'),</t>
  </si>
  <si>
    <t>(580,'P70150642','','',0,1,'2025-07-16'),</t>
  </si>
  <si>
    <t>(581,'P42082774','','',0,1,'2024-11-29'),</t>
  </si>
  <si>
    <t>(586,'P71263711','','',0,1,'2025-11-30'),</t>
  </si>
  <si>
    <t>(591,'P77322414','','jesus.esqueche@cgmrental.com.pe',0,1,'2025-03-31'),</t>
  </si>
  <si>
    <t>(594,'P70387376','','bryan.huamani@cgmrental.com.pe',0,1,'2025-10-03'),</t>
  </si>
  <si>
    <t>(595,'P76360073','','bryan.pumasupa@cgmrental.com.pe',0,1,'2025-06-03'),</t>
  </si>
  <si>
    <t>(599,'P70262435','','',0,1,'2025-03-31'),</t>
  </si>
  <si>
    <t>(600,'P74171460','','',0,1,'2025-04-08'),</t>
  </si>
  <si>
    <t>(601,'P74093522','','',0,1,'2025-01-24'),</t>
  </si>
  <si>
    <t>(605,'P47290444','','',0,1,'2025-05-31'),</t>
  </si>
  <si>
    <t>(607,'P43680818','','',0,1,'2025-07-16'),</t>
  </si>
  <si>
    <t>(611,'P71854400','','',0,1,'2025-06-30'),</t>
  </si>
  <si>
    <t>(612,'P72776131','','',0,1,'2025-02-17'),</t>
  </si>
  <si>
    <t>(620,'P60960830','','',0,1,'2025-05-09'),</t>
  </si>
  <si>
    <t>(627,'P73123785','','',0,1,'2025-06-30'),</t>
  </si>
  <si>
    <t>(629,'P41619909','','luis.mendoza@cgmrental.com.pe',0,1,'2025-10-31'),</t>
  </si>
  <si>
    <t>(632,'P74900124','','',0,1,'2025-11-30'),</t>
  </si>
  <si>
    <t>(633,'P46582543','','',0,1,'2025-06-30'),</t>
  </si>
  <si>
    <t>(634,'P43163792','','',0,1,'2025-07-15'),</t>
  </si>
  <si>
    <t>(635,'P75553847','','',0,1,'2025-09-12'),</t>
  </si>
  <si>
    <t>(636,'P47573952','','',0,1,'2025-03-28'),</t>
  </si>
  <si>
    <t>(638,'P46852385','','',0,1,'2025-11-11'),</t>
  </si>
  <si>
    <t>(639,'P73900419','','',0,1,'2025-05-23'),</t>
  </si>
  <si>
    <t>(641,'P73353154','','',0,1,'2025-07-01'),</t>
  </si>
  <si>
    <t>(642,'P62356089','','',0,1,'2025-08-31'),</t>
  </si>
  <si>
    <t>(645,'P73122116','','carlos.paredes@cgmrental.com.pe',0,1,'2025-09-23'),</t>
  </si>
  <si>
    <t>(647,'P72792670','','',0,1,'2025-08-18'),</t>
  </si>
  <si>
    <t>(648,'P74490011','','',0,1,'2025-06-27'),</t>
  </si>
  <si>
    <t>(649,'P73508064','','',0,1,'2025-04-07'),</t>
  </si>
  <si>
    <t>(651,'P47497897','','',0,1,'2025-08-04'),</t>
  </si>
  <si>
    <t>(652,'P74641578','','',0,1,'2025-05-16'),</t>
  </si>
  <si>
    <t>(655,'P72316852','','',0,1,'2025-07-02'),</t>
  </si>
  <si>
    <t>(657,'P75357838','','alexander.urtecho@cgmrental.com.pe',0,1,'2025-07-17'),</t>
  </si>
  <si>
    <t>(659,'P71914391','','',0,1,'2025-07-10'),</t>
  </si>
  <si>
    <t>(664,'P74994958','','',0,1,'2025-05-09'),</t>
  </si>
  <si>
    <t>(665,'P00126496','','',0,1,'2025-08-31'),</t>
  </si>
  <si>
    <t>(668,'P10662442','','',0,1,'2025-08-31'),</t>
  </si>
  <si>
    <t>(669,'P74533802','','',0,1,'2025-11-20'),</t>
  </si>
  <si>
    <t>(670,'P76077072','','',0,1,'2025-07-31'),</t>
  </si>
  <si>
    <t>(671,'P77464512','','',0,1,'2025-05-31'),</t>
  </si>
  <si>
    <t>(672,'P73018898','','',0,1,'2025-09-12'),</t>
  </si>
  <si>
    <t>(674,'P48060004','','',0,1,'2025-07-15'),</t>
  </si>
  <si>
    <t>(675,'P61554809','','',0,1,'2025-10-11'),</t>
  </si>
  <si>
    <t>(679,'','','',0,1,'2022-08-31'),</t>
  </si>
  <si>
    <t>(680,'P76928637','','',0,1,'2022-12-31'),</t>
  </si>
  <si>
    <t>(682,'P70317411','','',0,1,'2025-08-31'),</t>
  </si>
  <si>
    <t>(683,'P72838897','','',0,1,'2025-11-30'),</t>
  </si>
  <si>
    <t>(684,'P44028454','','',0,1,'2025-07-15'),</t>
  </si>
  <si>
    <t>(685,'P76508212','','',0,1,'2025-07-23'),</t>
  </si>
  <si>
    <t>(690,'P75396403','','',0,1,'2025-09-15'),</t>
  </si>
  <si>
    <t>(691,'P76188068','','luis.capcha@cgmrental.com.pe',0,1,'2025-08-15'),</t>
  </si>
  <si>
    <t>(695,'P70093793','','',0,1,'2025-06-30'),</t>
  </si>
  <si>
    <t>(701,'P75391800','','julio.seminario@cgmrental.com.pe',0,1,'2025-10-31'),</t>
  </si>
  <si>
    <t>(737,'P74459980','','juan.castaneda@cgmrental.com.pe',0,1,'2025-11-30'),</t>
  </si>
  <si>
    <t>(6,'P46883112','','hendrik.casimiro@cgmrental.com.pe',1,0,null),</t>
  </si>
  <si>
    <t>(8,'P45334525','','',1,0,null),</t>
  </si>
  <si>
    <t>(9,'P10584323','','',1,0,null),</t>
  </si>
  <si>
    <t>(10,'P70275363','','francisco.arellano@cgmrental.com.pe',1,0,null),</t>
  </si>
  <si>
    <t>(11,'P44302299','','jairo.yalta@cgmrental.com.pe',1,0,null),</t>
  </si>
  <si>
    <t>(12,'P44104581','','gianfranco.escobar@cgmrental.com.pe',1,0,null),</t>
  </si>
  <si>
    <t>(13,'P47127763','','pablo.lopez@cgmrental.com.pe',1,0,null),</t>
  </si>
  <si>
    <t>(16,'P44034238','','nestor.gonzales@cgmrental.com.pe',1,0,null),</t>
  </si>
  <si>
    <t>(17,'P30961957','','felix.palomino@cgmrental.com.pe',1,0,null),</t>
  </si>
  <si>
    <t>(18,'P72455553','','richard.ormeno@cgmrental.com.pe',1,0,null),</t>
  </si>
  <si>
    <t>(20,'P46327447','','norman.diaz@cgmrental.com.pe',1,0,null),</t>
  </si>
  <si>
    <t>(28,'P77336191','','jose.fernandez@cgmrental.com.pe',1,0,null),</t>
  </si>
  <si>
    <t>(31,'P43509339','','ronald.garcia@cgmrental.com.pe',1,0,null),</t>
  </si>
  <si>
    <t>(35,'P42084403','','',1,0,null),</t>
  </si>
  <si>
    <t>(41,'P44816214','','luis.quispe@cgmrental.com.pe',1,0,null),</t>
  </si>
  <si>
    <t>(48,'P47410866','','jimmy.ramirez@cgmrental.com.pe',1,0,null),</t>
  </si>
  <si>
    <t>(52,'P40175811','','alvaro.lazaro@cgmrental.com.pe',1,0,null),</t>
  </si>
  <si>
    <t>(62,'P43992903','','luis.vargas@cgmrental.com.pe',1,0,null),</t>
  </si>
  <si>
    <t>(64,'P70382600','','',1,0,null),</t>
  </si>
  <si>
    <t>(68,'P71798473','','renso.torres@cgmrental.com.pe',1,0,null),</t>
  </si>
  <si>
    <t>(72,'P46516101','','',1,0,null),</t>
  </si>
  <si>
    <t>(74,'P41665508','','',1,0,null),</t>
  </si>
  <si>
    <t>(76,'P44028555','','cesar.tejada@cgmrental.com.pe',1,0,null),</t>
  </si>
  <si>
    <t>(81,'P71064014','','',1,0,null),</t>
  </si>
  <si>
    <t>(82,'P09588243','','',1,0,null),</t>
  </si>
  <si>
    <t>(83,'P40045076','','',1,0,null),</t>
  </si>
  <si>
    <t>(86,'P46858365','','carlos.condori@cgmrental.com.pe',1,0,null),</t>
  </si>
  <si>
    <t>(94,'P73998900','','paulo.gonzales@cgmrental.com.pe',1,0,null),</t>
  </si>
  <si>
    <t>(95,'P42288612','','luis.chuctaya@cgmrental.com.pe',1,0,null),</t>
  </si>
  <si>
    <t>(96,'P45750382','','',1,0,null),</t>
  </si>
  <si>
    <t>(97,'P77702643','','',1,0,null),</t>
  </si>
  <si>
    <t>(98,'P43977839','','',1,0,null),</t>
  </si>
  <si>
    <t>(107,'P40620193','','alfredo.arata@cgmrental.com.pe',1,0,null),</t>
  </si>
  <si>
    <t>(108,'P44172777','','',1,0,null),</t>
  </si>
  <si>
    <t>(109,'P45394921','','',1,0,null),</t>
  </si>
  <si>
    <t>(111,'P10185224','','',1,0,null),</t>
  </si>
  <si>
    <t>(118,'P73450457','','',1,0,null),</t>
  </si>
  <si>
    <t>(125,'P70361712','','',1,0,null),</t>
  </si>
  <si>
    <t>(128,'P77388799','','',1,0,null),</t>
  </si>
  <si>
    <t>(129,'P75361118','','',1,0,null),</t>
  </si>
  <si>
    <t>(130,'P72965459','','',1,0,null),</t>
  </si>
  <si>
    <t>(135,'P41485942','','moises.crispin@cgmrental.com.pe',1,0,null),</t>
  </si>
  <si>
    <t>(136,'P41319593','','',1,0,null),</t>
  </si>
  <si>
    <t>(138,'P41828065','','',1,0,null),</t>
  </si>
  <si>
    <t>(146,'P74722282','','',1,0,null),</t>
  </si>
  <si>
    <t>(147,'P45565399','','',1,0,null),</t>
  </si>
  <si>
    <t>(150,'P70853768','','',1,0,null),</t>
  </si>
  <si>
    <t>(152,'P45481705','','',1,0,null),</t>
  </si>
  <si>
    <t>(154,'P43189984','','',1,0,null),</t>
  </si>
  <si>
    <t>(157,'P45830353','','',1,0,null),</t>
  </si>
  <si>
    <t>(160,'P77709159','','olgher.avila@cgmrental.com.pe',1,0,null),</t>
  </si>
  <si>
    <t>(163,'P72451846','','jonathan.quiroga@cgmrental.com.pe',1,0,null),</t>
  </si>
  <si>
    <t>(171,'P73301250','','',1,0,null),</t>
  </si>
  <si>
    <t>(173,'P48271514','','',1,0,null),</t>
  </si>
  <si>
    <t>(175,'P47768861','','luis.jimenez@cgmrental.com.pe',1,0,null),</t>
  </si>
  <si>
    <t>(187,'P75795555','','keneth.huacho@cgmrental.com.pe',1,0,null),</t>
  </si>
  <si>
    <t>(192,'P43168092','','',1,0,null),</t>
  </si>
  <si>
    <t>(193,'P46061615','','',1,0,null),</t>
  </si>
  <si>
    <t>(195,'P74486441','','',1,0,null),</t>
  </si>
  <si>
    <t>(197,'P40507733','','',1,0,null),</t>
  </si>
  <si>
    <t>(199,'P45642738','','',1,0,null),</t>
  </si>
  <si>
    <t>(207,'P75480374','','',1,0,null),</t>
  </si>
  <si>
    <t>(208,'P77342445','','',1,0,null),</t>
  </si>
  <si>
    <t>(216,'P74977152','','',1,0,null),</t>
  </si>
  <si>
    <t>(222,'P42235256','','',1,0,null),</t>
  </si>
  <si>
    <t>(225,'P47699213','','',1,0,null),</t>
  </si>
  <si>
    <t>(226,'P47131003','','franck.garcia@cgmrental.com.pe',1,0,null),</t>
  </si>
  <si>
    <t>(234,'P72071966','','',1,0,null),</t>
  </si>
  <si>
    <t>(238,'P72174599','','',1,0,null),</t>
  </si>
  <si>
    <t>(244,'P71820983','','jorge.arbulu@cgmrental.com.pe',1,0,null),</t>
  </si>
  <si>
    <t>(250,'P29707698','','',1,0,null),</t>
  </si>
  <si>
    <t>(252,'P74392543','','',1,0,null),</t>
  </si>
  <si>
    <t>(258,'P74736019','','',1,0,null),</t>
  </si>
  <si>
    <t>(264,'P72350986','','benjamin.fuentes@cgmrental.com.pe',1,0,null),</t>
  </si>
  <si>
    <t>(272,'P70004030','','marcelo.galarza@cgmrental.com.pe',1,0,null),</t>
  </si>
  <si>
    <t>(277,'P47014508','','duber.rufino@cgmrental.com.pe',1,0,null),</t>
  </si>
  <si>
    <t>(279,'P43102896','','',1,0,null),</t>
  </si>
  <si>
    <t>(282,'P70886051','','recepcion.despachotaller@cgmrental.com.pe',1,0,null),</t>
  </si>
  <si>
    <t>(287,'P70863546','','almacen.lurin@cgmrental.com.pe',1,0,null),</t>
  </si>
  <si>
    <t>(288,'P48065984','','alvaro.campana@cgmrental.com.pe',1,0,null),</t>
  </si>
  <si>
    <t>(292,'P47168662','','',1,0,null),</t>
  </si>
  <si>
    <t>(300,'P75616937','','alex.cruz@cgmrental.com.pe',1,0,null),</t>
  </si>
  <si>
    <t>(305,'P46307105','','',1,0,null),</t>
  </si>
  <si>
    <t>(309,'P44353914','','jorge.olivera@cgmrental.com.pe',1,0,null),</t>
  </si>
  <si>
    <t>(314,'P73904623','','rocio.malpartida@cgmrental.com.pe',1,0,null),</t>
  </si>
  <si>
    <t>(315,'P02669479','','',1,0,null),</t>
  </si>
  <si>
    <t>(321,'P71262948','','',1,0,null),</t>
  </si>
  <si>
    <t>(322,'P71100059','','',1,0,null),</t>
  </si>
  <si>
    <t>(325,'P71100890','','aarom.arias@cgmrental.com.pe',1,0,null),</t>
  </si>
  <si>
    <t>(327,'P72497720','','',1,0,null),</t>
  </si>
  <si>
    <t>(340,'P43640136','','',1,0,null),</t>
  </si>
  <si>
    <t>(346,'P75953771','','emil.monasterio@cgmrental.com.pe',1,0,null),</t>
  </si>
  <si>
    <t>(353,'P45065815','','',1,0,null),</t>
  </si>
  <si>
    <t>(357,'P73677559','','',1,0,null),</t>
  </si>
  <si>
    <t>(363,'P75077177','','jeysa.anampa@cgmrental.com.pe',1,0,null),</t>
  </si>
  <si>
    <t>(366,'P74537175','','',1,0,null),</t>
  </si>
  <si>
    <t>(368,'P46863497','','saul.guzman@cgmrental.com.pe',1,0,null),</t>
  </si>
  <si>
    <t>(369,'P70525631','','',1,0,null),</t>
  </si>
  <si>
    <t>(375,'P46454427','','fiorella.diaz@cgmrental.com.pe',1,0,null),</t>
  </si>
  <si>
    <t>(378,'P46873623','','',1,0,null),</t>
  </si>
  <si>
    <t>(380,'P74741450','','almacen.lurin2@cgmrental.com.pe',1,0,null),</t>
  </si>
  <si>
    <t>(382,'P70905553','','',1,0,null),</t>
  </si>
  <si>
    <t>(383,'P72249466','','',1,0,null),</t>
  </si>
  <si>
    <t>(385,'P47722161','','',1,0,null),</t>
  </si>
  <si>
    <t>(386,'P80161226','','',1,0,null),</t>
  </si>
  <si>
    <t>(387,'P74214593','','',1,0,null),</t>
  </si>
  <si>
    <t>(388,'P44997375','','almacenarequipa@cgmrental.com.pe',1,0,null),</t>
  </si>
  <si>
    <t>(389,'P74619575','','',1,0,null),</t>
  </si>
  <si>
    <t>(397,'P41084310','','',1,0,null),</t>
  </si>
  <si>
    <t>(407,'P75822342','','jack.gonzales@cgmrental.com.pe',1,0,null),</t>
  </si>
  <si>
    <t>(410,'P72324165','','pablo.trujillo@cgmrental.com.pe',1,0,null),</t>
  </si>
  <si>
    <t>(412,'P72458686','','jeanpierre.huaman@cgmrental.com.pe',1,0,null),</t>
  </si>
  <si>
    <t>(414,'P42581486','','',1,0,null),</t>
  </si>
  <si>
    <t>(416,'P42174914','','',1,0,null),</t>
  </si>
  <si>
    <t>(420,'P74155632','','jesus.baldeon@cgmrental.com.pe',1,0,null),</t>
  </si>
  <si>
    <t>(421,'P43756480','','',1,0,null),</t>
  </si>
  <si>
    <t>(426,'P71466703','','manuel.castillo@cgmrental.com.pe',1,0,null),</t>
  </si>
  <si>
    <t>(432,'P46114690','','piero.paredes@cgmrental.com.pe',1,0,null),</t>
  </si>
  <si>
    <t>(433,'P42561414','','',1,0,null),</t>
  </si>
  <si>
    <t>(435,'P73330984','','',1,0,null),</t>
  </si>
  <si>
    <t>(442,'P74760141','','jose.valencia@cgmrental.com.pe',1,0,null),</t>
  </si>
  <si>
    <t>(445,'P74548781','','',1,0,null),</t>
  </si>
  <si>
    <t>(449,'P47773923','','',1,0,null),</t>
  </si>
  <si>
    <t>(450,'P47582930','','jhonatan.gastelu@cgmrental.com.pe',1,0,null),</t>
  </si>
  <si>
    <t>(453,'P40915333','','',1,0,null),</t>
  </si>
  <si>
    <t>(457,'P46395171','','piero.contreras@cgmrental.com.pe',1,0,null),</t>
  </si>
  <si>
    <t>(465,'P45852647','','',1,0,null),</t>
  </si>
  <si>
    <t>(466,'P72798525','','sebastian.garcia@cgmrental.com.pe',1,0,null),</t>
  </si>
  <si>
    <t>(468,'P70128963','','jose.arpita@cgmrental.com.pe',1,0,null),</t>
  </si>
  <si>
    <t>(469,'P41806439','','',1,0,null),</t>
  </si>
  <si>
    <t>(470,'P73356261','','',1,0,null),</t>
  </si>
  <si>
    <t>(473,'P71998375','','',1,0,null),</t>
  </si>
  <si>
    <t>(474,'P73276626','','',1,0,null),</t>
  </si>
  <si>
    <t>(480,'P74890052','','almacenarequipa@cgmrental.com.pe',1,0,null),</t>
  </si>
  <si>
    <t>(484,'P70872060','','ciro.perez@cgmrental.com.pe',1,0,null),</t>
  </si>
  <si>
    <t>(489,'P72003917','','',1,0,null),</t>
  </si>
  <si>
    <t>(494,'P46132586','','',1,0,null),</t>
  </si>
  <si>
    <t>(495,'P71829619','','',1,0,null),</t>
  </si>
  <si>
    <t>(498,'P73951423','',' almacencusco@cgmrental.com.pe',1,0,null),</t>
  </si>
  <si>
    <t>(499,'P41626088','','miriam.alcantara@cgmrental.com.pe',1,0,null),</t>
  </si>
  <si>
    <t>(501,'P70424598','','claudio.zambrano@cgmrental.com.pe',1,0,null),</t>
  </si>
  <si>
    <t>(503,'P73611035','','jhon.ames@cgmrental.com.pe',1,0,null),</t>
  </si>
  <si>
    <t>(506,'P48272761','','wilmer.machacuay@cgmrental.com.pe',1,0,null),</t>
  </si>
  <si>
    <t>(510,'P72521136','','carlos.pareja@cgmrental.com.pe',1,0,null),</t>
  </si>
  <si>
    <t>(511,'P72890158','','ronaldo.cabanillas@cgmrental.com.pe',1,0,null),</t>
  </si>
  <si>
    <t>(518,'P75157389','','merci.tirado@cgmrental.com.pe',1,0,null),</t>
  </si>
  <si>
    <t>(525,'P72713189','','samuel.rojas@cgmrental.com.pe',1,0,null),</t>
  </si>
  <si>
    <t>(526,'P77379199','','jose.tudelano@cgmrental.com.pe',1,0,null),</t>
  </si>
  <si>
    <t>(528,'P40597264','','',1,0,null),</t>
  </si>
  <si>
    <t>(533,'P44776015','','',1,0,null),</t>
  </si>
  <si>
    <t>(534,'P72210650','','luis.zapata@cgmrental.com.pe',1,0,null),</t>
  </si>
  <si>
    <t>(535,'P48087431','','elmer.huillcarimay@cgmrental.com.pe',1,0,null),</t>
  </si>
  <si>
    <t>(538,'P75416965','','',1,0,null),</t>
  </si>
  <si>
    <t>(550,'P76458055','','yordan.paredes@cgmrental.com.pe',1,0,null),</t>
  </si>
  <si>
    <t>(555,'P72573580','','raul.quispe@cgmrental.com.pe',1,0,null),</t>
  </si>
  <si>
    <t>(557,'P46829935','','obrian.alvarado@cgmrental.com.pe',1,0,null),</t>
  </si>
  <si>
    <t>(558,'P72439744','','alfredo.quintana@cgmrental.com.pe',1,0,null),</t>
  </si>
  <si>
    <t>(559,'P03504701','','johnny.pardo@cgmrental.com.pe',1,0,null),</t>
  </si>
  <si>
    <t>(560,'P75851927','','pablo.izaguirre@cgmrental.com.pe',1,0,null),</t>
  </si>
  <si>
    <t>(562,'P03691915','','',1,0,null),</t>
  </si>
  <si>
    <t>(566,'P72171923','','',1,0,null),</t>
  </si>
  <si>
    <t>(567,'P76064516','','',1,0,null),</t>
  </si>
  <si>
    <t>(568,'P80629335','','everlin.sanchez@cgmrental.com.pe',1,0,null),</t>
  </si>
  <si>
    <t>(572,'P46813942','','',1,0,null),</t>
  </si>
  <si>
    <t>(573,'P48847196','','',1,0,null),</t>
  </si>
  <si>
    <t>(578,'P74906452','','',1,0,null),</t>
  </si>
  <si>
    <t>(579,'P48106585','','eduardo.andia@cgmrental.com.pe',1,0,null),</t>
  </si>
  <si>
    <t>(582,'P70107379','','',1,0,null),</t>
  </si>
  <si>
    <t>(583,'P47430740','','',1,0,null),</t>
  </si>
  <si>
    <t>(584,'P44578227','','charly.reyes@cgmrental.com.pe',1,0,null),</t>
  </si>
  <si>
    <t>(585,'P43320571','','',1,0,null),</t>
  </si>
  <si>
    <t>(587,'P71435293','','mario.barrena@cgmrental.com.pe',1,0,null),</t>
  </si>
  <si>
    <t>(588,'P71696041','','andrea.candia@cgmrental.com.pe',1,0,null),</t>
  </si>
  <si>
    <t>(589,'P40877525','','',1,0,null),</t>
  </si>
  <si>
    <t>(590,'P76042289','','katherine.hurtado@cgmrental.com.pe',1,0,null),</t>
  </si>
  <si>
    <t>(592,'P70111572','','anthony.alarcon@cgmrental.com.pe',1,0,null),</t>
  </si>
  <si>
    <t>(593,'P72966796','','',1,0,null),</t>
  </si>
  <si>
    <t>(596,'P71985260','','',1,0,null),</t>
  </si>
  <si>
    <t>(597,'P42765233','','',1,0,null),</t>
  </si>
  <si>
    <t>(598,'P44454272','','',1,0,null),</t>
  </si>
  <si>
    <t>(603,'P42370205','','rex.huaman@cgmrental.com.pe',1,0,null),</t>
  </si>
  <si>
    <t>(604,'P75143039','','',1,0,null),</t>
  </si>
  <si>
    <t>(606,'P09603303','','jorge.vasquez@cgmrental.com.pe',1,0,null),</t>
  </si>
  <si>
    <t>(608,'P74700803','','',1,0,null),</t>
  </si>
  <si>
    <t>(609,'P21128474','','reparaciones@cgmrental.com.pe',1,0,null),</t>
  </si>
  <si>
    <t>(610,'P43004942','','xavier.garaycochea@cgmrental.com.pe',1,0,null),</t>
  </si>
  <si>
    <t>(614,'P47460943','','',1,0,null),</t>
  </si>
  <si>
    <t>(615,'P76815117','','',1,0,null),</t>
  </si>
  <si>
    <t>(616,'P62256198','','',1,0,null),</t>
  </si>
  <si>
    <t>(617,'P78720497','','luis.rosales@cgmrental.com.pe',1,0,null),</t>
  </si>
  <si>
    <t>(618,'P70313163','','cesar.toro@cgmrental.com.pe',1,0,null),</t>
  </si>
  <si>
    <t>(619,'P70622532','','',1,0,null),</t>
  </si>
  <si>
    <t>(621,'P09725249','','',1,0,null),</t>
  </si>
  <si>
    <t>(622,'P40353690','','willy.delgado@cgmrental.com.pe',1,0,null),</t>
  </si>
  <si>
    <t>(623,'P45459960','','david.ayala@cgmrental.com.pe',1,0,null),</t>
  </si>
  <si>
    <t>(624,'P72206132','','adrian.holguin@cgmrental.com.pe',1,0,null),</t>
  </si>
  <si>
    <t>(628,'P46885808','','',1,0,null),</t>
  </si>
  <si>
    <t>(630,'P76229793','','',1,0,null),</t>
  </si>
  <si>
    <t>(631,'P72043515','','',1,0,null),</t>
  </si>
  <si>
    <t>(637,'P74762529','','cynthia.mendoza@cgmrental.com.pe',1,0,null),</t>
  </si>
  <si>
    <t>(643,'P42785949','','alvaro.alfaro@cgmrental.com.pe',1,0,null),</t>
  </si>
  <si>
    <t>(644,'P46592096','','',1,0,null),</t>
  </si>
  <si>
    <t>(646,'P75428509','','',1,0,null),</t>
  </si>
  <si>
    <t>(650,'P71754097','','',1,0,null),</t>
  </si>
  <si>
    <t>(653,'P47054107','','',1,0,null),</t>
  </si>
  <si>
    <t>(654,'P73193399','','',1,0,null),</t>
  </si>
  <si>
    <t>(656,'P005905582','','',1,0,null),</t>
  </si>
  <si>
    <t>(658,'P73858226','','laura.roman@cgmrental.com.pe',1,0,null),</t>
  </si>
  <si>
    <t>(663,'P42013908','','',1,0,null),</t>
  </si>
  <si>
    <t>(666,'P72243976','','',1,0,null),</t>
  </si>
  <si>
    <t>(667,'P75081363','','',1,0,null),</t>
  </si>
  <si>
    <t>(676,'P76635820','','',1,0,null),</t>
  </si>
  <si>
    <t>(677,'P42738226','','',1,0,null),</t>
  </si>
  <si>
    <t>(678,'P76553052','','',1,0,null),</t>
  </si>
  <si>
    <t>(681,'P72223894','','francisco.huaman@cgmrental.com.pe',1,0,null),</t>
  </si>
  <si>
    <t>(686,'P46229768','','antonio.rios@cgmrental.com.pe',1,0,null),</t>
  </si>
  <si>
    <t>(687,'P72941031','','',1,0,null),</t>
  </si>
  <si>
    <t>(688,'P71085374','','',1,0,null),</t>
  </si>
  <si>
    <t>(689,'P75598100','','',1,0,null),</t>
  </si>
  <si>
    <t>(692,'P74737996','','',1,0,null),</t>
  </si>
  <si>
    <t>(693,'P77491958','','owenh.collazos@cgmrental.com.pe',1,0,null),</t>
  </si>
  <si>
    <t>(694,'P73527165','','',1,0,null),</t>
  </si>
  <si>
    <t>(696,'P72634536','','',1,0,null),</t>
  </si>
  <si>
    <t>(706,'P70218131','','jose.quincho@cgmrental.com.pe',1,0,null),</t>
  </si>
  <si>
    <t>(708,'P44921398','','',1,0,null),</t>
  </si>
  <si>
    <t>(715,'P41844387','','gilmer.minchola@cgmrental.com.pe',1,0,null),</t>
  </si>
  <si>
    <t>(721,'P42442494','','',1,0,null),</t>
  </si>
  <si>
    <t>(727,'P70836884','','emilio.gallo@cgmrental.com.pe',1,0,null),</t>
  </si>
  <si>
    <t>(736,'P70412935','','christian.montes@cgmrental.com.pe',1,0,null),</t>
  </si>
  <si>
    <t>(741,'P74618733','','',1,0,null),</t>
  </si>
  <si>
    <t>(748,'P40800480','','',1,0,null),</t>
  </si>
  <si>
    <t>(750,'P73759182','','',1,0,null),</t>
  </si>
  <si>
    <t>(776,'P72547482','','',1,0,null),</t>
  </si>
  <si>
    <t>(777,'P75697071','','',1,0,null),</t>
  </si>
  <si>
    <t>(779,'P42122588','','erick.oliva@cgmrental.com.pe',1,0,null),</t>
  </si>
  <si>
    <t>(780,'P71498135','','',1,0,null),</t>
  </si>
  <si>
    <t>(781,'P72863018','','',1,0,null),</t>
  </si>
  <si>
    <t>(785,'','','',1,0,null),</t>
  </si>
  <si>
    <t>(786,'','','',1,0,null),</t>
  </si>
  <si>
    <t>(787,'','','',1,0,null),</t>
  </si>
  <si>
    <t>CÓDIGO</t>
  </si>
  <si>
    <t>licencia_antivirus</t>
  </si>
  <si>
    <t>imei</t>
  </si>
  <si>
    <t>accion</t>
  </si>
  <si>
    <t>CGM-PH-001</t>
  </si>
  <si>
    <t>OCUPADO</t>
  </si>
  <si>
    <t>CGM-PH-002</t>
  </si>
  <si>
    <t>CGM-PH-003</t>
  </si>
  <si>
    <t>CGM-PH-004</t>
  </si>
  <si>
    <t>CGM-PH-005</t>
  </si>
  <si>
    <t>CGM-PH-006</t>
  </si>
  <si>
    <t>CGM-PH-007</t>
  </si>
  <si>
    <t>CGM-PH-008</t>
  </si>
  <si>
    <t>CGM-PH-009</t>
  </si>
  <si>
    <t>CGM-PH-010</t>
  </si>
  <si>
    <t>CGM-PH-011</t>
  </si>
  <si>
    <t>CGM-PH-012</t>
  </si>
  <si>
    <t>CGM-PH-013</t>
  </si>
  <si>
    <t>CGM-PH-014</t>
  </si>
  <si>
    <t>CGM-PH-015</t>
  </si>
  <si>
    <t>CGM-PH-016</t>
  </si>
  <si>
    <t>CGM-PH-017</t>
  </si>
  <si>
    <t>CGM-PH-018</t>
  </si>
  <si>
    <t>CGM-PH-019</t>
  </si>
  <si>
    <t>CGM-PH-020</t>
  </si>
  <si>
    <t>CGM-PH-021</t>
  </si>
  <si>
    <t>CGM-PH-022</t>
  </si>
  <si>
    <t>CGM-PH-023</t>
  </si>
  <si>
    <t>CGM-PH-024</t>
  </si>
  <si>
    <t>CGM-PH-025</t>
  </si>
  <si>
    <t>CGM-PH-026</t>
  </si>
  <si>
    <t>CGM-PH-027</t>
  </si>
  <si>
    <t>CGM-PH-028</t>
  </si>
  <si>
    <t>CGM-PH-029</t>
  </si>
  <si>
    <t>CGM-PH-030</t>
  </si>
  <si>
    <t>CGM-PH-031</t>
  </si>
  <si>
    <t>CGM-PH-032</t>
  </si>
  <si>
    <t>CGM-PH-033</t>
  </si>
  <si>
    <t>CGM-PH-034</t>
  </si>
  <si>
    <t>CGM-PH-035</t>
  </si>
  <si>
    <t>CGM-PH-036</t>
  </si>
  <si>
    <t>CGM-PH-037</t>
  </si>
  <si>
    <t>CGM-PH-038</t>
  </si>
  <si>
    <t>CGM-PH-039</t>
  </si>
  <si>
    <t>CGM-PH-040</t>
  </si>
  <si>
    <t>CGM-PH-041</t>
  </si>
  <si>
    <t>CGM-PH-042</t>
  </si>
  <si>
    <t>CGM-PH-043</t>
  </si>
  <si>
    <t>CGM-PH-044</t>
  </si>
  <si>
    <t>CGM-PH-045</t>
  </si>
  <si>
    <t>CGM-PH-046</t>
  </si>
  <si>
    <t>CGM-PH-047</t>
  </si>
  <si>
    <t>CGM-PH-048</t>
  </si>
  <si>
    <t>CGM-PH-049</t>
  </si>
  <si>
    <t>CGM-PH-050</t>
  </si>
  <si>
    <t>CGM-PH-051</t>
  </si>
  <si>
    <t>CGM-PH-052</t>
  </si>
  <si>
    <t>CGM-PH-053</t>
  </si>
  <si>
    <t>CGM-PH-054</t>
  </si>
  <si>
    <t>CGM-PH-055</t>
  </si>
  <si>
    <t>CGM-PH-056</t>
  </si>
  <si>
    <t>CGM-PH-057</t>
  </si>
  <si>
    <t>CGM-PH-058</t>
  </si>
  <si>
    <t>CGM-PH-059</t>
  </si>
  <si>
    <t>CGM-PH-060</t>
  </si>
  <si>
    <t>CGM-PH-061</t>
  </si>
  <si>
    <t>CGM-PH-062</t>
  </si>
  <si>
    <t>CGM-PH-063</t>
  </si>
  <si>
    <t>CGM-PH-064</t>
  </si>
  <si>
    <t>CGM-PH-065</t>
  </si>
  <si>
    <t>CGM-PH-066</t>
  </si>
  <si>
    <t>CGM-PH-067</t>
  </si>
  <si>
    <t>CGM-PH-068</t>
  </si>
  <si>
    <t>CGM-PH-069</t>
  </si>
  <si>
    <t>CGM-PH-070</t>
  </si>
  <si>
    <t>CGM-PH-071</t>
  </si>
  <si>
    <t>CGM-PH-072</t>
  </si>
  <si>
    <t>CGM-PH-073</t>
  </si>
  <si>
    <t>CGM-PH-074</t>
  </si>
  <si>
    <t>CGM-PH-075</t>
  </si>
  <si>
    <t>CGM-PH-076</t>
  </si>
  <si>
    <t>CGM-PH-077</t>
  </si>
  <si>
    <t>CGM-PH-078</t>
  </si>
  <si>
    <t>CGM-PH-079</t>
  </si>
  <si>
    <t>CGM-PH-080</t>
  </si>
  <si>
    <t>CGM-PH-081</t>
  </si>
  <si>
    <t>CGM-PH-082</t>
  </si>
  <si>
    <t>CGM-PH-083</t>
  </si>
  <si>
    <t>CGM-PH-084</t>
  </si>
  <si>
    <t>CGM-PH-085</t>
  </si>
  <si>
    <t>CGM-PH-086</t>
  </si>
  <si>
    <t>CGM-PH-087</t>
  </si>
  <si>
    <t>CGM-PH-088</t>
  </si>
  <si>
    <t>CGM-PH-089</t>
  </si>
  <si>
    <t>CGM-PH-090</t>
  </si>
  <si>
    <t>CGM-PH-091</t>
  </si>
  <si>
    <t>CGM-PH-092</t>
  </si>
  <si>
    <t>CGM-PH-093</t>
  </si>
  <si>
    <t>CGM-PH-094</t>
  </si>
  <si>
    <t>CGM-PH-095</t>
  </si>
  <si>
    <t>CGM-PH-096</t>
  </si>
  <si>
    <t>CGM-PH-097</t>
  </si>
  <si>
    <t>CGM-PH-098</t>
  </si>
  <si>
    <t>CGM-PH-099</t>
  </si>
  <si>
    <t>CGM-PH-100</t>
  </si>
  <si>
    <t>CGM-PH-101</t>
  </si>
  <si>
    <t>CGM-PH-102</t>
  </si>
  <si>
    <t>CGM-PH-103</t>
  </si>
  <si>
    <t>CGM-PH-104</t>
  </si>
  <si>
    <t>CGM-PH-105</t>
  </si>
  <si>
    <t>CGM-PH-106</t>
  </si>
  <si>
    <t>CGM-PH-107</t>
  </si>
  <si>
    <t>CGM-PH-108</t>
  </si>
  <si>
    <t>CGM-PH-109</t>
  </si>
  <si>
    <t>CGM-PH-110</t>
  </si>
  <si>
    <t>CGM-PH-111</t>
  </si>
  <si>
    <t>CGM-PH-112</t>
  </si>
  <si>
    <t>CGM-PH-113</t>
  </si>
  <si>
    <t>CGM-PH-114</t>
  </si>
  <si>
    <t>CGM-PH-115</t>
  </si>
  <si>
    <t>CGM-PH-116</t>
  </si>
  <si>
    <t>CGM-PH-117</t>
  </si>
  <si>
    <t>CGM-PH-118</t>
  </si>
  <si>
    <t>CGM-PH-119</t>
  </si>
  <si>
    <t>CGM-PH-120</t>
  </si>
  <si>
    <t>CGM-PH-121</t>
  </si>
  <si>
    <t>CGM-PH-122</t>
  </si>
  <si>
    <t>CGM-PH-123</t>
  </si>
  <si>
    <t>CGM-PH-124</t>
  </si>
  <si>
    <t>CGM-PH-125</t>
  </si>
  <si>
    <t>CGM-PH-126</t>
  </si>
  <si>
    <t>CGM-PH-127</t>
  </si>
  <si>
    <t>CGM-PH-128</t>
  </si>
  <si>
    <t>CGM-PH-129</t>
  </si>
  <si>
    <t>CGM-PH-130</t>
  </si>
  <si>
    <t>CGM-PH-131</t>
  </si>
  <si>
    <t>CGM-PH-132</t>
  </si>
  <si>
    <t>CGM-PH-133</t>
  </si>
  <si>
    <t>CGM-PH-134</t>
  </si>
  <si>
    <t>CGM-PH-135</t>
  </si>
  <si>
    <t>CGM-PH-136</t>
  </si>
  <si>
    <t>CGM-PH-137</t>
  </si>
  <si>
    <t>CGM-PH-138</t>
  </si>
  <si>
    <t>CGM-PH-139</t>
  </si>
  <si>
    <t>CGM-PH-140</t>
  </si>
  <si>
    <t>CGM-PH-141</t>
  </si>
  <si>
    <t>CGM-PH-142</t>
  </si>
  <si>
    <t>CGM-PH-143</t>
  </si>
  <si>
    <t>CGM-PH-144</t>
  </si>
  <si>
    <t>CGM-PH-145</t>
  </si>
  <si>
    <t>CGM-PH-146</t>
  </si>
  <si>
    <t>CGM-PH-147</t>
  </si>
  <si>
    <t>CGM-PH-148</t>
  </si>
  <si>
    <t>CGM-PH-149</t>
  </si>
  <si>
    <t>CGM-PH-150</t>
  </si>
  <si>
    <t>CGM-PH-151</t>
  </si>
  <si>
    <t>CGM-PH-152</t>
  </si>
  <si>
    <t>CGM-PH-153</t>
  </si>
  <si>
    <t>CGM-PH-154</t>
  </si>
  <si>
    <t>CGM-PH-155</t>
  </si>
  <si>
    <t>CGM-PH-156</t>
  </si>
  <si>
    <t>CGM-PH-157</t>
  </si>
  <si>
    <t>CGM-PH-158</t>
  </si>
  <si>
    <t>CGM-PH-159</t>
  </si>
  <si>
    <t>CGM-PH-160</t>
  </si>
  <si>
    <t>CGM-PH-161</t>
  </si>
  <si>
    <t>CGM-PH-162</t>
  </si>
  <si>
    <t>CGM-PH-163</t>
  </si>
  <si>
    <t>CGM-PH-164</t>
  </si>
  <si>
    <t>CGM-PH-165</t>
  </si>
  <si>
    <t>CGM-PH-166</t>
  </si>
  <si>
    <t>CGM-PH-167</t>
  </si>
  <si>
    <t>CGM-PH-168</t>
  </si>
  <si>
    <t>CGM-PH-169</t>
  </si>
  <si>
    <t>CGM-PH-170</t>
  </si>
  <si>
    <t>CGM-PH-171</t>
  </si>
  <si>
    <t>CGM-PH-172</t>
  </si>
  <si>
    <t>CGM-PH-173</t>
  </si>
  <si>
    <t>CGM-PH-174</t>
  </si>
  <si>
    <t>CGM-PH-175</t>
  </si>
  <si>
    <t>CGM-PH-176</t>
  </si>
  <si>
    <t>CGM-PH-177</t>
  </si>
  <si>
    <t>CGM-PH-178</t>
  </si>
  <si>
    <t>CGM-PH-179</t>
  </si>
  <si>
    <t>CGM-PH-180</t>
  </si>
  <si>
    <t>CGM-PH-181</t>
  </si>
  <si>
    <t>CGM-PH-182</t>
  </si>
  <si>
    <t>CGM-PH-183</t>
  </si>
  <si>
    <t>CGM-PH-184</t>
  </si>
  <si>
    <t>CGM-PH-185</t>
  </si>
  <si>
    <t>CGM-PH-186</t>
  </si>
  <si>
    <t>CGM-PH-187</t>
  </si>
  <si>
    <t>CGM-PH-188</t>
  </si>
  <si>
    <t>CGM-PH-189</t>
  </si>
  <si>
    <t>CGM-PH-190</t>
  </si>
  <si>
    <t>CGM-PH-191</t>
  </si>
  <si>
    <t>CGM-PH-192</t>
  </si>
  <si>
    <t>CGM-PH-193</t>
  </si>
  <si>
    <t>CGM-PH-194</t>
  </si>
  <si>
    <t>CGM-PH-195</t>
  </si>
  <si>
    <t>CGM-PH-196</t>
  </si>
  <si>
    <t>CGM-PH-197</t>
  </si>
  <si>
    <t>CGM-PH-198</t>
  </si>
  <si>
    <t>CGM-PH-199</t>
  </si>
  <si>
    <t>CGM-PH-200</t>
  </si>
  <si>
    <t>CGM-PH-201</t>
  </si>
  <si>
    <t>CGM-PH-202</t>
  </si>
  <si>
    <t>CGM-PH-203</t>
  </si>
  <si>
    <t>CGM-PH-204</t>
  </si>
  <si>
    <t>CGM-PH-205</t>
  </si>
  <si>
    <t>CGM-PH-206</t>
  </si>
  <si>
    <t>CGM-PH-207</t>
  </si>
  <si>
    <t>CGM-PH-208</t>
  </si>
  <si>
    <t>CGM-PH-209</t>
  </si>
  <si>
    <t>CGM-PH-210</t>
  </si>
  <si>
    <t>CGM-PH-211</t>
  </si>
  <si>
    <t>CGM-PH-212</t>
  </si>
  <si>
    <t>CGM-PH-213</t>
  </si>
  <si>
    <t>CGM-PH-214</t>
  </si>
  <si>
    <t>CGM-PH-215</t>
  </si>
  <si>
    <t>CGM-PH-216</t>
  </si>
  <si>
    <t>CGM-PH-217</t>
  </si>
  <si>
    <t>CGM-PH-218</t>
  </si>
  <si>
    <t>CGM-PH-219</t>
  </si>
  <si>
    <t>CGM-PH-220</t>
  </si>
  <si>
    <t>CGM-PH-221</t>
  </si>
  <si>
    <t>CGM-PH-222</t>
  </si>
  <si>
    <t>CGM-PH-223</t>
  </si>
  <si>
    <t>CGM-PH-224</t>
  </si>
  <si>
    <t>CGM-PH-225</t>
  </si>
  <si>
    <t>CGM-PH-226</t>
  </si>
  <si>
    <t>CGM-PH-227</t>
  </si>
  <si>
    <t>CGM-PH-228</t>
  </si>
  <si>
    <t>CGM-PH-229</t>
  </si>
  <si>
    <t>CGM-PH-230</t>
  </si>
  <si>
    <t>CGM-PH-231</t>
  </si>
  <si>
    <t>CGM-PH-232</t>
  </si>
  <si>
    <t>CGM-PH-233</t>
  </si>
  <si>
    <t>CGM-PH-234</t>
  </si>
  <si>
    <t>CGM-PH-235</t>
  </si>
  <si>
    <t>CGM-PH-236</t>
  </si>
  <si>
    <t>CGM-PH-237</t>
  </si>
  <si>
    <t>CGM-PH-238</t>
  </si>
  <si>
    <t>CGM-PH-239</t>
  </si>
  <si>
    <t>CGM-PH-240</t>
  </si>
  <si>
    <t>CGM-PH-241</t>
  </si>
  <si>
    <t>CGM-PH-242</t>
  </si>
  <si>
    <t>CGM-PH-243</t>
  </si>
  <si>
    <t>CGM-PH-244</t>
  </si>
  <si>
    <t>CGM-PH-245</t>
  </si>
  <si>
    <t>CGM-PH-246</t>
  </si>
  <si>
    <t>CGM-PH-247</t>
  </si>
  <si>
    <t>CGM-PH-248</t>
  </si>
  <si>
    <t>CGM-PH-249</t>
  </si>
  <si>
    <t>CGM-PH-250</t>
  </si>
  <si>
    <t>CGM-PH-251</t>
  </si>
  <si>
    <t>CGM-PH-252</t>
  </si>
  <si>
    <t>CGM-PH-253</t>
  </si>
  <si>
    <t>CGM-PH-254</t>
  </si>
  <si>
    <t>CGM-PH-255</t>
  </si>
  <si>
    <t>CGM-PH-256</t>
  </si>
  <si>
    <t>CGM-PH-257</t>
  </si>
  <si>
    <t>CGM-PH-258</t>
  </si>
  <si>
    <t>CGM-PH-259</t>
  </si>
  <si>
    <t>CGM-PH-260</t>
  </si>
  <si>
    <t>CGM-PH-261</t>
  </si>
  <si>
    <t>CGM-PH-262</t>
  </si>
  <si>
    <t>CGM-ALQ-LP-0001</t>
  </si>
  <si>
    <t>SOPHOS</t>
  </si>
  <si>
    <t>CGM-ALQ-LP-0007</t>
  </si>
  <si>
    <t>CGM-ALQ-LP-0012</t>
  </si>
  <si>
    <t>CGM-ALQ-LP-0022</t>
  </si>
  <si>
    <t>CGM-ALQ-LP-0023</t>
  </si>
  <si>
    <t>CGM-ALQ-LP-0024</t>
  </si>
  <si>
    <t>CGM-LP-055</t>
  </si>
  <si>
    <t>CGM-LP-106</t>
  </si>
  <si>
    <t>CGM-LP-110</t>
  </si>
  <si>
    <t>CGM-LP-120</t>
  </si>
  <si>
    <t>CGM-LP-134</t>
  </si>
  <si>
    <t>CGM-LP-142</t>
  </si>
  <si>
    <t>CGM-LP-146</t>
  </si>
  <si>
    <t>CGM-LP-157</t>
  </si>
  <si>
    <t>CGM-LP-159</t>
  </si>
  <si>
    <t>CGM-LP-161</t>
  </si>
  <si>
    <t>CGM-LP-162</t>
  </si>
  <si>
    <t>CGM-LP-163</t>
  </si>
  <si>
    <t>CGM-LP-173</t>
  </si>
  <si>
    <t>CGM-LP-174</t>
  </si>
  <si>
    <t>CGM-LP-177</t>
  </si>
  <si>
    <t>CGM-LP-180</t>
  </si>
  <si>
    <t>CGM-LP-187</t>
  </si>
  <si>
    <t>CGM-LP-189</t>
  </si>
  <si>
    <t>CGM-LP-202</t>
  </si>
  <si>
    <t>CGM-LP-218</t>
  </si>
  <si>
    <t>CGM-LP-223</t>
  </si>
  <si>
    <t>CGM-LP-224</t>
  </si>
  <si>
    <t>CGM-LP-225</t>
  </si>
  <si>
    <t>CGM-LP-226</t>
  </si>
  <si>
    <t>CGM-LP-227</t>
  </si>
  <si>
    <t>CGM-LP-229</t>
  </si>
  <si>
    <t>CGM-LP-231</t>
  </si>
  <si>
    <t>CGM-LP-234</t>
  </si>
  <si>
    <t>CGM-LP-236</t>
  </si>
  <si>
    <t>CGM-LP-237</t>
  </si>
  <si>
    <t>CGM-LP-241</t>
  </si>
  <si>
    <t>CGM-LP-251</t>
  </si>
  <si>
    <t>CGM-LP-254</t>
  </si>
  <si>
    <t>CGM-LP-256</t>
  </si>
  <si>
    <t>CGM-LP-263</t>
  </si>
  <si>
    <t>CGM-LP-269</t>
  </si>
  <si>
    <t>CGM-LP-272</t>
  </si>
  <si>
    <t>CGM-LP-275</t>
  </si>
  <si>
    <t>CGM-LP-289</t>
  </si>
  <si>
    <t>CGM-LP-290</t>
  </si>
  <si>
    <t>CGM-LP-291</t>
  </si>
  <si>
    <t>CGM-LP-297</t>
  </si>
  <si>
    <t>CGM-LP-301</t>
  </si>
  <si>
    <t>CGM-LP-302</t>
  </si>
  <si>
    <t>CGM-LP-304</t>
  </si>
  <si>
    <t>CGM-LP-307</t>
  </si>
  <si>
    <t>CGM-LP-308</t>
  </si>
  <si>
    <t>CGM-LP-310</t>
  </si>
  <si>
    <t>CGM-LP-311</t>
  </si>
  <si>
    <t>CGM-LP-318</t>
  </si>
  <si>
    <t>CGM-LP-322</t>
  </si>
  <si>
    <t>CGM-LP-331</t>
  </si>
  <si>
    <t>CGM-LP-334</t>
  </si>
  <si>
    <t>CGM-LP-368</t>
  </si>
  <si>
    <t>CGM-PC-015</t>
  </si>
  <si>
    <t>CGM-PC-020</t>
  </si>
  <si>
    <t>GALAXY A 10S</t>
  </si>
  <si>
    <t>GALAXY A10</t>
  </si>
  <si>
    <t>GALAXY A14 5G</t>
  </si>
  <si>
    <t>GALAXY A22 5G</t>
  </si>
  <si>
    <t>GALAXY A25 5G</t>
  </si>
  <si>
    <t>IPHONE 16 PRO MAX 256</t>
  </si>
  <si>
    <t>IPHONE X</t>
  </si>
  <si>
    <t>MOTOROLA 54G 5G</t>
  </si>
  <si>
    <t>MOTOROLA EDGE 50 FUSION</t>
  </si>
  <si>
    <t>MOTOROLA G 54 POWER</t>
  </si>
  <si>
    <t>MOTOROLA G23</t>
  </si>
  <si>
    <t>MOTOROLA G24 POWER</t>
  </si>
  <si>
    <t>MOTOROLA G51 5G</t>
  </si>
  <si>
    <t>MOTOROLA G53 5G</t>
  </si>
  <si>
    <t>MOTOROLA G54 5G</t>
  </si>
  <si>
    <t>POCO X3</t>
  </si>
  <si>
    <t>POCO X3 NFC</t>
  </si>
  <si>
    <t>REDMI NOTE 10 PRO</t>
  </si>
  <si>
    <t>REDMI NOTE 10S</t>
  </si>
  <si>
    <t>REDMI NOTE 11</t>
  </si>
  <si>
    <t>REDMI NOTE 11 PRO</t>
  </si>
  <si>
    <t>REDMI NOTE 11 PRO 5G</t>
  </si>
  <si>
    <t>REDMI NOTE 11S</t>
  </si>
  <si>
    <t>REDMI NOTE 11S 4G</t>
  </si>
  <si>
    <t>SAMSUNG A10</t>
  </si>
  <si>
    <t>SAMSUNG A10S</t>
  </si>
  <si>
    <t>SAMSUNG A22</t>
  </si>
  <si>
    <t>SAMSUNG A12</t>
  </si>
  <si>
    <t>SAMSUNG J4</t>
  </si>
  <si>
    <t>SAMSUNG J6 PLUS</t>
  </si>
  <si>
    <t>XIAOMI REDMI NOTE 10 PRO</t>
  </si>
  <si>
    <t>XIAOMI REDMI NOTE 11</t>
  </si>
  <si>
    <t>XIAOMI REDMI NOTE 11S</t>
  </si>
  <si>
    <t>ZTE BLADE A71</t>
  </si>
  <si>
    <t>LÍNEA MOVIL</t>
  </si>
  <si>
    <t>ID_OPERADOR</t>
  </si>
  <si>
    <t>ID_PLAN</t>
  </si>
  <si>
    <t>ESTADO</t>
  </si>
  <si>
    <t>LIBRE</t>
  </si>
  <si>
    <t xml:space="preserve">LIBRE </t>
  </si>
  <si>
    <t>Empresa CORP 2.0 59.9</t>
  </si>
  <si>
    <t>Empresa CORP 2.0 69.9</t>
  </si>
  <si>
    <t>Empresa CORP 44.90</t>
  </si>
  <si>
    <t>Empresa CORP 59.9</t>
  </si>
  <si>
    <t>Empresa Plus 109.90</t>
  </si>
  <si>
    <t>Empresa Plus 2.0 52.9</t>
  </si>
  <si>
    <t>Empresa Plus 2.0 55.9</t>
  </si>
  <si>
    <t>Empresa Plus 2.0 58.10</t>
  </si>
  <si>
    <t>Empresa Plus 2.0 58.9</t>
  </si>
  <si>
    <t>Empresa Plus 2.0 62.9</t>
  </si>
  <si>
    <t>Empresa Plus 2.0 63.10</t>
  </si>
  <si>
    <t>Empresa Plus 2.0 67.90</t>
  </si>
  <si>
    <t>Empresa Plus 49.90</t>
  </si>
  <si>
    <t>Empresa Plus 52.90</t>
  </si>
  <si>
    <t>Empresa Plus 63.90</t>
  </si>
  <si>
    <t>Empresa Plus 76.90</t>
  </si>
  <si>
    <t>Empresa Plus 79.90</t>
  </si>
  <si>
    <t>Empresa Plus 80.90</t>
  </si>
  <si>
    <t>Empresa Plus 99.90</t>
  </si>
  <si>
    <t>Internet OLO Negocios 240 GB</t>
  </si>
  <si>
    <t>Max Corporativo 29.90</t>
  </si>
  <si>
    <t>Max Corporativo 29.91</t>
  </si>
  <si>
    <t>Max Negocio Ilimitado 105.00</t>
  </si>
  <si>
    <t>Max Negocio Ilimitado 65.00</t>
  </si>
  <si>
    <t>Max Negocio Ilimitado 69.90</t>
  </si>
  <si>
    <t>Max Negocio Ilimitado 85.00</t>
  </si>
  <si>
    <t>Max Negocios 29.90</t>
  </si>
  <si>
    <t>Max Negocios 39.90</t>
  </si>
  <si>
    <t>Max Negocios 49.90</t>
  </si>
  <si>
    <t>Max Negocios 55.90</t>
  </si>
  <si>
    <t>Max Negocios 59.90</t>
  </si>
  <si>
    <t>Max Negocios 89.90</t>
  </si>
  <si>
    <t>Max Negocios Ilimitado 55.90</t>
  </si>
  <si>
    <t>Max Negocios Ilimitado 69.90</t>
  </si>
  <si>
    <t>Max Negocios Ilimitado 79.90</t>
  </si>
  <si>
    <t>Max Negocios Ilimitado 89.90</t>
  </si>
  <si>
    <t>Max Negocios Ilimitado 95.90</t>
  </si>
  <si>
    <t>Movistar Empresas 45.91</t>
  </si>
  <si>
    <t>Movistar Empresas 59.9</t>
  </si>
  <si>
    <t>Movistar Empresas 62.91</t>
  </si>
  <si>
    <t>Movistar Empresas 77.9 III</t>
  </si>
  <si>
    <t>Movistar Empresas 82.9</t>
  </si>
  <si>
    <t>Movistar Empresas 83.9 II</t>
  </si>
  <si>
    <t>Movistar Empresas 90.9</t>
  </si>
  <si>
    <t>ENTEL</t>
  </si>
  <si>
    <t>CLARO</t>
  </si>
  <si>
    <t>BITEL</t>
  </si>
  <si>
    <t>MOVISTAR</t>
  </si>
  <si>
    <t>tipo_activo</t>
  </si>
  <si>
    <t>modelo</t>
  </si>
  <si>
    <t>PUESTO</t>
  </si>
  <si>
    <t>ADMINISTRADOR DE BASE DE DATOS</t>
  </si>
  <si>
    <t>AGENTE DE SEGURIDAD</t>
  </si>
  <si>
    <t>ANALISTA COMERCIAL SR</t>
  </si>
  <si>
    <t>ANALISTA DE ALMACÉN Y DISTRIBUCIÓN</t>
  </si>
  <si>
    <t>ANALISTA DE ÁREA TÉCNICA</t>
  </si>
  <si>
    <t>ANALISTA DE COORDINACIÓN COMERCIAL USADOS</t>
  </si>
  <si>
    <t>ANALISTA DE GESTIÓN COMERCIAL</t>
  </si>
  <si>
    <t>ANALISTA DE INTELIGENCIA COMERCIAL</t>
  </si>
  <si>
    <t>ANALISTA DE INVESTIGACIÓN Y EXPERIENCIA DEL CLIENTE</t>
  </si>
  <si>
    <t>ANALISTA DE MANTENIMIENTO DE CAMPO</t>
  </si>
  <si>
    <t>ANALISTA DE MANTENIMIENTO DE TALLER</t>
  </si>
  <si>
    <t>ANALISTA DE PLANEAMIENTO DE ST</t>
  </si>
  <si>
    <t>ANALISTA DE PLANIFICACION DE ABASTECIMIENTO</t>
  </si>
  <si>
    <t>ANALISTA DE PROCESOS Y COORDINACIÓN COMERCIAL</t>
  </si>
  <si>
    <t>ANALISTA DE RECUPERACIONES</t>
  </si>
  <si>
    <t>ANALISTA DE RRHH</t>
  </si>
  <si>
    <t>ANALISTA DIGITAL Y DE PUBLICIDAD</t>
  </si>
  <si>
    <t>ANALISTA JR CONTABLE</t>
  </si>
  <si>
    <t>ANALISTA JR. DE ADMINISTRACIÓN DE PERSONAL</t>
  </si>
  <si>
    <t>ANALISTA JR. DE NÓMINA</t>
  </si>
  <si>
    <t>ANALISTA JR. DE RRHH</t>
  </si>
  <si>
    <t>ANALISTA JR. DE SELECCION Y DESARROLLO</t>
  </si>
  <si>
    <t>ANALISTA JR. DE TESORERÍA</t>
  </si>
  <si>
    <t>ANALISTA JR. LEGAL</t>
  </si>
  <si>
    <t>ANALISTA SR. DE CRÉDITOS Y COBRANZAS</t>
  </si>
  <si>
    <t>ASESOR COMERCIAL</t>
  </si>
  <si>
    <t>ASESOR COMERCIAL DE CAPACITACIONES</t>
  </si>
  <si>
    <t>ASESOR COMERCIAL DE REPUESTOS</t>
  </si>
  <si>
    <t>ASESOR COMERCIAL DE TIENDA</t>
  </si>
  <si>
    <t>ASISTENTA SOCIAL</t>
  </si>
  <si>
    <t>ASISTENTE ADMINISTRATIVA DE GERENCIA</t>
  </si>
  <si>
    <t>ASISTENTE ADMINISTRATIVO</t>
  </si>
  <si>
    <t>ASISTENTE COMERCIAL</t>
  </si>
  <si>
    <t>ASISTENTE COMERCIAL DE E-COMMERCE</t>
  </si>
  <si>
    <t>ASISTENTE COMERCIAL DE REPUESTOS</t>
  </si>
  <si>
    <t>ASISTENTE CONTABLE</t>
  </si>
  <si>
    <t>ASISTENTE DE ADQUISICIONES</t>
  </si>
  <si>
    <t>ASISTENTE DE ALMACÉN</t>
  </si>
  <si>
    <t>ASISTENTE DE ÁREA TÉCNICA</t>
  </si>
  <si>
    <t>ASISTENTE DE COMPRAS</t>
  </si>
  <si>
    <t>ASISTENTE DE COORDINACIÓN COMERCIAL</t>
  </si>
  <si>
    <t>ASISTENTE DE DATOS</t>
  </si>
  <si>
    <t>ASISTENTE DE DISTRIBUCIÓN</t>
  </si>
  <si>
    <t>ASISTENTE DE GERENCIA</t>
  </si>
  <si>
    <t>ASISTENTE DE INNOVACIÓN Y DESARROLLO</t>
  </si>
  <si>
    <t>ASISTENTE DE INTELIGENCIA COMERCIAL Y ESTRATEGIA</t>
  </si>
  <si>
    <t>ASISTENTE DE LOGÍSTICA</t>
  </si>
  <si>
    <t>ASISTENTE DE MANTENIMIENTO DE CAMPO</t>
  </si>
  <si>
    <t>ASISTENTE DE MANTENIMIENTO DE TALLER</t>
  </si>
  <si>
    <t>ASISTENTE DE MARKETING Y COMUNICACIONES</t>
  </si>
  <si>
    <t>ASISTENTE DE OPERACIONES</t>
  </si>
  <si>
    <t>ASISTENTE DE PAÑOL DE HERRAMIENTAS</t>
  </si>
  <si>
    <t>ASISTENTE DE PLANEAMIENTO</t>
  </si>
  <si>
    <t>ASISTENTE DE PLANEAMIENTO DE CAMPO</t>
  </si>
  <si>
    <t>ASISTENTE DE PLANEAMIENTO DE ST</t>
  </si>
  <si>
    <t>ASISTENTE DE PLANEAMIENTO DE TALLER</t>
  </si>
  <si>
    <t>ASISTENTE DE RECEPCIÓN Y DESPACHOS</t>
  </si>
  <si>
    <t>ASISTENTE DE REPUESTOS</t>
  </si>
  <si>
    <t>ASISTENTE DE RRHH</t>
  </si>
  <si>
    <t>ASISTENTE DE SERVICIOS GENERALES</t>
  </si>
  <si>
    <t>ASISTENTE DE SIG</t>
  </si>
  <si>
    <t>ASISTENTE DE SOPORTE COMERCIAL Y ADMINISTRATIVO</t>
  </si>
  <si>
    <t>ASISTENTE DE ST CAMPO</t>
  </si>
  <si>
    <t>ASISTENTE DE TESORERÍA</t>
  </si>
  <si>
    <t>ASISTENTE DEL SIG</t>
  </si>
  <si>
    <t>ASISTENTE JR DE ADMINISTRACIÓN Y FINANZAS</t>
  </si>
  <si>
    <t>ASISTENTE JR. CONTABLE</t>
  </si>
  <si>
    <t>ASISTENTE JR. DE COBRANZAS</t>
  </si>
  <si>
    <t>ASISTENTE JR. DE CONTROL DE INVENTARIOS</t>
  </si>
  <si>
    <t>ASISTENTE JR. DE COSTOS Y PRESUPUESTOS</t>
  </si>
  <si>
    <t>ASISTENTE JR. DE COSTOS, PRESUPUESTOS Y BIENES PATRIMONIALES</t>
  </si>
  <si>
    <t>ASISTENTE JR. DE CRÉDITOS Y COBRANZAS</t>
  </si>
  <si>
    <t>ASISTENTE JR. DE RECURSOS HUMANOS</t>
  </si>
  <si>
    <t>ASISTENTE JR. DE SELECCION Y DESARROLLO</t>
  </si>
  <si>
    <t>ASISTENTE JR. DE SSGG</t>
  </si>
  <si>
    <t>ASISTENTE LOGÍSTICO</t>
  </si>
  <si>
    <t>ASISTENTE SR. CONTABLE</t>
  </si>
  <si>
    <t>ASISTENTE SR. DE ALMACÉN</t>
  </si>
  <si>
    <t>ASISTENTE SR. DE CONTROL DE INVENTARIOS</t>
  </si>
  <si>
    <t>ASISTENTE SR. DE COSTOS, PRESUPUESTOS Y BIENES PATRIMONIALES</t>
  </si>
  <si>
    <t>ASISTENTE SR. DE SELECCION Y DESARROLLO</t>
  </si>
  <si>
    <t>ASISTENTE SR. DE TI</t>
  </si>
  <si>
    <t>ASISTENTE ST TALLER</t>
  </si>
  <si>
    <t>ASISTENTE TÉCNICO COMERCIAL</t>
  </si>
  <si>
    <t>AYUDANTE DE ALMACÉN</t>
  </si>
  <si>
    <t>AYUDANTE DE LAVADO, PLANCHADO Y PINTURA</t>
  </si>
  <si>
    <t>AYUDANTE DE SOLDADURA</t>
  </si>
  <si>
    <t>AYUDANTE DE TALLER</t>
  </si>
  <si>
    <t>CHOFER DE DISTRIBUCIÓN</t>
  </si>
  <si>
    <t>COMPRADOR DE SERVICIOS</t>
  </si>
  <si>
    <t>COMPRADOR INTERNACIONAL</t>
  </si>
  <si>
    <t>COMPRADOR NACIONAL</t>
  </si>
  <si>
    <t>COMPRADOR TÉCNICO</t>
  </si>
  <si>
    <t>CONDUCTOR DE CAMA BAJA</t>
  </si>
  <si>
    <t>CONDUCTOR DE DISTRIBUCIÓN</t>
  </si>
  <si>
    <t>COORDINADOR DE ABASTECIMIENTO</t>
  </si>
  <si>
    <t>COORDINADOR DE MANTENIMIENTO DE CAMPO</t>
  </si>
  <si>
    <t>COORDINADOR DE MEDIANA MINERÍA</t>
  </si>
  <si>
    <t>COORDINADOR DE PLANEAMIENTO DE ST</t>
  </si>
  <si>
    <t>COORDINADOR DE RECURSOS HUMANOS</t>
  </si>
  <si>
    <t>COORDINADOR NACIONAL DE ALMACÉN, DISTRIBUCIÓN E INNOVACIÓN</t>
  </si>
  <si>
    <t>COORDINADOR NACIONAL DE TALLERES</t>
  </si>
  <si>
    <t>COORDINADOR SSOMA</t>
  </si>
  <si>
    <t>EJECUTIVO COMERCIAL</t>
  </si>
  <si>
    <t>EJECUTIVO COMERCIAL DE CAPACITACIONES</t>
  </si>
  <si>
    <t>EJECUTIVO DE CUENTAS SENIOR</t>
  </si>
  <si>
    <t>ENFERMERA OCUPACIONAL</t>
  </si>
  <si>
    <t>ESPECIALISTA DE ENERGÍA</t>
  </si>
  <si>
    <t>ESPECIALISTA DE INNOVACIÓN Y DESARROLLO</t>
  </si>
  <si>
    <t>ESPECIALISTA DE LÍNEA AGRÍCOLA</t>
  </si>
  <si>
    <t>ESPECIALISTA DE LÍNEA DE CAMIONES</t>
  </si>
  <si>
    <t>ESPECIALISTA DE MANTENIMIENTO DE TALLER</t>
  </si>
  <si>
    <t>ESPECIALISTA DE RECUPERACIONES</t>
  </si>
  <si>
    <t>GERENTE COMERCIAL</t>
  </si>
  <si>
    <t>GERENTE DE ADMINISTRACIÓN Y FINANZAS</t>
  </si>
  <si>
    <t>GERENTE DE OPERACIONES</t>
  </si>
  <si>
    <t>GERENTE DE SERVICIO TÉCNICO</t>
  </si>
  <si>
    <t>GERENTE GENERAL</t>
  </si>
  <si>
    <t>GESTOR ADMINISTRATIVO</t>
  </si>
  <si>
    <t>INGENIERO DE DATOS</t>
  </si>
  <si>
    <t>INGENIERO DE PRODUCTO</t>
  </si>
  <si>
    <t>INSTRUCTOR DE OPERACIÓN</t>
  </si>
  <si>
    <t>INSTRUCTOR TÉCNICO</t>
  </si>
  <si>
    <t>INSTRUCTOR TÉCNICO SENIOR</t>
  </si>
  <si>
    <t>JEFA DE MARKETING</t>
  </si>
  <si>
    <t>JEFE DE ÁREA TÉCNICA</t>
  </si>
  <si>
    <t>JEFE DE CONTABILIDAD</t>
  </si>
  <si>
    <t>JEFE DE CRÉDITOS, COBRANZAS Y APALANCAMIENTO FINANCIERO</t>
  </si>
  <si>
    <t>JEFE DE ENERGÍA Y LIGEROS</t>
  </si>
  <si>
    <t>JEFE DE MANTENIMIENTO DE CAMPO</t>
  </si>
  <si>
    <t>JEFE DE OPERACIONES</t>
  </si>
  <si>
    <t>JEFE DE PLANIFICACIÓN FINANCIERA Y CONTROL DE INVENTARIOS PATRIMONIALES</t>
  </si>
  <si>
    <t>JEFE DE REPUESTOS</t>
  </si>
  <si>
    <t>JEFE DE RRHH Y SSGG</t>
  </si>
  <si>
    <t>JEFE NACIONAL DE ABASTECIMIENTO Y COMPRAS</t>
  </si>
  <si>
    <t>JEFE NACIONAL DE ALQUILERES</t>
  </si>
  <si>
    <t>JEFE NACIONAL DE ALQUILERES AGRÍCOLA</t>
  </si>
  <si>
    <t>JEFE NACIONAL DE CONSTRUCCIÓN</t>
  </si>
  <si>
    <t>JEFE NACIONAL DE CONSTRUCCIÓN Y MEDIANA MINERIA</t>
  </si>
  <si>
    <t>JEFE NACIONAL DE MANTENIMIENTO DE TALLER</t>
  </si>
  <si>
    <t>JEFE ZONAL NORTE</t>
  </si>
  <si>
    <t>JEFE ZONAL SUR ESTE</t>
  </si>
  <si>
    <t>JEFE ZONAL SUR OESTE</t>
  </si>
  <si>
    <t>KEY ACCOUNT DE REPUESTOS</t>
  </si>
  <si>
    <t>LAVADOR DE MAQUINARIA</t>
  </si>
  <si>
    <t>LÍDER DE SERVICIOS GENERALES</t>
  </si>
  <si>
    <t>LLANTERO AYUDANTE ST</t>
  </si>
  <si>
    <t>MÚLTIPLE N1</t>
  </si>
  <si>
    <t>MÚLTIPLE N2</t>
  </si>
  <si>
    <t>OPERARIO DE SERVICIOS GENERALES</t>
  </si>
  <si>
    <t>OPERARIO JR. DE SSGG</t>
  </si>
  <si>
    <t>OPERARIO SR. DE SSGG</t>
  </si>
  <si>
    <t>PINTOR</t>
  </si>
  <si>
    <t>PRACTICANTE COMERCIAL</t>
  </si>
  <si>
    <t>PRACTICANTE CONTABLE</t>
  </si>
  <si>
    <t>PRACTICANTE DE ADMINISTRACIÓN Y FINANZAS</t>
  </si>
  <si>
    <t>PRACTICANTE DE ADQUISICIONES</t>
  </si>
  <si>
    <t>PRACTICANTE DE ALMACÉN Y DISTRIBUCIÓN</t>
  </si>
  <si>
    <t>PRACTICANTE DE ÁREA TÉCNICA</t>
  </si>
  <si>
    <t>PRACTICANTE DE ARRIENDO</t>
  </si>
  <si>
    <t>PRACTICANTE DE CONTABILIDAD</t>
  </si>
  <si>
    <t>PRACTICANTE DE COSTOS Y PRESUPUESTOS</t>
  </si>
  <si>
    <t>PRACTICANTE DE GARANTIAS</t>
  </si>
  <si>
    <t>PRACTICANTE DE INTELIGENCIA COMERCIAL</t>
  </si>
  <si>
    <t>PRACTICANTE DE INVESTIGACIÓN Y EXPERIENCIA DEL CLIENTE</t>
  </si>
  <si>
    <t>PRACTICANTE DE MANTENIMIENTO DE CAMPO</t>
  </si>
  <si>
    <t>PRACTICANTE DE MONITOREO</t>
  </si>
  <si>
    <t>PRACTICANTE DE OPERACIONES</t>
  </si>
  <si>
    <t>PRACTICANTE DE PLANEAMIENTO</t>
  </si>
  <si>
    <t>PRACTICANTE DE PLANEAMIENTO DE ST</t>
  </si>
  <si>
    <t>PRACTICANTE DE PLANEAMIENTO DE TALLER</t>
  </si>
  <si>
    <t>PRACTICANTE DE REPUESTOS</t>
  </si>
  <si>
    <t>PRACTICANTE DE RRHH</t>
  </si>
  <si>
    <t>PRACTICANTE DE SERVICIO TÉCNICO</t>
  </si>
  <si>
    <t>PRACTICANTE DE SIG</t>
  </si>
  <si>
    <t>PRACTICANTE DE SSGG</t>
  </si>
  <si>
    <t>PRACTICANTE DE ST CAMPO</t>
  </si>
  <si>
    <t>PRACTICANTE DE ST TALLER</t>
  </si>
  <si>
    <t>PRACTICANTE DE TESORERÍA</t>
  </si>
  <si>
    <t>PRACTICANTE LOGÍSTICO</t>
  </si>
  <si>
    <t>PRACTICANTE PRE PROFESIONAL DE MARKETING</t>
  </si>
  <si>
    <t>PRACTICANTE ST TALLER</t>
  </si>
  <si>
    <t>PREVENCIONISTA DE RIESGOS</t>
  </si>
  <si>
    <t>RESPONSABLE COMERCIAL</t>
  </si>
  <si>
    <t>RESPONSABLE DE ALMACEN</t>
  </si>
  <si>
    <t>RESPONSABLE DE ALMACÉN</t>
  </si>
  <si>
    <t>RESPONSABLE DE CAPACITACIONES</t>
  </si>
  <si>
    <t>RESPONSABLE DE COORDINACION COMERCIAL</t>
  </si>
  <si>
    <t>RESPONSABLE DE DISTRIBUCIÓN</t>
  </si>
  <si>
    <t>RESPONSABLE DE ESTRATEGIA COMERCIAL</t>
  </si>
  <si>
    <t>RESPONSABLE DE INTELIGENCIA COMERCIAL</t>
  </si>
  <si>
    <t>RESPONSABLE DE MARKETING E INTELIGENCIA COMERCIAL</t>
  </si>
  <si>
    <t>RESPONSABLE DE PUBLICIDAD Y PROMOCIÓN</t>
  </si>
  <si>
    <t>RESPONSABLE DE SSOMA</t>
  </si>
  <si>
    <t>RESPONSABLE N1 DE ARRIENDO</t>
  </si>
  <si>
    <t>RESPONSABLE N1 DE DISTRIBUCIÓN</t>
  </si>
  <si>
    <t>RESPONSABLE N1 DE LOGISTICA</t>
  </si>
  <si>
    <t>SOLDADOR</t>
  </si>
  <si>
    <t>SOLDADOR N1</t>
  </si>
  <si>
    <t>SOLDADOR N2</t>
  </si>
  <si>
    <t>SOLDADOR N3</t>
  </si>
  <si>
    <t>SOLDADOR SUPERVISOR</t>
  </si>
  <si>
    <t>SUB GERENTE SERVICIO TECNICO</t>
  </si>
  <si>
    <t>SUPERVISOR COMERCIAL</t>
  </si>
  <si>
    <t>SUPERVISOR DE ÁREA TÉCNICA</t>
  </si>
  <si>
    <t>SUPERVISOR DE CAMPO</t>
  </si>
  <si>
    <t>SUPERVISOR DE COMPRAS</t>
  </si>
  <si>
    <t>SUPERVISOR DE MANTENIMIENTO DE CAMPO</t>
  </si>
  <si>
    <t>SUPERVISOR DE MANTENIMIENTO DE TALLER</t>
  </si>
  <si>
    <t>SUPERVISOR DE OPERACIONES</t>
  </si>
  <si>
    <t>SUPERVISOR DE PLANEAMIENTO DE CAMPO</t>
  </si>
  <si>
    <t>SUPERVISOR DE PROYECTO</t>
  </si>
  <si>
    <t>SUPERVISOR DE SEGURIDAD PATRIMONIAL</t>
  </si>
  <si>
    <t>SUPERVISOR DE SERVICIOS</t>
  </si>
  <si>
    <t>SUPERVISOR NACIONAL VENTA DE USADOS</t>
  </si>
  <si>
    <t>SUPERVISORA DEL SIG</t>
  </si>
  <si>
    <t>TÉCNICO DE TALLER</t>
  </si>
  <si>
    <t>TÉCNICO ELECTRICISTA</t>
  </si>
  <si>
    <t>TÉCNICO LÍDER</t>
  </si>
  <si>
    <t>TÉCNICO MECÁNICO</t>
  </si>
  <si>
    <t>TÉCNICO MECÁNICO ELÉCTRICO</t>
  </si>
  <si>
    <t>TÉCNICO T1</t>
  </si>
  <si>
    <t>TÉCNICO T2</t>
  </si>
  <si>
    <t>TÉCNICO T3</t>
  </si>
  <si>
    <t>REEMPLAZAR</t>
  </si>
  <si>
    <t>FECHA INGRESO</t>
  </si>
  <si>
    <t>FECHA DE CESE</t>
  </si>
  <si>
    <t>ESTATUS</t>
  </si>
  <si>
    <t>FECHA VENCIMIENTO CONTRATO</t>
  </si>
  <si>
    <t>ID_CONTRATO</t>
  </si>
  <si>
    <t>50000020</t>
  </si>
  <si>
    <t>50000090</t>
  </si>
  <si>
    <t>50000076</t>
  </si>
  <si>
    <t>50000152</t>
  </si>
  <si>
    <t>50000384</t>
  </si>
  <si>
    <t>50000024</t>
  </si>
  <si>
    <t>50000143</t>
  </si>
  <si>
    <t>50000412</t>
  </si>
  <si>
    <t>50000145</t>
  </si>
  <si>
    <t>50000049</t>
  </si>
  <si>
    <t>50000079</t>
  </si>
  <si>
    <t>50000086</t>
  </si>
  <si>
    <t>50000081</t>
  </si>
  <si>
    <t>50000059</t>
  </si>
  <si>
    <t>50000093</t>
  </si>
  <si>
    <t>50000293</t>
  </si>
  <si>
    <t>50000047</t>
  </si>
  <si>
    <t>50000064</t>
  </si>
  <si>
    <t>50000084</t>
  </si>
  <si>
    <t>50000039</t>
  </si>
  <si>
    <t>50000118</t>
  </si>
  <si>
    <t>50000085</t>
  </si>
  <si>
    <t>50000473</t>
  </si>
  <si>
    <t>50000061</t>
  </si>
  <si>
    <t>50000092</t>
  </si>
  <si>
    <t>50000055</t>
  </si>
  <si>
    <t>50000068</t>
  </si>
  <si>
    <t>50000033</t>
  </si>
  <si>
    <t>50000041</t>
  </si>
  <si>
    <t>50000062</t>
  </si>
  <si>
    <t>50000111</t>
  </si>
  <si>
    <t>50000122</t>
  </si>
  <si>
    <t>50000103</t>
  </si>
  <si>
    <t>50000088</t>
  </si>
  <si>
    <t>50000147</t>
  </si>
  <si>
    <t>50000138</t>
  </si>
  <si>
    <t>50000426</t>
  </si>
  <si>
    <t>50000099</t>
  </si>
  <si>
    <t>50000028</t>
  </si>
  <si>
    <t>50000142</t>
  </si>
  <si>
    <t>50000077</t>
  </si>
  <si>
    <t>50000006</t>
  </si>
  <si>
    <t>50000046</t>
  </si>
  <si>
    <t>50000060</t>
  </si>
  <si>
    <t>50000132</t>
  </si>
  <si>
    <t>50000094</t>
  </si>
  <si>
    <t>50000146</t>
  </si>
  <si>
    <t>50000037</t>
  </si>
  <si>
    <t>50000036</t>
  </si>
  <si>
    <t>50000127</t>
  </si>
  <si>
    <t>50000035</t>
  </si>
  <si>
    <t>50000144</t>
  </si>
  <si>
    <t>60000009</t>
  </si>
  <si>
    <t>50000066</t>
  </si>
  <si>
    <t>50000125</t>
  </si>
  <si>
    <t>50000019</t>
  </si>
  <si>
    <t>50000135</t>
  </si>
  <si>
    <t>50000091</t>
  </si>
  <si>
    <t>50000042</t>
  </si>
  <si>
    <t>50000107</t>
  </si>
  <si>
    <t>50000119</t>
  </si>
  <si>
    <t>50000016</t>
  </si>
  <si>
    <t>50000098</t>
  </si>
  <si>
    <t>50000058</t>
  </si>
  <si>
    <t>50000104</t>
  </si>
  <si>
    <t>50000069</t>
  </si>
  <si>
    <t>50000089</t>
  </si>
  <si>
    <t>50000078</t>
  </si>
  <si>
    <t>50000148</t>
  </si>
  <si>
    <t>50000140</t>
  </si>
  <si>
    <t>50000116</t>
  </si>
  <si>
    <t>50000123</t>
  </si>
  <si>
    <t>50000012</t>
  </si>
  <si>
    <t>50000026</t>
  </si>
  <si>
    <t>50000131</t>
  </si>
  <si>
    <t>60000045</t>
  </si>
  <si>
    <t>50000114</t>
  </si>
  <si>
    <t>50000106</t>
  </si>
  <si>
    <t>60000026</t>
  </si>
  <si>
    <t>50000043</t>
  </si>
  <si>
    <t>50000034</t>
  </si>
  <si>
    <t>50000025</t>
  </si>
  <si>
    <t>50000021</t>
  </si>
  <si>
    <t>50000071</t>
  </si>
  <si>
    <t>60000016</t>
  </si>
  <si>
    <t>50000067</t>
  </si>
  <si>
    <t>50000018</t>
  </si>
  <si>
    <t>50000044</t>
  </si>
  <si>
    <t>50000102</t>
  </si>
  <si>
    <t>50000101</t>
  </si>
  <si>
    <t>50000075</t>
  </si>
  <si>
    <t>60000137</t>
  </si>
  <si>
    <t>50000121</t>
  </si>
  <si>
    <t>50000038</t>
  </si>
  <si>
    <t>50000237</t>
  </si>
  <si>
    <t>50000017</t>
  </si>
  <si>
    <t>50000031</t>
  </si>
  <si>
    <t>50000070</t>
  </si>
  <si>
    <t>50000027</t>
  </si>
  <si>
    <t>50000065</t>
  </si>
  <si>
    <t>50000130</t>
  </si>
  <si>
    <t>60000027</t>
  </si>
  <si>
    <t>60000019</t>
  </si>
  <si>
    <t>50000073</t>
  </si>
  <si>
    <t>50000105</t>
  </si>
  <si>
    <t>50000399</t>
  </si>
  <si>
    <t>50000433</t>
  </si>
  <si>
    <t>50000029</t>
  </si>
  <si>
    <t>50000051</t>
  </si>
  <si>
    <t>50000010</t>
  </si>
  <si>
    <t>50000048</t>
  </si>
  <si>
    <t>50000063</t>
  </si>
  <si>
    <t>50000007</t>
  </si>
  <si>
    <t>50000136</t>
  </si>
  <si>
    <t>50000129</t>
  </si>
  <si>
    <t>50000040</t>
  </si>
  <si>
    <t>50000074</t>
  </si>
  <si>
    <t>50000547</t>
  </si>
  <si>
    <t>50000095</t>
  </si>
  <si>
    <t>50000120</t>
  </si>
  <si>
    <t>50000087</t>
  </si>
  <si>
    <t>50000032</t>
  </si>
  <si>
    <t>50000097</t>
  </si>
  <si>
    <t>60000024</t>
  </si>
  <si>
    <t>50000082</t>
  </si>
  <si>
    <t>50000008</t>
  </si>
  <si>
    <t>50000056</t>
  </si>
  <si>
    <t>50000014</t>
  </si>
  <si>
    <t>50000100</t>
  </si>
  <si>
    <t>50000112</t>
  </si>
  <si>
    <t>50000022</t>
  </si>
  <si>
    <t>60000015</t>
  </si>
  <si>
    <t>60000017</t>
  </si>
  <si>
    <t>50000013</t>
  </si>
  <si>
    <t>60000025</t>
  </si>
  <si>
    <t>50000072</t>
  </si>
  <si>
    <t>50000109</t>
  </si>
  <si>
    <t>60000020</t>
  </si>
  <si>
    <t>50000124</t>
  </si>
  <si>
    <t>50000052</t>
  </si>
  <si>
    <t>50000023</t>
  </si>
  <si>
    <t>50000030</t>
  </si>
  <si>
    <t>50000117</t>
  </si>
  <si>
    <t>50000137</t>
  </si>
  <si>
    <t>50000218</t>
  </si>
  <si>
    <t>50000009</t>
  </si>
  <si>
    <t>50000319</t>
  </si>
  <si>
    <t>60000021</t>
  </si>
  <si>
    <t>50000050</t>
  </si>
  <si>
    <t>60000029</t>
  </si>
  <si>
    <t>50000005</t>
  </si>
  <si>
    <t>50000015</t>
  </si>
  <si>
    <t>50000113</t>
  </si>
  <si>
    <t>50000470</t>
  </si>
  <si>
    <t>50000115</t>
  </si>
  <si>
    <t>50000420</t>
  </si>
  <si>
    <t>60000013</t>
  </si>
  <si>
    <t>60000006</t>
  </si>
  <si>
    <t>50000150</t>
  </si>
  <si>
    <t>60000033</t>
  </si>
  <si>
    <t>50000151</t>
  </si>
  <si>
    <t>50000436</t>
  </si>
  <si>
    <t>50000153</t>
  </si>
  <si>
    <t>50000154</t>
  </si>
  <si>
    <t>50000155</t>
  </si>
  <si>
    <t>50000157</t>
  </si>
  <si>
    <t>50000156</t>
  </si>
  <si>
    <t>50000158</t>
  </si>
  <si>
    <t>60000138</t>
  </si>
  <si>
    <t>50000159</t>
  </si>
  <si>
    <t>60000003</t>
  </si>
  <si>
    <t>50000160</t>
  </si>
  <si>
    <t>50000161</t>
  </si>
  <si>
    <t>60000011</t>
  </si>
  <si>
    <t>50000162</t>
  </si>
  <si>
    <t>50000163</t>
  </si>
  <si>
    <t>50000164</t>
  </si>
  <si>
    <t>50000166</t>
  </si>
  <si>
    <t>50000165</t>
  </si>
  <si>
    <t>50000168</t>
  </si>
  <si>
    <t>50000167</t>
  </si>
  <si>
    <t>50000169</t>
  </si>
  <si>
    <t>50000170</t>
  </si>
  <si>
    <t>50000238</t>
  </si>
  <si>
    <t>60000007</t>
  </si>
  <si>
    <t>50000172</t>
  </si>
  <si>
    <t>50000171</t>
  </si>
  <si>
    <t>50000533</t>
  </si>
  <si>
    <t>50000173</t>
  </si>
  <si>
    <t>50000176</t>
  </si>
  <si>
    <t>50000175</t>
  </si>
  <si>
    <t>60000012</t>
  </si>
  <si>
    <t>50000177</t>
  </si>
  <si>
    <t>50000178</t>
  </si>
  <si>
    <t>50000179</t>
  </si>
  <si>
    <t>60000030</t>
  </si>
  <si>
    <t>50000180</t>
  </si>
  <si>
    <t>50000182</t>
  </si>
  <si>
    <t>50000181</t>
  </si>
  <si>
    <t>50000183</t>
  </si>
  <si>
    <t>50000184</t>
  </si>
  <si>
    <t>50000186</t>
  </si>
  <si>
    <t>50000185</t>
  </si>
  <si>
    <t>50000187</t>
  </si>
  <si>
    <t>50000188</t>
  </si>
  <si>
    <t>50000189</t>
  </si>
  <si>
    <t>50000190</t>
  </si>
  <si>
    <t>50000191</t>
  </si>
  <si>
    <t>50000193</t>
  </si>
  <si>
    <t>60000034</t>
  </si>
  <si>
    <t>50000192</t>
  </si>
  <si>
    <t>50000194</t>
  </si>
  <si>
    <t>50000195</t>
  </si>
  <si>
    <t>50000196</t>
  </si>
  <si>
    <t>50000197</t>
  </si>
  <si>
    <t>50000199</t>
  </si>
  <si>
    <t>50000200</t>
  </si>
  <si>
    <t>50000201</t>
  </si>
  <si>
    <t>50000202</t>
  </si>
  <si>
    <t>50000205</t>
  </si>
  <si>
    <t>50000204</t>
  </si>
  <si>
    <t>50000203</t>
  </si>
  <si>
    <t>50000239</t>
  </si>
  <si>
    <t>50000206</t>
  </si>
  <si>
    <t>50000240</t>
  </si>
  <si>
    <t>50000209</t>
  </si>
  <si>
    <t>50000207</t>
  </si>
  <si>
    <t>50000208</t>
  </si>
  <si>
    <t>60000005</t>
  </si>
  <si>
    <t>50000210</t>
  </si>
  <si>
    <t>50000211</t>
  </si>
  <si>
    <t>50000220</t>
  </si>
  <si>
    <t>50000223</t>
  </si>
  <si>
    <t>50000219</t>
  </si>
  <si>
    <t>50000495</t>
  </si>
  <si>
    <t>50000221</t>
  </si>
  <si>
    <t>50000222</t>
  </si>
  <si>
    <t>50000224</t>
  </si>
  <si>
    <t>60000139</t>
  </si>
  <si>
    <t>50000215</t>
  </si>
  <si>
    <t>50000216</t>
  </si>
  <si>
    <t>50000213</t>
  </si>
  <si>
    <t>50000214</t>
  </si>
  <si>
    <t>50000217</t>
  </si>
  <si>
    <t>50000225</t>
  </si>
  <si>
    <t>50000226</t>
  </si>
  <si>
    <t>50000235</t>
  </si>
  <si>
    <t>50000229</t>
  </si>
  <si>
    <t>60000001</t>
  </si>
  <si>
    <t>50000228</t>
  </si>
  <si>
    <t>50000227</t>
  </si>
  <si>
    <t>50000236</t>
  </si>
  <si>
    <t>50000230</t>
  </si>
  <si>
    <t>50000231</t>
  </si>
  <si>
    <t>50000232</t>
  </si>
  <si>
    <t>50000233</t>
  </si>
  <si>
    <t>50000234</t>
  </si>
  <si>
    <t>50000241</t>
  </si>
  <si>
    <t>60000014</t>
  </si>
  <si>
    <t>50000242</t>
  </si>
  <si>
    <t>50000243</t>
  </si>
  <si>
    <t>50000245</t>
  </si>
  <si>
    <t>50000244</t>
  </si>
  <si>
    <t>50000246</t>
  </si>
  <si>
    <t>50000247</t>
  </si>
  <si>
    <t>50000248</t>
  </si>
  <si>
    <t>50000416</t>
  </si>
  <si>
    <t>60000140</t>
  </si>
  <si>
    <t>50000250</t>
  </si>
  <si>
    <t>60000031</t>
  </si>
  <si>
    <t>50000252</t>
  </si>
  <si>
    <t>50000267</t>
  </si>
  <si>
    <t>50000249</t>
  </si>
  <si>
    <t>50000251</t>
  </si>
  <si>
    <t>50000254</t>
  </si>
  <si>
    <t>50000268</t>
  </si>
  <si>
    <t>50000269</t>
  </si>
  <si>
    <t>50000270</t>
  </si>
  <si>
    <t>50000255</t>
  </si>
  <si>
    <t>50000256</t>
  </si>
  <si>
    <t>60000002</t>
  </si>
  <si>
    <t>60000004</t>
  </si>
  <si>
    <t>60000023</t>
  </si>
  <si>
    <t>50000257</t>
  </si>
  <si>
    <t>50000258</t>
  </si>
  <si>
    <t>50000271</t>
  </si>
  <si>
    <t>50000259</t>
  </si>
  <si>
    <t>60000018</t>
  </si>
  <si>
    <t>50000273</t>
  </si>
  <si>
    <t>50000272</t>
  </si>
  <si>
    <t>50000260</t>
  </si>
  <si>
    <t>60000008</t>
  </si>
  <si>
    <t>60000028</t>
  </si>
  <si>
    <t>50000263</t>
  </si>
  <si>
    <t>50000261</t>
  </si>
  <si>
    <t>50000262</t>
  </si>
  <si>
    <t>50000265</t>
  </si>
  <si>
    <t>50000266</t>
  </si>
  <si>
    <t>50000264</t>
  </si>
  <si>
    <t>60000022</t>
  </si>
  <si>
    <t>50000285</t>
  </si>
  <si>
    <t>50000284</t>
  </si>
  <si>
    <t>50000283</t>
  </si>
  <si>
    <t>50000287</t>
  </si>
  <si>
    <t>50000286</t>
  </si>
  <si>
    <t>50000288</t>
  </si>
  <si>
    <t>50000292</t>
  </si>
  <si>
    <t>60000010</t>
  </si>
  <si>
    <t>50000429</t>
  </si>
  <si>
    <t>50000289</t>
  </si>
  <si>
    <t>50000290</t>
  </si>
  <si>
    <t>50000291</t>
  </si>
  <si>
    <t>50000294</t>
  </si>
  <si>
    <t>50000295</t>
  </si>
  <si>
    <t>50000456</t>
  </si>
  <si>
    <t>50000297</t>
  </si>
  <si>
    <t>50000305</t>
  </si>
  <si>
    <t>50000306</t>
  </si>
  <si>
    <t>50000298</t>
  </si>
  <si>
    <t>50000300</t>
  </si>
  <si>
    <t>50000301</t>
  </si>
  <si>
    <t>50000303</t>
  </si>
  <si>
    <t>50000304</t>
  </si>
  <si>
    <t>50000302</t>
  </si>
  <si>
    <t>50000308</t>
  </si>
  <si>
    <t>50000307</t>
  </si>
  <si>
    <t>50000312</t>
  </si>
  <si>
    <t>50000309</t>
  </si>
  <si>
    <t>50000310</t>
  </si>
  <si>
    <t>60000141</t>
  </si>
  <si>
    <t>50000315</t>
  </si>
  <si>
    <t>50000314</t>
  </si>
  <si>
    <t>50000316</t>
  </si>
  <si>
    <t>50000317</t>
  </si>
  <si>
    <t>50000313</t>
  </si>
  <si>
    <t>50000321</t>
  </si>
  <si>
    <t>50000083</t>
  </si>
  <si>
    <t>50000417</t>
  </si>
  <si>
    <t>50000323</t>
  </si>
  <si>
    <t>50000322</t>
  </si>
  <si>
    <t>60000039</t>
  </si>
  <si>
    <t>60000040</t>
  </si>
  <si>
    <t>60000036</t>
  </si>
  <si>
    <t>60000037</t>
  </si>
  <si>
    <t>60000038</t>
  </si>
  <si>
    <t>60000041</t>
  </si>
  <si>
    <t>50000325</t>
  </si>
  <si>
    <t>50000324</t>
  </si>
  <si>
    <t>50000328</t>
  </si>
  <si>
    <t>50000326</t>
  </si>
  <si>
    <t>50000327</t>
  </si>
  <si>
    <t>60000142</t>
  </si>
  <si>
    <t>50000351</t>
  </si>
  <si>
    <t>60000042</t>
  </si>
  <si>
    <t>50000331</t>
  </si>
  <si>
    <t>50000333</t>
  </si>
  <si>
    <t>60000044</t>
  </si>
  <si>
    <t>50000330</t>
  </si>
  <si>
    <t>50000334</t>
  </si>
  <si>
    <t>50000332</t>
  </si>
  <si>
    <t>60000043</t>
  </si>
  <si>
    <t>50000335</t>
  </si>
  <si>
    <t>50000336</t>
  </si>
  <si>
    <t>60000046</t>
  </si>
  <si>
    <t>50000337</t>
  </si>
  <si>
    <t>50000350</t>
  </si>
  <si>
    <t>50000349</t>
  </si>
  <si>
    <t>50000347</t>
  </si>
  <si>
    <t>50000348</t>
  </si>
  <si>
    <t>50000427</t>
  </si>
  <si>
    <t>50000352</t>
  </si>
  <si>
    <t>50000339</t>
  </si>
  <si>
    <t>50000340</t>
  </si>
  <si>
    <t>50000341</t>
  </si>
  <si>
    <t>50000342</t>
  </si>
  <si>
    <t>60000047</t>
  </si>
  <si>
    <t>50000344</t>
  </si>
  <si>
    <t>50000343</t>
  </si>
  <si>
    <t>60000055</t>
  </si>
  <si>
    <t>50000346</t>
  </si>
  <si>
    <t>50000345</t>
  </si>
  <si>
    <t>50000363</t>
  </si>
  <si>
    <t>50000367</t>
  </si>
  <si>
    <t>50000368</t>
  </si>
  <si>
    <t>50000369</t>
  </si>
  <si>
    <t>50000353</t>
  </si>
  <si>
    <t>50000355</t>
  </si>
  <si>
    <t>50000356</t>
  </si>
  <si>
    <t>50000357</t>
  </si>
  <si>
    <t>50000358</t>
  </si>
  <si>
    <t>50000354</t>
  </si>
  <si>
    <t>50000359</t>
  </si>
  <si>
    <t>60000048</t>
  </si>
  <si>
    <t>50000365</t>
  </si>
  <si>
    <t>50000366</t>
  </si>
  <si>
    <t>50000361</t>
  </si>
  <si>
    <t>60000049</t>
  </si>
  <si>
    <t>50000360</t>
  </si>
  <si>
    <t>50000362</t>
  </si>
  <si>
    <t>60000050</t>
  </si>
  <si>
    <t>50000364</t>
  </si>
  <si>
    <t>50000371</t>
  </si>
  <si>
    <t>60000051</t>
  </si>
  <si>
    <t>50000370</t>
  </si>
  <si>
    <t>50000373</t>
  </si>
  <si>
    <t>60000053</t>
  </si>
  <si>
    <t>50000372</t>
  </si>
  <si>
    <t>60000052</t>
  </si>
  <si>
    <t>50000374</t>
  </si>
  <si>
    <t>50000375</t>
  </si>
  <si>
    <t>50000382</t>
  </si>
  <si>
    <t>50000376</t>
  </si>
  <si>
    <t>50000377</t>
  </si>
  <si>
    <t>50000380</t>
  </si>
  <si>
    <t>50000379</t>
  </si>
  <si>
    <t>50000381</t>
  </si>
  <si>
    <t>50000378</t>
  </si>
  <si>
    <t>60000054</t>
  </si>
  <si>
    <t>50000128</t>
  </si>
  <si>
    <t>50000383</t>
  </si>
  <si>
    <t>50000385</t>
  </si>
  <si>
    <t>50000393</t>
  </si>
  <si>
    <t>50000386</t>
  </si>
  <si>
    <t>60000143</t>
  </si>
  <si>
    <t>50000329</t>
  </si>
  <si>
    <t>50000388</t>
  </si>
  <si>
    <t>50000389</t>
  </si>
  <si>
    <t>50000390</t>
  </si>
  <si>
    <t>50000396</t>
  </si>
  <si>
    <t>50000395</t>
  </si>
  <si>
    <t>50000392</t>
  </si>
  <si>
    <t>50000391</t>
  </si>
  <si>
    <t>60000056</t>
  </si>
  <si>
    <t>60000057</t>
  </si>
  <si>
    <t>50000397</t>
  </si>
  <si>
    <t>50000394</t>
  </si>
  <si>
    <t>50000398</t>
  </si>
  <si>
    <t>60000058</t>
  </si>
  <si>
    <t>50000401</t>
  </si>
  <si>
    <t>50000108</t>
  </si>
  <si>
    <t>50000400</t>
  </si>
  <si>
    <t>60000063</t>
  </si>
  <si>
    <t>50000404</t>
  </si>
  <si>
    <t>50000403</t>
  </si>
  <si>
    <t>50000406</t>
  </si>
  <si>
    <t>60000059</t>
  </si>
  <si>
    <t>50000411</t>
  </si>
  <si>
    <t>50000409</t>
  </si>
  <si>
    <t>50000405</t>
  </si>
  <si>
    <t>50000407</t>
  </si>
  <si>
    <t>60000062</t>
  </si>
  <si>
    <t>50000299</t>
  </si>
  <si>
    <t>60000064</t>
  </si>
  <si>
    <t>50000408</t>
  </si>
  <si>
    <t>50000414</t>
  </si>
  <si>
    <t>50000415</t>
  </si>
  <si>
    <t>50000418</t>
  </si>
  <si>
    <t>50000413</t>
  </si>
  <si>
    <t>60000060</t>
  </si>
  <si>
    <t>60000061</t>
  </si>
  <si>
    <t>50000419</t>
  </si>
  <si>
    <t>50000423</t>
  </si>
  <si>
    <t>50000428</t>
  </si>
  <si>
    <t>50000424</t>
  </si>
  <si>
    <t>50000425</t>
  </si>
  <si>
    <t>50000520</t>
  </si>
  <si>
    <t>50000422</t>
  </si>
  <si>
    <t>50000174</t>
  </si>
  <si>
    <t>50000421</t>
  </si>
  <si>
    <t>50000133</t>
  </si>
  <si>
    <t>50000430</t>
  </si>
  <si>
    <t>60000066</t>
  </si>
  <si>
    <t>50000434</t>
  </si>
  <si>
    <t>50000432</t>
  </si>
  <si>
    <t>50000431</t>
  </si>
  <si>
    <t>60000065</t>
  </si>
  <si>
    <t>50000438</t>
  </si>
  <si>
    <t>60000067</t>
  </si>
  <si>
    <t>50000439</t>
  </si>
  <si>
    <t>50000440</t>
  </si>
  <si>
    <t>50000442</t>
  </si>
  <si>
    <t>50000441</t>
  </si>
  <si>
    <t>60000069</t>
  </si>
  <si>
    <t>60000068</t>
  </si>
  <si>
    <t>60000070</t>
  </si>
  <si>
    <t>50000212</t>
  </si>
  <si>
    <t>50000444</t>
  </si>
  <si>
    <t>50000435</t>
  </si>
  <si>
    <t>50000080</t>
  </si>
  <si>
    <t>50000139</t>
  </si>
  <si>
    <t>50000445</t>
  </si>
  <si>
    <t>50000452</t>
  </si>
  <si>
    <t>50000451</t>
  </si>
  <si>
    <t>60000071</t>
  </si>
  <si>
    <t>60000072</t>
  </si>
  <si>
    <t>50000449</t>
  </si>
  <si>
    <t>50000453</t>
  </si>
  <si>
    <t>60000074</t>
  </si>
  <si>
    <t>60000073</t>
  </si>
  <si>
    <t>50000454</t>
  </si>
  <si>
    <t>60000075</t>
  </si>
  <si>
    <t>50000455</t>
  </si>
  <si>
    <t>50000096</t>
  </si>
  <si>
    <t>50000457</t>
  </si>
  <si>
    <t>60000076</t>
  </si>
  <si>
    <t>50000458</t>
  </si>
  <si>
    <t>50000460</t>
  </si>
  <si>
    <t>50000464</t>
  </si>
  <si>
    <t>50000462</t>
  </si>
  <si>
    <t>60000077</t>
  </si>
  <si>
    <t>50000465</t>
  </si>
  <si>
    <t>60000078</t>
  </si>
  <si>
    <t>50000459</t>
  </si>
  <si>
    <t>50000461</t>
  </si>
  <si>
    <t>50000474</t>
  </si>
  <si>
    <t>60000079</t>
  </si>
  <si>
    <t>60000080</t>
  </si>
  <si>
    <t>60000083</t>
  </si>
  <si>
    <t>60000081</t>
  </si>
  <si>
    <t>60000082</t>
  </si>
  <si>
    <t>60000084</t>
  </si>
  <si>
    <t>50000466</t>
  </si>
  <si>
    <t>50000468</t>
  </si>
  <si>
    <t>50000467</t>
  </si>
  <si>
    <t>50000507</t>
  </si>
  <si>
    <t>50000523</t>
  </si>
  <si>
    <t>50000568</t>
  </si>
  <si>
    <t>60000085</t>
  </si>
  <si>
    <t>50000471</t>
  </si>
  <si>
    <t>60000086</t>
  </si>
  <si>
    <t>50000472</t>
  </si>
  <si>
    <t>60000087</t>
  </si>
  <si>
    <t>60000092</t>
  </si>
  <si>
    <t>60000088</t>
  </si>
  <si>
    <t>60000091</t>
  </si>
  <si>
    <t>60000090</t>
  </si>
  <si>
    <t>60000089</t>
  </si>
  <si>
    <t>60000093</t>
  </si>
  <si>
    <t>50000506</t>
  </si>
  <si>
    <t>60000094</t>
  </si>
  <si>
    <t>50000476</t>
  </si>
  <si>
    <t>60000095</t>
  </si>
  <si>
    <t>60000096</t>
  </si>
  <si>
    <t>60000097</t>
  </si>
  <si>
    <t>50000492</t>
  </si>
  <si>
    <t>50000481</t>
  </si>
  <si>
    <t>50000485</t>
  </si>
  <si>
    <t>50000487</t>
  </si>
  <si>
    <t>50000494</t>
  </si>
  <si>
    <t>50000480</t>
  </si>
  <si>
    <t>50000484</t>
  </si>
  <si>
    <t>50000483</t>
  </si>
  <si>
    <t>50000486</t>
  </si>
  <si>
    <t>50000482</t>
  </si>
  <si>
    <t>50000493</t>
  </si>
  <si>
    <t>50000479</t>
  </si>
  <si>
    <t>50000490</t>
  </si>
  <si>
    <t>50000488</t>
  </si>
  <si>
    <t>50000489</t>
  </si>
  <si>
    <t>50000477</t>
  </si>
  <si>
    <t>50000478</t>
  </si>
  <si>
    <t>60000098</t>
  </si>
  <si>
    <t>60000099</t>
  </si>
  <si>
    <t>50000253</t>
  </si>
  <si>
    <t>50000491</t>
  </si>
  <si>
    <t>50000498</t>
  </si>
  <si>
    <t>50000497</t>
  </si>
  <si>
    <t>60000104</t>
  </si>
  <si>
    <t>50000501</t>
  </si>
  <si>
    <t>50000502</t>
  </si>
  <si>
    <t>50000500</t>
  </si>
  <si>
    <t>50000503</t>
  </si>
  <si>
    <t>60000108</t>
  </si>
  <si>
    <t>50000508</t>
  </si>
  <si>
    <t>50000504</t>
  </si>
  <si>
    <t>50000141</t>
  </si>
  <si>
    <t>50000505</t>
  </si>
  <si>
    <t>50000509</t>
  </si>
  <si>
    <t>50000134</t>
  </si>
  <si>
    <t>50000296</t>
  </si>
  <si>
    <t>50000510</t>
  </si>
  <si>
    <t>60000109</t>
  </si>
  <si>
    <t>60000115</t>
  </si>
  <si>
    <t>60000111</t>
  </si>
  <si>
    <t>60000112</t>
  </si>
  <si>
    <t>60000114</t>
  </si>
  <si>
    <t>60000110</t>
  </si>
  <si>
    <t>50000511</t>
  </si>
  <si>
    <t>50000529</t>
  </si>
  <si>
    <t>50000387</t>
  </si>
  <si>
    <t>50000521</t>
  </si>
  <si>
    <t>60000116</t>
  </si>
  <si>
    <t>50000514</t>
  </si>
  <si>
    <t>50000512</t>
  </si>
  <si>
    <t>50000513</t>
  </si>
  <si>
    <t>50000530</t>
  </si>
  <si>
    <t>60000119</t>
  </si>
  <si>
    <t>60000117</t>
  </si>
  <si>
    <t>60000118</t>
  </si>
  <si>
    <t>50000516</t>
  </si>
  <si>
    <t>50000515</t>
  </si>
  <si>
    <t>60000120</t>
  </si>
  <si>
    <t>50000402</t>
  </si>
  <si>
    <t>50000518</t>
  </si>
  <si>
    <t>50000447</t>
  </si>
  <si>
    <t>50000519</t>
  </si>
  <si>
    <t>50000528</t>
  </si>
  <si>
    <t>50000522</t>
  </si>
  <si>
    <t>50000525</t>
  </si>
  <si>
    <t>50000524</t>
  </si>
  <si>
    <t>50000527</t>
  </si>
  <si>
    <t>50000469</t>
  </si>
  <si>
    <t>50000475</t>
  </si>
  <si>
    <t>50000517</t>
  </si>
  <si>
    <t>60000122</t>
  </si>
  <si>
    <t>50000526</t>
  </si>
  <si>
    <t>60000123</t>
  </si>
  <si>
    <t>60000124</t>
  </si>
  <si>
    <t>60000125</t>
  </si>
  <si>
    <t>50000534</t>
  </si>
  <si>
    <t>50000535</t>
  </si>
  <si>
    <t>50000532</t>
  </si>
  <si>
    <t>50000538</t>
  </si>
  <si>
    <t>60000126</t>
  </si>
  <si>
    <t>50000536</t>
  </si>
  <si>
    <t>60000127</t>
  </si>
  <si>
    <t>50000539</t>
  </si>
  <si>
    <t>50000540</t>
  </si>
  <si>
    <t>50000537</t>
  </si>
  <si>
    <t>50000541</t>
  </si>
  <si>
    <t>50000542</t>
  </si>
  <si>
    <t>50000565</t>
  </si>
  <si>
    <t>50000545</t>
  </si>
  <si>
    <t>50000544</t>
  </si>
  <si>
    <t>50000550</t>
  </si>
  <si>
    <t>50000551</t>
  </si>
  <si>
    <t>50000546</t>
  </si>
  <si>
    <t>50000549</t>
  </si>
  <si>
    <t>50000548</t>
  </si>
  <si>
    <t>50000053</t>
  </si>
  <si>
    <t>50000554</t>
  </si>
  <si>
    <t>60000128</t>
  </si>
  <si>
    <t>50000555</t>
  </si>
  <si>
    <t>50000552</t>
  </si>
  <si>
    <t>50000556</t>
  </si>
  <si>
    <t>50000560</t>
  </si>
  <si>
    <t>50000561</t>
  </si>
  <si>
    <t>60000129</t>
  </si>
  <si>
    <t>50000110</t>
  </si>
  <si>
    <t>50000557</t>
  </si>
  <si>
    <t>50000558</t>
  </si>
  <si>
    <t>50000562</t>
  </si>
  <si>
    <t>60000132</t>
  </si>
  <si>
    <t>60000133</t>
  </si>
  <si>
    <t>50000563</t>
  </si>
  <si>
    <t>50000566</t>
  </si>
  <si>
    <t>50000437</t>
  </si>
  <si>
    <t>50000569</t>
  </si>
  <si>
    <t>50000567</t>
  </si>
  <si>
    <t>50000570</t>
  </si>
  <si>
    <t>50000564</t>
  </si>
  <si>
    <t>60000134</t>
  </si>
  <si>
    <t>60000135</t>
  </si>
  <si>
    <t>50000571</t>
  </si>
  <si>
    <t>50000572</t>
  </si>
  <si>
    <t>50000573</t>
  </si>
  <si>
    <t>60000136</t>
  </si>
  <si>
    <t>60000131</t>
  </si>
  <si>
    <t>60000130</t>
  </si>
  <si>
    <t>60000106</t>
  </si>
  <si>
    <t>60000102</t>
  </si>
  <si>
    <t>60000101</t>
  </si>
  <si>
    <t>50000496</t>
  </si>
  <si>
    <t>50000499</t>
  </si>
  <si>
    <t>60000103</t>
  </si>
  <si>
    <t>60000105</t>
  </si>
  <si>
    <t>60000121</t>
  </si>
  <si>
    <t>SSFF</t>
  </si>
  <si>
    <t>SAP</t>
  </si>
  <si>
    <t># id_persona</t>
  </si>
  <si>
    <t>dni</t>
  </si>
  <si>
    <t>665</t>
  </si>
  <si>
    <t>200</t>
  </si>
  <si>
    <t>451</t>
  </si>
  <si>
    <t>121</t>
  </si>
  <si>
    <t>273</t>
  </si>
  <si>
    <t>656</t>
  </si>
  <si>
    <t>537</t>
  </si>
  <si>
    <t>315</t>
  </si>
  <si>
    <t>559</t>
  </si>
  <si>
    <t>562</t>
  </si>
  <si>
    <t>59</t>
  </si>
  <si>
    <t>705</t>
  </si>
  <si>
    <t>1</t>
  </si>
  <si>
    <t>602</t>
  </si>
  <si>
    <t>275</t>
  </si>
  <si>
    <t>516</t>
  </si>
  <si>
    <t>88</t>
  </si>
  <si>
    <t>702</t>
  </si>
  <si>
    <t>82</t>
  </si>
  <si>
    <t>606</t>
  </si>
  <si>
    <t>621</t>
  </si>
  <si>
    <t>785</t>
  </si>
  <si>
    <t>111</t>
  </si>
  <si>
    <t>25</t>
  </si>
  <si>
    <t>571</t>
  </si>
  <si>
    <t>9</t>
  </si>
  <si>
    <t>399</t>
  </si>
  <si>
    <t>306</t>
  </si>
  <si>
    <t>45</t>
  </si>
  <si>
    <t>490</t>
  </si>
  <si>
    <t>668</t>
  </si>
  <si>
    <t>276</t>
  </si>
  <si>
    <t>203</t>
  </si>
  <si>
    <t>763</t>
  </si>
  <si>
    <t>79</t>
  </si>
  <si>
    <t>104</t>
  </si>
  <si>
    <t>609</t>
  </si>
  <si>
    <t>57</t>
  </si>
  <si>
    <t>250</t>
  </si>
  <si>
    <t>17</t>
  </si>
  <si>
    <t>351</t>
  </si>
  <si>
    <t>2</t>
  </si>
  <si>
    <t>83</t>
  </si>
  <si>
    <t>52</t>
  </si>
  <si>
    <t>201</t>
  </si>
  <si>
    <t>4</t>
  </si>
  <si>
    <t>622</t>
  </si>
  <si>
    <t>53</t>
  </si>
  <si>
    <t>554</t>
  </si>
  <si>
    <t>197</t>
  </si>
  <si>
    <t>528</t>
  </si>
  <si>
    <t>107</t>
  </si>
  <si>
    <t>720</t>
  </si>
  <si>
    <t>236</t>
  </si>
  <si>
    <t>748</t>
  </si>
  <si>
    <t>67</t>
  </si>
  <si>
    <t>589</t>
  </si>
  <si>
    <t>24</t>
  </si>
  <si>
    <t>453</t>
  </si>
  <si>
    <t>397</t>
  </si>
  <si>
    <t>124</t>
  </si>
  <si>
    <t>221</t>
  </si>
  <si>
    <t>304</t>
  </si>
  <si>
    <t>136</t>
  </si>
  <si>
    <t>707</t>
  </si>
  <si>
    <t>329</t>
  </si>
  <si>
    <t>135</t>
  </si>
  <si>
    <t>629</t>
  </si>
  <si>
    <t>499</t>
  </si>
  <si>
    <t>74</t>
  </si>
  <si>
    <t>469</t>
  </si>
  <si>
    <t>356</t>
  </si>
  <si>
    <t>138</t>
  </si>
  <si>
    <t>715</t>
  </si>
  <si>
    <t>354</t>
  </si>
  <si>
    <t>381</t>
  </si>
  <si>
    <t>3</t>
  </si>
  <si>
    <t>663</t>
  </si>
  <si>
    <t>581</t>
  </si>
  <si>
    <t>35</t>
  </si>
  <si>
    <t>779</t>
  </si>
  <si>
    <t>66</t>
  </si>
  <si>
    <t>416</t>
  </si>
  <si>
    <t>202</t>
  </si>
  <si>
    <t>222</t>
  </si>
  <si>
    <t>26</t>
  </si>
  <si>
    <t>95</t>
  </si>
  <si>
    <t>55</t>
  </si>
  <si>
    <t>603</t>
  </si>
  <si>
    <t>721</t>
  </si>
  <si>
    <t>472</t>
  </si>
  <si>
    <t>625</t>
  </si>
  <si>
    <t>433</t>
  </si>
  <si>
    <t>14</t>
  </si>
  <si>
    <t>414</t>
  </si>
  <si>
    <t>22</t>
  </si>
  <si>
    <t>726</t>
  </si>
  <si>
    <t>436</t>
  </si>
  <si>
    <t>677</t>
  </si>
  <si>
    <t>597</t>
  </si>
  <si>
    <t>643</t>
  </si>
  <si>
    <t>47</t>
  </si>
  <si>
    <t>102</t>
  </si>
  <si>
    <t>418</t>
  </si>
  <si>
    <t>610</t>
  </si>
  <si>
    <t>291</t>
  </si>
  <si>
    <t>279</t>
  </si>
  <si>
    <t>634</t>
  </si>
  <si>
    <t>192</t>
  </si>
  <si>
    <t>32</t>
  </si>
  <si>
    <t>507</t>
  </si>
  <si>
    <t>154</t>
  </si>
  <si>
    <t>196</t>
  </si>
  <si>
    <t>178</t>
  </si>
  <si>
    <t>585</t>
  </si>
  <si>
    <t>15</t>
  </si>
  <si>
    <t>31</t>
  </si>
  <si>
    <t>75</t>
  </si>
  <si>
    <t>446</t>
  </si>
  <si>
    <t>340</t>
  </si>
  <si>
    <t>92</t>
  </si>
  <si>
    <t>607</t>
  </si>
  <si>
    <t>448</t>
  </si>
  <si>
    <t>268</t>
  </si>
  <si>
    <t>19</t>
  </si>
  <si>
    <t>421</t>
  </si>
  <si>
    <t>103</t>
  </si>
  <si>
    <t>290</t>
  </si>
  <si>
    <t>390</t>
  </si>
  <si>
    <t>44</t>
  </si>
  <si>
    <t>365</t>
  </si>
  <si>
    <t>56</t>
  </si>
  <si>
    <t>98</t>
  </si>
  <si>
    <t>50</t>
  </si>
  <si>
    <t>62</t>
  </si>
  <si>
    <t>684</t>
  </si>
  <si>
    <t>76</t>
  </si>
  <si>
    <t>16</t>
  </si>
  <si>
    <t>231</t>
  </si>
  <si>
    <t>12</t>
  </si>
  <si>
    <t>108</t>
  </si>
  <si>
    <t>704</t>
  </si>
  <si>
    <t>754</t>
  </si>
  <si>
    <t>235</t>
  </si>
  <si>
    <t>11</t>
  </si>
  <si>
    <t>309</t>
  </si>
  <si>
    <t>46</t>
  </si>
  <si>
    <t>93</t>
  </si>
  <si>
    <t>89</t>
  </si>
  <si>
    <t>598</t>
  </si>
  <si>
    <t>265</t>
  </si>
  <si>
    <t>116</t>
  </si>
  <si>
    <t>38</t>
  </si>
  <si>
    <t>584</t>
  </si>
  <si>
    <t>536</t>
  </si>
  <si>
    <t>29</t>
  </si>
  <si>
    <t>533</t>
  </si>
  <si>
    <t>41</t>
  </si>
  <si>
    <t>21</t>
  </si>
  <si>
    <t>774</t>
  </si>
  <si>
    <t>61</t>
  </si>
  <si>
    <t>708</t>
  </si>
  <si>
    <t>294</t>
  </si>
  <si>
    <t>204</t>
  </si>
  <si>
    <t>388</t>
  </si>
  <si>
    <t>353</t>
  </si>
  <si>
    <t>30</t>
  </si>
  <si>
    <t>112</t>
  </si>
  <si>
    <t>413</t>
  </si>
  <si>
    <t>114</t>
  </si>
  <si>
    <t>545</t>
  </si>
  <si>
    <t>220</t>
  </si>
  <si>
    <t>145</t>
  </si>
  <si>
    <t>43</t>
  </si>
  <si>
    <t>352</t>
  </si>
  <si>
    <t>58</t>
  </si>
  <si>
    <t>8</t>
  </si>
  <si>
    <t>463</t>
  </si>
  <si>
    <t>109</t>
  </si>
  <si>
    <t>240</t>
  </si>
  <si>
    <t>36</t>
  </si>
  <si>
    <t>317</t>
  </si>
  <si>
    <t>33</t>
  </si>
  <si>
    <t>623</t>
  </si>
  <si>
    <t>69</t>
  </si>
  <si>
    <t>437</t>
  </si>
  <si>
    <t>152</t>
  </si>
  <si>
    <t>285</t>
  </si>
  <si>
    <t>78</t>
  </si>
  <si>
    <t>147</t>
  </si>
  <si>
    <t>191</t>
  </si>
  <si>
    <t>745</t>
  </si>
  <si>
    <t>464</t>
  </si>
  <si>
    <t>455</t>
  </si>
  <si>
    <t>49</t>
  </si>
  <si>
    <t>246</t>
  </si>
  <si>
    <t>199</t>
  </si>
  <si>
    <t>7</t>
  </si>
  <si>
    <t>96</t>
  </si>
  <si>
    <t>39</t>
  </si>
  <si>
    <t>131</t>
  </si>
  <si>
    <t>157</t>
  </si>
  <si>
    <t>465</t>
  </si>
  <si>
    <t>269</t>
  </si>
  <si>
    <t>539</t>
  </si>
  <si>
    <t>193</t>
  </si>
  <si>
    <t>430</t>
  </si>
  <si>
    <t>432</t>
  </si>
  <si>
    <t>60</t>
  </si>
  <si>
    <t>494</t>
  </si>
  <si>
    <t>527</t>
  </si>
  <si>
    <t>242</t>
  </si>
  <si>
    <t>686</t>
  </si>
  <si>
    <t>42</t>
  </si>
  <si>
    <t>393</t>
  </si>
  <si>
    <t>475</t>
  </si>
  <si>
    <t>305</t>
  </si>
  <si>
    <t>471</t>
  </si>
  <si>
    <t>71</t>
  </si>
  <si>
    <t>20</t>
  </si>
  <si>
    <t>419</t>
  </si>
  <si>
    <t>51</t>
  </si>
  <si>
    <t>34</t>
  </si>
  <si>
    <t>569</t>
  </si>
  <si>
    <t>457</t>
  </si>
  <si>
    <t>70</t>
  </si>
  <si>
    <t>80</t>
  </si>
  <si>
    <t>491</t>
  </si>
  <si>
    <t>23</t>
  </si>
  <si>
    <t>375</t>
  </si>
  <si>
    <t>72</t>
  </si>
  <si>
    <t>740</t>
  </si>
  <si>
    <t>482</t>
  </si>
  <si>
    <t>217</t>
  </si>
  <si>
    <t>549</t>
  </si>
  <si>
    <t>633</t>
  </si>
  <si>
    <t>644</t>
  </si>
  <si>
    <t>391</t>
  </si>
  <si>
    <t>289</t>
  </si>
  <si>
    <t>293</t>
  </si>
  <si>
    <t>270</t>
  </si>
  <si>
    <t>148</t>
  </si>
  <si>
    <t>110</t>
  </si>
  <si>
    <t>572</t>
  </si>
  <si>
    <t>557</t>
  </si>
  <si>
    <t>638</t>
  </si>
  <si>
    <t>86</t>
  </si>
  <si>
    <t>697</t>
  </si>
  <si>
    <t>368</t>
  </si>
  <si>
    <t>378</t>
  </si>
  <si>
    <t>6</t>
  </si>
  <si>
    <t>628</t>
  </si>
  <si>
    <t>73</t>
  </si>
  <si>
    <t>319</t>
  </si>
  <si>
    <t>343</t>
  </si>
  <si>
    <t>123</t>
  </si>
  <si>
    <t>753</t>
  </si>
  <si>
    <t>531</t>
  </si>
  <si>
    <t>106</t>
  </si>
  <si>
    <t>277</t>
  </si>
  <si>
    <t>653</t>
  </si>
  <si>
    <t>342</t>
  </si>
  <si>
    <t>379</t>
  </si>
  <si>
    <t>719</t>
  </si>
  <si>
    <t>13</t>
  </si>
  <si>
    <t>226</t>
  </si>
  <si>
    <t>548</t>
  </si>
  <si>
    <t>292</t>
  </si>
  <si>
    <t>126</t>
  </si>
  <si>
    <t>605</t>
  </si>
  <si>
    <t>84</t>
  </si>
  <si>
    <t>640</t>
  </si>
  <si>
    <t>48</t>
  </si>
  <si>
    <t>100</t>
  </si>
  <si>
    <t>583</t>
  </si>
  <si>
    <t>295</t>
  </si>
  <si>
    <t>37</t>
  </si>
  <si>
    <t>245</t>
  </si>
  <si>
    <t>614</t>
  </si>
  <si>
    <t>730</t>
  </si>
  <si>
    <t>651</t>
  </si>
  <si>
    <t>176</t>
  </si>
  <si>
    <t>488</t>
  </si>
  <si>
    <t>65</t>
  </si>
  <si>
    <t>636</t>
  </si>
  <si>
    <t>450</t>
  </si>
  <si>
    <t>477</t>
  </si>
  <si>
    <t>224</t>
  </si>
  <si>
    <t>143</t>
  </si>
  <si>
    <t>90</t>
  </si>
  <si>
    <t>751</t>
  </si>
  <si>
    <t>225</t>
  </si>
  <si>
    <t>385</t>
  </si>
  <si>
    <t>355</t>
  </si>
  <si>
    <t>175</t>
  </si>
  <si>
    <t>449</t>
  </si>
  <si>
    <t>373</t>
  </si>
  <si>
    <t>179</t>
  </si>
  <si>
    <t>401</t>
  </si>
  <si>
    <t>165</t>
  </si>
  <si>
    <t>742</t>
  </si>
  <si>
    <t>674</t>
  </si>
  <si>
    <t>288</t>
  </si>
  <si>
    <t>243</t>
  </si>
  <si>
    <t>162</t>
  </si>
  <si>
    <t>535</t>
  </si>
  <si>
    <t>579</t>
  </si>
  <si>
    <t>210</t>
  </si>
  <si>
    <t>766</t>
  </si>
  <si>
    <t>487</t>
  </si>
  <si>
    <t>173</t>
  </si>
  <si>
    <t>506</t>
  </si>
  <si>
    <t>757</t>
  </si>
  <si>
    <t>481</t>
  </si>
  <si>
    <t>337</t>
  </si>
  <si>
    <t>406</t>
  </si>
  <si>
    <t>400</t>
  </si>
  <si>
    <t>313</t>
  </si>
  <si>
    <t>320</t>
  </si>
  <si>
    <t>232</t>
  </si>
  <si>
    <t>367</t>
  </si>
  <si>
    <t>749</t>
  </si>
  <si>
    <t>101</t>
  </si>
  <si>
    <t>5</t>
  </si>
  <si>
    <t>575</t>
  </si>
  <si>
    <t>256</t>
  </si>
  <si>
    <t>497</t>
  </si>
  <si>
    <t>573</t>
  </si>
  <si>
    <t>461</t>
  </si>
  <si>
    <t>620</t>
  </si>
  <si>
    <t>675</t>
  </si>
  <si>
    <t>616</t>
  </si>
  <si>
    <t>642</t>
  </si>
  <si>
    <t>782</t>
  </si>
  <si>
    <t>359</t>
  </si>
  <si>
    <t>272</t>
  </si>
  <si>
    <t>87</t>
  </si>
  <si>
    <t>188</t>
  </si>
  <si>
    <t>563</t>
  </si>
  <si>
    <t>434</t>
  </si>
  <si>
    <t>377</t>
  </si>
  <si>
    <t>695</t>
  </si>
  <si>
    <t>787</t>
  </si>
  <si>
    <t>712</t>
  </si>
  <si>
    <t>582</t>
  </si>
  <si>
    <t>592</t>
  </si>
  <si>
    <t>211</t>
  </si>
  <si>
    <t>349</t>
  </si>
  <si>
    <t>186</t>
  </si>
  <si>
    <t>468</t>
  </si>
  <si>
    <t>580</t>
  </si>
  <si>
    <t>738</t>
  </si>
  <si>
    <t>773</t>
  </si>
  <si>
    <t>706</t>
  </si>
  <si>
    <t>524</t>
  </si>
  <si>
    <t>139</t>
  </si>
  <si>
    <t>599</t>
  </si>
  <si>
    <t>151</t>
  </si>
  <si>
    <t>10</t>
  </si>
  <si>
    <t>310</t>
  </si>
  <si>
    <t>618</t>
  </si>
  <si>
    <t>682</t>
  </si>
  <si>
    <t>626</t>
  </si>
  <si>
    <t>77</t>
  </si>
  <si>
    <t>125</t>
  </si>
  <si>
    <t>408</t>
  </si>
  <si>
    <t>64</t>
  </si>
  <si>
    <t>594</t>
  </si>
  <si>
    <t>736</t>
  </si>
  <si>
    <t>501</t>
  </si>
  <si>
    <t>286</t>
  </si>
  <si>
    <t>724</t>
  </si>
  <si>
    <t>371</t>
  </si>
  <si>
    <t>369</t>
  </si>
  <si>
    <t>120</t>
  </si>
  <si>
    <t>318</t>
  </si>
  <si>
    <t>184</t>
  </si>
  <si>
    <t>417</t>
  </si>
  <si>
    <t>358</t>
  </si>
  <si>
    <t>619</t>
  </si>
  <si>
    <t>223</t>
  </si>
  <si>
    <t>699</t>
  </si>
  <si>
    <t>486</t>
  </si>
  <si>
    <t>710</t>
  </si>
  <si>
    <t>63</t>
  </si>
  <si>
    <t>182</t>
  </si>
  <si>
    <t>727</t>
  </si>
  <si>
    <t>233</t>
  </si>
  <si>
    <t>336</t>
  </si>
  <si>
    <t>266</t>
  </si>
  <si>
    <t>150</t>
  </si>
  <si>
    <t>134</t>
  </si>
  <si>
    <t>287</t>
  </si>
  <si>
    <t>484</t>
  </si>
  <si>
    <t>771</t>
  </si>
  <si>
    <t>282</t>
  </si>
  <si>
    <t>382</t>
  </si>
  <si>
    <t>723</t>
  </si>
  <si>
    <t>307</t>
  </si>
  <si>
    <t>296</t>
  </si>
  <si>
    <t>81</t>
  </si>
  <si>
    <t>688</t>
  </si>
  <si>
    <t>322</t>
  </si>
  <si>
    <t>325</t>
  </si>
  <si>
    <t>454</t>
  </si>
  <si>
    <t>402</t>
  </si>
  <si>
    <t>321</t>
  </si>
  <si>
    <t>586</t>
  </si>
  <si>
    <t>345</t>
  </si>
  <si>
    <t>564</t>
  </si>
  <si>
    <t>394</t>
  </si>
  <si>
    <t>458</t>
  </si>
  <si>
    <t>662</t>
  </si>
  <si>
    <t>513</t>
  </si>
  <si>
    <t>587</t>
  </si>
  <si>
    <t>729</t>
  </si>
  <si>
    <t>467</t>
  </si>
  <si>
    <t>426</t>
  </si>
  <si>
    <t>271</t>
  </si>
  <si>
    <t>780</t>
  </si>
  <si>
    <t>660</t>
  </si>
  <si>
    <t>422</t>
  </si>
  <si>
    <t>274</t>
  </si>
  <si>
    <t>425</t>
  </si>
  <si>
    <t>364</t>
  </si>
  <si>
    <t>517</t>
  </si>
  <si>
    <t>462</t>
  </si>
  <si>
    <t>588</t>
  </si>
  <si>
    <t>770</t>
  </si>
  <si>
    <t>650</t>
  </si>
  <si>
    <t>439</t>
  </si>
  <si>
    <t>68</t>
  </si>
  <si>
    <t>181</t>
  </si>
  <si>
    <t>244</t>
  </si>
  <si>
    <t>495</t>
  </si>
  <si>
    <t>532</t>
  </si>
  <si>
    <t>611</t>
  </si>
  <si>
    <t>301</t>
  </si>
  <si>
    <t>194</t>
  </si>
  <si>
    <t>335</t>
  </si>
  <si>
    <t>659</t>
  </si>
  <si>
    <t>183</t>
  </si>
  <si>
    <t>190</t>
  </si>
  <si>
    <t>744</t>
  </si>
  <si>
    <t>361</t>
  </si>
  <si>
    <t>553</t>
  </si>
  <si>
    <t>596</t>
  </si>
  <si>
    <t>473</t>
  </si>
  <si>
    <t>489</t>
  </si>
  <si>
    <t>278</t>
  </si>
  <si>
    <t>424</t>
  </si>
  <si>
    <t>396</t>
  </si>
  <si>
    <t>631</t>
  </si>
  <si>
    <t>234</t>
  </si>
  <si>
    <t>577</t>
  </si>
  <si>
    <t>339</t>
  </si>
  <si>
    <t>566</t>
  </si>
  <si>
    <t>238</t>
  </si>
  <si>
    <t>239</t>
  </si>
  <si>
    <t>372</t>
  </si>
  <si>
    <t>249</t>
  </si>
  <si>
    <t>230</t>
  </si>
  <si>
    <t>624</t>
  </si>
  <si>
    <t>534</t>
  </si>
  <si>
    <t>747</t>
  </si>
  <si>
    <t>681</t>
  </si>
  <si>
    <t>213</t>
  </si>
  <si>
    <t>438</t>
  </si>
  <si>
    <t>570</t>
  </si>
  <si>
    <t>666</t>
  </si>
  <si>
    <t>383</t>
  </si>
  <si>
    <t>332</t>
  </si>
  <si>
    <t>338</t>
  </si>
  <si>
    <t>113</t>
  </si>
  <si>
    <t>428</t>
  </si>
  <si>
    <t>655</t>
  </si>
  <si>
    <t>410</t>
  </si>
  <si>
    <t>264</t>
  </si>
  <si>
    <t>768</t>
  </si>
  <si>
    <t>311</t>
  </si>
  <si>
    <t>85</t>
  </si>
  <si>
    <t>775</t>
  </si>
  <si>
    <t>172</t>
  </si>
  <si>
    <t>558</t>
  </si>
  <si>
    <t>551</t>
  </si>
  <si>
    <t>163</t>
  </si>
  <si>
    <t>167</t>
  </si>
  <si>
    <t>18</t>
  </si>
  <si>
    <t>412</t>
  </si>
  <si>
    <t>711</t>
  </si>
  <si>
    <t>778</t>
  </si>
  <si>
    <t>327</t>
  </si>
  <si>
    <t>510</t>
  </si>
  <si>
    <t>105</t>
  </si>
  <si>
    <t>185</t>
  </si>
  <si>
    <t>776</t>
  </si>
  <si>
    <t>555</t>
  </si>
  <si>
    <t>117</t>
  </si>
  <si>
    <t>561</t>
  </si>
  <si>
    <t>156</t>
  </si>
  <si>
    <t>788</t>
  </si>
  <si>
    <t>696</t>
  </si>
  <si>
    <t>281</t>
  </si>
  <si>
    <t>746</t>
  </si>
  <si>
    <t>444</t>
  </si>
  <si>
    <t>479</t>
  </si>
  <si>
    <t>752</t>
  </si>
  <si>
    <t>247</t>
  </si>
  <si>
    <t>520</t>
  </si>
  <si>
    <t>229</t>
  </si>
  <si>
    <t>341</t>
  </si>
  <si>
    <t>260</t>
  </si>
  <si>
    <t>525</t>
  </si>
  <si>
    <t>40</t>
  </si>
  <si>
    <t>214</t>
  </si>
  <si>
    <t>127</t>
  </si>
  <si>
    <t>612</t>
  </si>
  <si>
    <t>144</t>
  </si>
  <si>
    <t>504</t>
  </si>
  <si>
    <t>647</t>
  </si>
  <si>
    <t>761</t>
  </si>
  <si>
    <t>466</t>
  </si>
  <si>
    <t>683</t>
  </si>
  <si>
    <t>661</t>
  </si>
  <si>
    <t>316</t>
  </si>
  <si>
    <t>257</t>
  </si>
  <si>
    <t>781</t>
  </si>
  <si>
    <t>511</t>
  </si>
  <si>
    <t>409</t>
  </si>
  <si>
    <t>404</t>
  </si>
  <si>
    <t>687</t>
  </si>
  <si>
    <t>764</t>
  </si>
  <si>
    <t>130</t>
  </si>
  <si>
    <t>593</t>
  </si>
  <si>
    <t>376</t>
  </si>
  <si>
    <t>717</t>
  </si>
  <si>
    <t>261</t>
  </si>
  <si>
    <t>672</t>
  </si>
  <si>
    <t>370</t>
  </si>
  <si>
    <t>645</t>
  </si>
  <si>
    <t>627</t>
  </si>
  <si>
    <t>283</t>
  </si>
  <si>
    <t>253</t>
  </si>
  <si>
    <t>248</t>
  </si>
  <si>
    <t>654</t>
  </si>
  <si>
    <t>284</t>
  </si>
  <si>
    <t>529</t>
  </si>
  <si>
    <t>725</t>
  </si>
  <si>
    <t>474</t>
  </si>
  <si>
    <t>171</t>
  </si>
  <si>
    <t>435</t>
  </si>
  <si>
    <t>783</t>
  </si>
  <si>
    <t>427</t>
  </si>
  <si>
    <t>641</t>
  </si>
  <si>
    <t>470</t>
  </si>
  <si>
    <t>613</t>
  </si>
  <si>
    <t>344</t>
  </si>
  <si>
    <t>733</t>
  </si>
  <si>
    <t>716</t>
  </si>
  <si>
    <t>118</t>
  </si>
  <si>
    <t>119</t>
  </si>
  <si>
    <t>649</t>
  </si>
  <si>
    <t>694</t>
  </si>
  <si>
    <t>758</t>
  </si>
  <si>
    <t>546</t>
  </si>
  <si>
    <t>219</t>
  </si>
  <si>
    <t>403</t>
  </si>
  <si>
    <t>503</t>
  </si>
  <si>
    <t>205</t>
  </si>
  <si>
    <t>142</t>
  </si>
  <si>
    <t>395</t>
  </si>
  <si>
    <t>357</t>
  </si>
  <si>
    <t>750</t>
  </si>
  <si>
    <t>263</t>
  </si>
  <si>
    <t>189</t>
  </si>
  <si>
    <t>508</t>
  </si>
  <si>
    <t>658</t>
  </si>
  <si>
    <t>713</t>
  </si>
  <si>
    <t>360</t>
  </si>
  <si>
    <t>639</t>
  </si>
  <si>
    <t>362</t>
  </si>
  <si>
    <t>314</t>
  </si>
  <si>
    <t>164</t>
  </si>
  <si>
    <t>478</t>
  </si>
  <si>
    <t>498</t>
  </si>
  <si>
    <t>347</t>
  </si>
  <si>
    <t>728</t>
  </si>
  <si>
    <t>94</t>
  </si>
  <si>
    <t>485</t>
  </si>
  <si>
    <t>735</t>
  </si>
  <si>
    <t>215</t>
  </si>
  <si>
    <t>299</t>
  </si>
  <si>
    <t>601</t>
  </si>
  <si>
    <t>756</t>
  </si>
  <si>
    <t>731</t>
  </si>
  <si>
    <t>423</t>
  </si>
  <si>
    <t>415</t>
  </si>
  <si>
    <t>420</t>
  </si>
  <si>
    <t>734</t>
  </si>
  <si>
    <t>600</t>
  </si>
  <si>
    <t>405</t>
  </si>
  <si>
    <t>387</t>
  </si>
  <si>
    <t>228</t>
  </si>
  <si>
    <t>237</t>
  </si>
  <si>
    <t>132</t>
  </si>
  <si>
    <t>762</t>
  </si>
  <si>
    <t>206</t>
  </si>
  <si>
    <t>714</t>
  </si>
  <si>
    <t>500</t>
  </si>
  <si>
    <t>252</t>
  </si>
  <si>
    <t>522</t>
  </si>
  <si>
    <t>459</t>
  </si>
  <si>
    <t>737</t>
  </si>
  <si>
    <t>180</t>
  </si>
  <si>
    <t>195</t>
  </si>
  <si>
    <t>648</t>
  </si>
  <si>
    <t>669</t>
  </si>
  <si>
    <t>366</t>
  </si>
  <si>
    <t>445</t>
  </si>
  <si>
    <t>218</t>
  </si>
  <si>
    <t>741</t>
  </si>
  <si>
    <t>389</t>
  </si>
  <si>
    <t>652</t>
  </si>
  <si>
    <t>608</t>
  </si>
  <si>
    <t>392</t>
  </si>
  <si>
    <t>153</t>
  </si>
  <si>
    <t>700</t>
  </si>
  <si>
    <t>767</t>
  </si>
  <si>
    <t>146</t>
  </si>
  <si>
    <t>765</t>
  </si>
  <si>
    <t>258</t>
  </si>
  <si>
    <t>692</t>
  </si>
  <si>
    <t>380</t>
  </si>
  <si>
    <t>442</t>
  </si>
  <si>
    <t>637</t>
  </si>
  <si>
    <t>759</t>
  </si>
  <si>
    <t>333</t>
  </si>
  <si>
    <t>227</t>
  </si>
  <si>
    <t>480</t>
  </si>
  <si>
    <t>632</t>
  </si>
  <si>
    <t>578</t>
  </si>
  <si>
    <t>523</t>
  </si>
  <si>
    <t>452</t>
  </si>
  <si>
    <t>440</t>
  </si>
  <si>
    <t>547</t>
  </si>
  <si>
    <t>216</t>
  </si>
  <si>
    <t>709</t>
  </si>
  <si>
    <t>664</t>
  </si>
  <si>
    <t>739</t>
  </si>
  <si>
    <t>540</t>
  </si>
  <si>
    <t>122</t>
  </si>
  <si>
    <t>169</t>
  </si>
  <si>
    <t>363</t>
  </si>
  <si>
    <t>667</t>
  </si>
  <si>
    <t>604</t>
  </si>
  <si>
    <t>772</t>
  </si>
  <si>
    <t>518</t>
  </si>
  <si>
    <t>760</t>
  </si>
  <si>
    <t>91</t>
  </si>
  <si>
    <t>514</t>
  </si>
  <si>
    <t>330</t>
  </si>
  <si>
    <t>505</t>
  </si>
  <si>
    <t>657</t>
  </si>
  <si>
    <t>129</t>
  </si>
  <si>
    <t>552</t>
  </si>
  <si>
    <t>483</t>
  </si>
  <si>
    <t>502</t>
  </si>
  <si>
    <t>443</t>
  </si>
  <si>
    <t>701</t>
  </si>
  <si>
    <t>690</t>
  </si>
  <si>
    <t>538</t>
  </si>
  <si>
    <t>646</t>
  </si>
  <si>
    <t>722</t>
  </si>
  <si>
    <t>149</t>
  </si>
  <si>
    <t>521</t>
  </si>
  <si>
    <t>576</t>
  </si>
  <si>
    <t>755</t>
  </si>
  <si>
    <t>207</t>
  </si>
  <si>
    <t>159</t>
  </si>
  <si>
    <t>635</t>
  </si>
  <si>
    <t>297</t>
  </si>
  <si>
    <t>689</t>
  </si>
  <si>
    <t>374</t>
  </si>
  <si>
    <t>300</t>
  </si>
  <si>
    <t>515</t>
  </si>
  <si>
    <t>384</t>
  </si>
  <si>
    <t>777</t>
  </si>
  <si>
    <t>542</t>
  </si>
  <si>
    <t>254</t>
  </si>
  <si>
    <t>174</t>
  </si>
  <si>
    <t>326</t>
  </si>
  <si>
    <t>543</t>
  </si>
  <si>
    <t>324</t>
  </si>
  <si>
    <t>519</t>
  </si>
  <si>
    <t>187</t>
  </si>
  <si>
    <t>407</t>
  </si>
  <si>
    <t>212</t>
  </si>
  <si>
    <t>673</t>
  </si>
  <si>
    <t>560</t>
  </si>
  <si>
    <t>509</t>
  </si>
  <si>
    <t>259</t>
  </si>
  <si>
    <t>679</t>
  </si>
  <si>
    <t>267</t>
  </si>
  <si>
    <t>346</t>
  </si>
  <si>
    <t>334</t>
  </si>
  <si>
    <t>456</t>
  </si>
  <si>
    <t>565</t>
  </si>
  <si>
    <t>255</t>
  </si>
  <si>
    <t>590</t>
  </si>
  <si>
    <t>567</t>
  </si>
  <si>
    <t>492</t>
  </si>
  <si>
    <t>670</t>
  </si>
  <si>
    <t>177</t>
  </si>
  <si>
    <t>512</t>
  </si>
  <si>
    <t>54</t>
  </si>
  <si>
    <t>251</t>
  </si>
  <si>
    <t>398</t>
  </si>
  <si>
    <t>27</t>
  </si>
  <si>
    <t>155</t>
  </si>
  <si>
    <t>198</t>
  </si>
  <si>
    <t>137</t>
  </si>
  <si>
    <t>732</t>
  </si>
  <si>
    <t>76185474</t>
  </si>
  <si>
    <t>691</t>
  </si>
  <si>
    <t>460</t>
  </si>
  <si>
    <t>784</t>
  </si>
  <si>
    <t>441</t>
  </si>
  <si>
    <t>630</t>
  </si>
  <si>
    <t>140</t>
  </si>
  <si>
    <t>328</t>
  </si>
  <si>
    <t>161</t>
  </si>
  <si>
    <t>298</t>
  </si>
  <si>
    <t>544</t>
  </si>
  <si>
    <t>476</t>
  </si>
  <si>
    <t>556</t>
  </si>
  <si>
    <t>541</t>
  </si>
  <si>
    <t>493</t>
  </si>
  <si>
    <t>698</t>
  </si>
  <si>
    <t>496</t>
  </si>
  <si>
    <t>595</t>
  </si>
  <si>
    <t>530</t>
  </si>
  <si>
    <t>431</t>
  </si>
  <si>
    <t>133</t>
  </si>
  <si>
    <t>241</t>
  </si>
  <si>
    <t>550</t>
  </si>
  <si>
    <t>158</t>
  </si>
  <si>
    <t>685</t>
  </si>
  <si>
    <t>574</t>
  </si>
  <si>
    <t>350</t>
  </si>
  <si>
    <t>678</t>
  </si>
  <si>
    <t>168</t>
  </si>
  <si>
    <t>676</t>
  </si>
  <si>
    <t>703</t>
  </si>
  <si>
    <t>280</t>
  </si>
  <si>
    <t>262</t>
  </si>
  <si>
    <t>615</t>
  </si>
  <si>
    <t>680</t>
  </si>
  <si>
    <t>141</t>
  </si>
  <si>
    <t>302</t>
  </si>
  <si>
    <t>411</t>
  </si>
  <si>
    <t>99</t>
  </si>
  <si>
    <t>323</t>
  </si>
  <si>
    <t>743</t>
  </si>
  <si>
    <t>429</t>
  </si>
  <si>
    <t>331</t>
  </si>
  <si>
    <t>447</t>
  </si>
  <si>
    <t>591</t>
  </si>
  <si>
    <t>303</t>
  </si>
  <si>
    <t>28</t>
  </si>
  <si>
    <t>170</t>
  </si>
  <si>
    <t>208</t>
  </si>
  <si>
    <t>526</t>
  </si>
  <si>
    <t>312</t>
  </si>
  <si>
    <t>128</t>
  </si>
  <si>
    <t>115</t>
  </si>
  <si>
    <t>308</t>
  </si>
  <si>
    <t>671</t>
  </si>
  <si>
    <t>348</t>
  </si>
  <si>
    <t>693</t>
  </si>
  <si>
    <t>209</t>
  </si>
  <si>
    <t>166</t>
  </si>
  <si>
    <t>97</t>
  </si>
  <si>
    <t>160</t>
  </si>
  <si>
    <t>769</t>
  </si>
  <si>
    <t>617</t>
  </si>
  <si>
    <t>718</t>
  </si>
  <si>
    <t>786</t>
  </si>
  <si>
    <t>386</t>
  </si>
  <si>
    <t>568</t>
  </si>
  <si>
    <t>es_fiscalizado</t>
  </si>
  <si>
    <t>CLASIFICACIÓN</t>
  </si>
  <si>
    <t>NO FISCALIZADO</t>
  </si>
  <si>
    <t>FISCALIZADO</t>
  </si>
  <si>
    <t>CLASIFICACION</t>
  </si>
  <si>
    <t>50000011</t>
  </si>
  <si>
    <t>50000045</t>
  </si>
  <si>
    <t>50000054</t>
  </si>
  <si>
    <t>50000126</t>
  </si>
  <si>
    <t>50000198</t>
  </si>
  <si>
    <t>DIRECCION</t>
  </si>
  <si>
    <t>SITUACION ESPECIAL</t>
  </si>
  <si>
    <t>ID_EMPLEADO</t>
  </si>
  <si>
    <t>CODIGO_SSFF_SAP</t>
  </si>
  <si>
    <t>ESPECIALIDAD</t>
  </si>
  <si>
    <t>CATEGORÍA</t>
  </si>
  <si>
    <t>MECÁNICO</t>
  </si>
  <si>
    <t>OFICIOS SOLDADURA</t>
  </si>
  <si>
    <t>MÚLTIPLE</t>
  </si>
  <si>
    <t>OFICIOS MÚLTIPLE</t>
  </si>
  <si>
    <t>PLANCHADOR</t>
  </si>
  <si>
    <t>ELECTRICISTA MECÁNICO</t>
  </si>
  <si>
    <t>BARRENADOR</t>
  </si>
  <si>
    <t>LAVADOR</t>
  </si>
  <si>
    <t>ELECTRICISTA GENERACIÓN</t>
  </si>
  <si>
    <t>MECÁNICO AGRÍCOLA</t>
  </si>
  <si>
    <t>ID_CARGO</t>
  </si>
  <si>
    <t>Lunes a Viernes 8am a 6pm</t>
  </si>
  <si>
    <t>14x7</t>
  </si>
  <si>
    <t>Lunes a Viernes 8am a 6pm / Sabados 9am a 12m</t>
  </si>
  <si>
    <t>14X7</t>
  </si>
  <si>
    <t>21x9</t>
  </si>
  <si>
    <t>21X9</t>
  </si>
  <si>
    <t>Jornada Atípica</t>
  </si>
  <si>
    <t>6x1</t>
  </si>
  <si>
    <t>Lunes a Viernes 8am a 3pm</t>
  </si>
  <si>
    <t>6X1</t>
  </si>
  <si>
    <t>6x1 (Lunes a Sábado)</t>
  </si>
  <si>
    <t>21x10</t>
  </si>
  <si>
    <t>HORARIO</t>
  </si>
  <si>
    <t>ID_SUCURSAL</t>
  </si>
  <si>
    <t>ID_CONTRATO_EMPLEADO</t>
  </si>
  <si>
    <t>ADMINISTRATIVO</t>
  </si>
  <si>
    <t>COSAPI MINERIA</t>
  </si>
  <si>
    <t>SHOUGANG</t>
  </si>
  <si>
    <t>CARRETERA TAUCA PALLASCA</t>
  </si>
  <si>
    <t>CUMBRA S.A.</t>
  </si>
  <si>
    <t>SAN GABRIEL</t>
  </si>
  <si>
    <t>GRUPO PERGOLA</t>
  </si>
  <si>
    <t>CARRETERA SAYAN - CHURIN</t>
  </si>
  <si>
    <t>RUTERO</t>
  </si>
  <si>
    <t>DIVERSOS</t>
  </si>
  <si>
    <t>DIVERSOS / RAURA</t>
  </si>
  <si>
    <t>CONSORCIO COSAPI</t>
  </si>
  <si>
    <t>DIVERSOS / LAP</t>
  </si>
  <si>
    <t>SAN MARTIN CONTRATISTAS</t>
  </si>
  <si>
    <t>MOTA ENGIL PERU</t>
  </si>
  <si>
    <t>LAS BAMBAS</t>
  </si>
  <si>
    <t>ECOSAC AGRICOLA</t>
  </si>
  <si>
    <t>FUNDO ECOSAC</t>
  </si>
  <si>
    <t>HORTIFRUT</t>
  </si>
  <si>
    <t>ANTAMINA</t>
  </si>
  <si>
    <t>CONSORCIO VIAL WARI</t>
  </si>
  <si>
    <t>CARRETERA PATAHUASI-YAURI-SICUANI</t>
  </si>
  <si>
    <t>CONSORCIO CHINCHEROS</t>
  </si>
  <si>
    <t>AEROPUERTO CHINCHEROS</t>
  </si>
  <si>
    <t>TOROMOCHO</t>
  </si>
  <si>
    <t>SACYR AJANI</t>
  </si>
  <si>
    <t>QUELLAVECO</t>
  </si>
  <si>
    <t>AJANI</t>
  </si>
  <si>
    <t>MINA CRESPO</t>
  </si>
  <si>
    <t>FUNDO BOTA SULLANA</t>
  </si>
  <si>
    <t>CONSORCIO MARCO POLO</t>
  </si>
  <si>
    <t>MEJORAMIENTO DE PISTAS JAEN</t>
  </si>
  <si>
    <t>CUMBRA</t>
  </si>
  <si>
    <t>CONSORCIO INTIPUNKU</t>
  </si>
  <si>
    <t>LIMA AIRPORT PARTNERS S.R.L.</t>
  </si>
  <si>
    <t>RUTAS PIURA</t>
  </si>
  <si>
    <t xml:space="preserve">VILCANOTA </t>
  </si>
  <si>
    <t>COSAPI</t>
  </si>
  <si>
    <t>PARQUE EÓLICO PUNTA LOMITAS</t>
  </si>
  <si>
    <t>HFE BERRIES</t>
  </si>
  <si>
    <t>FUNDO OLMOS</t>
  </si>
  <si>
    <t>RUTAS TRUJILLO</t>
  </si>
  <si>
    <t>RIO MATAGENTE</t>
  </si>
  <si>
    <t>NO APLICA</t>
  </si>
  <si>
    <t>MINERA IRL</t>
  </si>
  <si>
    <t>CORIHUARMI</t>
  </si>
  <si>
    <t>AMPLIACIÓN AEROPUERTO JORGE CHAVEZ</t>
  </si>
  <si>
    <t>LACRAMARCA</t>
  </si>
  <si>
    <t>CONSORCIO RIO CHINCHA</t>
  </si>
  <si>
    <t>CANTERA RIO CHINCHA</t>
  </si>
  <si>
    <t>UNIDAD MINERA PIERINA</t>
  </si>
  <si>
    <t>OHLA</t>
  </si>
  <si>
    <t>AGRICOLA ANDREA</t>
  </si>
  <si>
    <t>FUNDO CALIFORNIA</t>
  </si>
  <si>
    <t>QUEBRADA DE LEON</t>
  </si>
  <si>
    <t>CONSTANCIA</t>
  </si>
  <si>
    <t>DIVERSOS / ICA</t>
  </si>
  <si>
    <t>RUTAS ICA</t>
  </si>
  <si>
    <t>CCECC (China Civil)</t>
  </si>
  <si>
    <t>COSAPI HV</t>
  </si>
  <si>
    <t>RIO HUARMEY</t>
  </si>
  <si>
    <t>DIVERSOS / PALLASCA</t>
  </si>
  <si>
    <t xml:space="preserve">ROVELLA </t>
  </si>
  <si>
    <t>DEFENSAS RIVEREÑAS OLMOS</t>
  </si>
  <si>
    <t>MILICIC</t>
  </si>
  <si>
    <t>QUEBRADA CABUYAL TUMBES</t>
  </si>
  <si>
    <t>CONSORCIO MOTUPE</t>
  </si>
  <si>
    <t>DEFENSA RIBEREÑA RIO MOTUPE Y LA LECHE</t>
  </si>
  <si>
    <t>COSAPI S.A.</t>
  </si>
  <si>
    <t>CJR</t>
  </si>
  <si>
    <t>INTIPAMPA</t>
  </si>
  <si>
    <t>RIO ZAÑA</t>
  </si>
  <si>
    <t>DIVERSOS / CAYLLOMA</t>
  </si>
  <si>
    <t>TALSA</t>
  </si>
  <si>
    <t>AGRÍCOLA ANDREA - AIB</t>
  </si>
  <si>
    <t>FUNDOS JAYANCA</t>
  </si>
  <si>
    <t>RUTAS CUSCO</t>
  </si>
  <si>
    <t>=CONCAT("('";A2;"',";"1),")</t>
  </si>
  <si>
    <t>ID_CLIENTE</t>
  </si>
  <si>
    <t>ID_PROYECTO</t>
  </si>
  <si>
    <t>RETIRADO</t>
  </si>
  <si>
    <t>CGM-PH-263</t>
  </si>
  <si>
    <t>CGM-PH-264</t>
  </si>
  <si>
    <t>863183063495501</t>
  </si>
  <si>
    <t>352295461830</t>
  </si>
  <si>
    <t>863183062174644</t>
  </si>
  <si>
    <t>863183062505466</t>
  </si>
  <si>
    <t>864048065013785</t>
  </si>
  <si>
    <t>353417142345981</t>
  </si>
  <si>
    <t>354612456522576</t>
  </si>
  <si>
    <t>864451052329240</t>
  </si>
  <si>
    <t>352295695397802</t>
  </si>
  <si>
    <t>354964995080925</t>
  </si>
  <si>
    <t>354964995778411</t>
  </si>
  <si>
    <t>354964995776191</t>
  </si>
  <si>
    <t>354612456525751</t>
  </si>
  <si>
    <t>354964995766630</t>
  </si>
  <si>
    <t>354964995775649</t>
  </si>
  <si>
    <t>354964997282214</t>
  </si>
  <si>
    <t>354964995777777</t>
  </si>
  <si>
    <t>354964996481213</t>
  </si>
  <si>
    <t>357079105920022</t>
  </si>
  <si>
    <t>354301566406488</t>
  </si>
  <si>
    <t>354612456524119</t>
  </si>
  <si>
    <t>864451052445186</t>
  </si>
  <si>
    <t>863183062866124</t>
  </si>
  <si>
    <t>863183063205900</t>
  </si>
  <si>
    <t>864469067416729</t>
  </si>
  <si>
    <t>863183062856885</t>
  </si>
  <si>
    <t>863183061775862</t>
  </si>
  <si>
    <t>86139205098141</t>
  </si>
  <si>
    <t>357774167457422</t>
  </si>
  <si>
    <t>354432552756766</t>
  </si>
  <si>
    <t>863183062837182</t>
  </si>
  <si>
    <t>354964997219760</t>
  </si>
  <si>
    <t>353417142347466</t>
  </si>
  <si>
    <t>354612456515257</t>
  </si>
  <si>
    <t>352295692872112</t>
  </si>
  <si>
    <t>354964996483326</t>
  </si>
  <si>
    <t>863183063602726</t>
  </si>
  <si>
    <t>354612456525538</t>
  </si>
  <si>
    <t>86318306280369</t>
  </si>
  <si>
    <t>353417142327203</t>
  </si>
  <si>
    <t>863183062183884</t>
  </si>
  <si>
    <t>354612456519754</t>
  </si>
  <si>
    <t>863183061626123</t>
  </si>
  <si>
    <t>864469066729221</t>
  </si>
  <si>
    <t>863183062858428</t>
  </si>
  <si>
    <t>861929068747524</t>
  </si>
  <si>
    <t>353417142345593</t>
  </si>
  <si>
    <t>863183061716940</t>
  </si>
  <si>
    <t>354612456517717</t>
  </si>
  <si>
    <t>863183063134902</t>
  </si>
  <si>
    <t>352295692343940</t>
  </si>
  <si>
    <t>353043099767124</t>
  </si>
  <si>
    <t>863183063501704</t>
  </si>
  <si>
    <t>863183062938121</t>
  </si>
  <si>
    <t>354612456524135</t>
  </si>
  <si>
    <t>863183062844220</t>
  </si>
  <si>
    <t>863183063215388</t>
  </si>
  <si>
    <t>354612456524234</t>
  </si>
  <si>
    <t>353270601065347</t>
  </si>
  <si>
    <t>354964996498431</t>
  </si>
  <si>
    <t>864469066732662</t>
  </si>
  <si>
    <t>354612456516370</t>
  </si>
  <si>
    <t>863183063097380</t>
  </si>
  <si>
    <t>864469067346413</t>
  </si>
  <si>
    <t>863183062377049</t>
  </si>
  <si>
    <t>354964996481296</t>
  </si>
  <si>
    <t>861929069552741</t>
  </si>
  <si>
    <t>354612456522592</t>
  </si>
  <si>
    <t>35561431045769</t>
  </si>
  <si>
    <t>863183062956768</t>
  </si>
  <si>
    <t>354964996498415</t>
  </si>
  <si>
    <t>863837054043642</t>
  </si>
  <si>
    <t>353417140413757</t>
  </si>
  <si>
    <t>864469066732969</t>
  </si>
  <si>
    <t>352295695460691</t>
  </si>
  <si>
    <t>354964996480223</t>
  </si>
  <si>
    <t>863183061912127</t>
  </si>
  <si>
    <t>353417141786532</t>
  </si>
  <si>
    <t>863183061893541</t>
  </si>
  <si>
    <t>353270601065669</t>
  </si>
  <si>
    <t>353270601090014</t>
  </si>
  <si>
    <t>357859103315600</t>
  </si>
  <si>
    <t>864469067369100</t>
  </si>
  <si>
    <t>354964996498332</t>
  </si>
  <si>
    <t>352295695461921</t>
  </si>
  <si>
    <t>354301566826297</t>
  </si>
  <si>
    <t>354432553000727</t>
  </si>
  <si>
    <t>353270601057617</t>
  </si>
  <si>
    <t>354964997111942</t>
  </si>
  <si>
    <t>354964993724854</t>
  </si>
  <si>
    <t>354964995777157</t>
  </si>
  <si>
    <t>354964996481270</t>
  </si>
  <si>
    <t>863183062679808</t>
  </si>
  <si>
    <t>354301566406355</t>
  </si>
  <si>
    <t>863183062880687</t>
  </si>
  <si>
    <t>863183063091102</t>
  </si>
  <si>
    <t>354432552982651</t>
  </si>
  <si>
    <t>352295692340631</t>
  </si>
  <si>
    <t>861392050943108</t>
  </si>
  <si>
    <t>863600057041926</t>
  </si>
  <si>
    <t>863600056715744</t>
  </si>
  <si>
    <t>863183062784822</t>
  </si>
  <si>
    <t>352295693780348</t>
  </si>
  <si>
    <t>354612456520570</t>
  </si>
  <si>
    <t>355611433707523</t>
  </si>
  <si>
    <t>861392054757405</t>
  </si>
  <si>
    <t>863183061850400</t>
  </si>
  <si>
    <t>355611433705444</t>
  </si>
  <si>
    <t>860031055025190</t>
  </si>
  <si>
    <t>354432552369362</t>
  </si>
  <si>
    <t>352295695461855</t>
  </si>
  <si>
    <t>354964997270896</t>
  </si>
  <si>
    <t>863183063090708</t>
  </si>
  <si>
    <t>353779103639987</t>
  </si>
  <si>
    <t>353417140413096</t>
  </si>
  <si>
    <t>352295695399832</t>
  </si>
  <si>
    <t>3522956937746130</t>
  </si>
  <si>
    <t>863183062859624</t>
  </si>
  <si>
    <t>353270600607230</t>
  </si>
  <si>
    <t>354964996484704</t>
  </si>
  <si>
    <t>354612456523533</t>
  </si>
  <si>
    <t>863183063151120</t>
  </si>
  <si>
    <t>354964993632016</t>
  </si>
  <si>
    <t>354964996498407</t>
  </si>
  <si>
    <t>354612456517733</t>
  </si>
  <si>
    <t>355611433699548</t>
  </si>
  <si>
    <t>863183062860564</t>
  </si>
  <si>
    <t>860677060430968</t>
  </si>
  <si>
    <t>863183063160485</t>
  </si>
  <si>
    <t>863183063197982</t>
  </si>
  <si>
    <t>863183063183784</t>
  </si>
  <si>
    <t>358055380964280</t>
  </si>
  <si>
    <t>863183063340327</t>
  </si>
  <si>
    <t>357859101770855</t>
  </si>
  <si>
    <t>863183063070189</t>
  </si>
  <si>
    <t>354612456514870</t>
  </si>
  <si>
    <t>865565058127024</t>
  </si>
  <si>
    <t>865565058097789</t>
  </si>
  <si>
    <t>863183063229165</t>
  </si>
  <si>
    <t>863183063028385</t>
  </si>
  <si>
    <t>354964997378640</t>
  </si>
  <si>
    <t>3523417142345600</t>
  </si>
  <si>
    <t>864469066713787</t>
  </si>
  <si>
    <t>863837055768080</t>
  </si>
  <si>
    <t>864469066594021</t>
  </si>
  <si>
    <t>354964997363949</t>
  </si>
  <si>
    <t>344964996481239</t>
  </si>
  <si>
    <t>860031055023190</t>
  </si>
  <si>
    <t>352295692341829</t>
  </si>
  <si>
    <t>352295692343429</t>
  </si>
  <si>
    <t>352295692342504</t>
  </si>
  <si>
    <t>353417140846113</t>
  </si>
  <si>
    <t>353417141763648</t>
  </si>
  <si>
    <t>352295692343056</t>
  </si>
  <si>
    <t>354964995777223</t>
  </si>
  <si>
    <t>352295692341076</t>
  </si>
  <si>
    <t>353417140867614</t>
  </si>
  <si>
    <t>351374434319020</t>
  </si>
  <si>
    <t>353417140858142</t>
  </si>
  <si>
    <t>863183062395421</t>
  </si>
  <si>
    <t>354964996480991</t>
  </si>
  <si>
    <t>354964996480314</t>
  </si>
  <si>
    <t>863837058787186</t>
  </si>
  <si>
    <t>863837054075024</t>
  </si>
  <si>
    <t>863837053842366</t>
  </si>
  <si>
    <t>353270601069083</t>
  </si>
  <si>
    <t>353417140858217</t>
  </si>
  <si>
    <t>354964996481221</t>
  </si>
  <si>
    <t>353417142347920</t>
  </si>
  <si>
    <t>863183062850060</t>
  </si>
  <si>
    <t>353270601081229</t>
  </si>
  <si>
    <t>353270601081682</t>
  </si>
  <si>
    <t>354964996480348</t>
  </si>
  <si>
    <t>354964996480215</t>
  </si>
  <si>
    <t>354964996480918</t>
  </si>
  <si>
    <t>344964997112064</t>
  </si>
  <si>
    <t>354964997112106</t>
  </si>
  <si>
    <t>864451052350642</t>
  </si>
  <si>
    <t>353417140413385</t>
  </si>
  <si>
    <t>354432552394006</t>
  </si>
  <si>
    <t>352295692343049</t>
  </si>
  <si>
    <t>352295693774614</t>
  </si>
  <si>
    <t>354964997112056</t>
  </si>
  <si>
    <t>863600056458667</t>
  </si>
  <si>
    <t>354964997364111</t>
  </si>
  <si>
    <t>863837055587266</t>
  </si>
  <si>
    <t>357494912091703</t>
  </si>
  <si>
    <t>861392054633028</t>
  </si>
  <si>
    <t>358055380957144</t>
  </si>
  <si>
    <t>354432552375146</t>
  </si>
  <si>
    <t>354432553071405</t>
  </si>
  <si>
    <t>863186063083885</t>
  </si>
  <si>
    <t>352295692872138</t>
  </si>
  <si>
    <t>863183062509880</t>
  </si>
  <si>
    <t>354964996480280</t>
  </si>
  <si>
    <t>354612456516479</t>
  </si>
  <si>
    <t>354964997112080</t>
  </si>
  <si>
    <t>354964996483292</t>
  </si>
  <si>
    <t>354432552374958</t>
  </si>
  <si>
    <t>354612456514599</t>
  </si>
  <si>
    <t>354612456515372</t>
  </si>
  <si>
    <t>354612456518012</t>
  </si>
  <si>
    <t>352295692872187</t>
  </si>
  <si>
    <t>354964997110522</t>
  </si>
  <si>
    <t>354612456525736</t>
  </si>
  <si>
    <t>354964996498449</t>
  </si>
  <si>
    <t>353417141760990</t>
  </si>
  <si>
    <t>353417142348019</t>
  </si>
  <si>
    <t>863183062853585</t>
  </si>
  <si>
    <t>863183063035240</t>
  </si>
  <si>
    <t>354612456524770</t>
  </si>
  <si>
    <t>353270601057724</t>
  </si>
  <si>
    <t>863183063103147</t>
  </si>
  <si>
    <t>863183062462585</t>
  </si>
  <si>
    <t>355611433707499</t>
  </si>
  <si>
    <t>863183063235204</t>
  </si>
  <si>
    <t>353270601068598</t>
  </si>
  <si>
    <t>354964997110480</t>
  </si>
  <si>
    <t>354964995778700</t>
  </si>
  <si>
    <t>861392054789689</t>
  </si>
  <si>
    <t>354964993301331</t>
  </si>
  <si>
    <t>354612456518038</t>
  </si>
  <si>
    <t>864469067376360</t>
  </si>
  <si>
    <t>354964996912233</t>
  </si>
  <si>
    <t>863183062830229</t>
  </si>
  <si>
    <t>355611433699589</t>
  </si>
  <si>
    <t>869819052638486</t>
  </si>
  <si>
    <t>355611433707507</t>
  </si>
  <si>
    <t>863837056818322</t>
  </si>
  <si>
    <t>354432553101897</t>
  </si>
  <si>
    <t>354964993726438</t>
  </si>
  <si>
    <t>869819053236884</t>
  </si>
  <si>
    <t>863600056696829</t>
  </si>
  <si>
    <t>354612456522790</t>
  </si>
  <si>
    <t>352295695399840</t>
  </si>
  <si>
    <t>354964996480116</t>
  </si>
  <si>
    <t>355611433707515</t>
  </si>
  <si>
    <t>861392054839724</t>
  </si>
  <si>
    <t>863183063399067</t>
  </si>
  <si>
    <t>353270600599510</t>
  </si>
  <si>
    <t>352295692343460</t>
  </si>
  <si>
    <t>354964996498357</t>
  </si>
  <si>
    <t>353417140858241</t>
  </si>
  <si>
    <t>863600056927406</t>
  </si>
  <si>
    <t>863837055544382</t>
  </si>
  <si>
    <t>864469066727985</t>
  </si>
  <si>
    <t>864469066720949</t>
  </si>
  <si>
    <t>863183063077549</t>
  </si>
  <si>
    <t>354964996498423</t>
  </si>
  <si>
    <t>353270601090469</t>
  </si>
  <si>
    <t>354964997325765</t>
  </si>
  <si>
    <t>354612458076357</t>
  </si>
  <si>
    <t>354964996481197</t>
  </si>
  <si>
    <t>354432552789353</t>
  </si>
  <si>
    <t>354432552769850</t>
  </si>
  <si>
    <t>863183063611180</t>
  </si>
  <si>
    <t>357435938055388</t>
  </si>
  <si>
    <t>354612456523590</t>
  </si>
  <si>
    <t>CGM-LP-165</t>
  </si>
  <si>
    <t>CGM-ALQ-LP-0015</t>
  </si>
  <si>
    <t>CGM-LP-191</t>
  </si>
  <si>
    <t>CGM-LP-293</t>
  </si>
  <si>
    <t>CGM-LP-239</t>
  </si>
  <si>
    <t>CGM-LP-247</t>
  </si>
  <si>
    <t>CGM-LP-306</t>
  </si>
  <si>
    <t>CGM-LP-315</t>
  </si>
  <si>
    <t>CGM-LP-288</t>
  </si>
  <si>
    <t>CGM-LP-276</t>
  </si>
  <si>
    <t>CGM-LP-204</t>
  </si>
  <si>
    <t>CGM-LP-271</t>
  </si>
  <si>
    <t>CGM-LP-158</t>
  </si>
  <si>
    <t>CGM-LP-232</t>
  </si>
  <si>
    <t>CGM-LP-273</t>
  </si>
  <si>
    <t>CGM-LP-141</t>
  </si>
  <si>
    <t>CGM-LP-193</t>
  </si>
  <si>
    <t>CGM-LP-169</t>
  </si>
  <si>
    <t>CGM-ALQ-LP-0010</t>
  </si>
  <si>
    <t>CGM-LP-303</t>
  </si>
  <si>
    <t>CGM-LP-244</t>
  </si>
  <si>
    <t>CGM-LP-298</t>
  </si>
  <si>
    <t>CGM-LP-292</t>
  </si>
  <si>
    <t>CGM-LP-323</t>
  </si>
  <si>
    <t>CGM-LP-214</t>
  </si>
  <si>
    <t>CGM-ALQ-LP-0016</t>
  </si>
  <si>
    <t>CGM-LP-238</t>
  </si>
  <si>
    <t>CGM-LP-356</t>
  </si>
  <si>
    <t>CGM-LP-281</t>
  </si>
  <si>
    <t>CGM-LP-280</t>
  </si>
  <si>
    <t>CGM-LP-136</t>
  </si>
  <si>
    <t>CGM-LP-228</t>
  </si>
  <si>
    <t>CGM-LP-175</t>
  </si>
  <si>
    <t>CGM-LP-248</t>
  </si>
  <si>
    <t>CGM-LP-116</t>
  </si>
  <si>
    <t>CGM-ALQ-LP-0006</t>
  </si>
  <si>
    <t>CGM-LP-126</t>
  </si>
  <si>
    <t>CGM-LP-243</t>
  </si>
  <si>
    <t>CGM-LP-145</t>
  </si>
  <si>
    <t>CGM-LP-325</t>
  </si>
  <si>
    <t>CGM-LP-258</t>
  </si>
  <si>
    <t>CGM-LP-201</t>
  </si>
  <si>
    <t>CGM-LP-148</t>
  </si>
  <si>
    <t>CGM-LP-211</t>
  </si>
  <si>
    <t>CGM-ALQ-LP-0002</t>
  </si>
  <si>
    <t>CGM-ALQ-LP-0011</t>
  </si>
  <si>
    <t>CGM-LP-300</t>
  </si>
  <si>
    <t>CGM-LP-154</t>
  </si>
  <si>
    <t>CGM-LP-277</t>
  </si>
  <si>
    <t>CGM-LP-317</t>
  </si>
  <si>
    <t>CGM-LP-168</t>
  </si>
  <si>
    <t>CGM-LP-350</t>
  </si>
  <si>
    <t>CGM-LP-278</t>
  </si>
  <si>
    <t>CGM-LP-326</t>
  </si>
  <si>
    <t>CGM-LP-245</t>
  </si>
  <si>
    <t>CGM-LP-220</t>
  </si>
  <si>
    <t>CGM-ALQ-LP-0005</t>
  </si>
  <si>
    <t>CGM-LP-152</t>
  </si>
  <si>
    <t>CGM-LP-268</t>
  </si>
  <si>
    <t>CGM-ALQ-LP-0009</t>
  </si>
  <si>
    <t>CGM-ALQ-LP-0018</t>
  </si>
  <si>
    <t>CGM-LP-150</t>
  </si>
  <si>
    <t>CGM-LP-208</t>
  </si>
  <si>
    <t>CGM-LP-349</t>
  </si>
  <si>
    <t>CGM-LP-309</t>
  </si>
  <si>
    <t>CGM-LP-160</t>
  </si>
  <si>
    <t>CGM-LP-329</t>
  </si>
  <si>
    <t>CGM-LP-337</t>
  </si>
  <si>
    <t>CGM-LP-279</t>
  </si>
  <si>
    <t>CGM-LP-341</t>
  </si>
  <si>
    <t>CGM-ALQ-LP-0019</t>
  </si>
  <si>
    <t>CGM-LP-183</t>
  </si>
  <si>
    <t>CGM-LP-282</t>
  </si>
  <si>
    <t>CGM-ALQ-LP-0004</t>
  </si>
  <si>
    <t>CGM-LP-330</t>
  </si>
  <si>
    <t>CGM-LP-274</t>
  </si>
  <si>
    <t>CGM-LP-333</t>
  </si>
  <si>
    <t>CGM-ALQ-LP-0003</t>
  </si>
  <si>
    <t>CGM-LP-216</t>
  </si>
  <si>
    <t>CGM-LP-267</t>
  </si>
  <si>
    <t>CGM-ALQ-LP-0014</t>
  </si>
  <si>
    <t>CGM-LP-342</t>
  </si>
  <si>
    <t>CGM-LP-343</t>
  </si>
  <si>
    <t>CGM-LP-345</t>
  </si>
  <si>
    <t>CGM-LP-138</t>
  </si>
  <si>
    <t>CGM-LP-217</t>
  </si>
  <si>
    <t>CGM-LP-176</t>
  </si>
  <si>
    <t>CGM-LP-170</t>
  </si>
  <si>
    <t>CGM-LP-198</t>
  </si>
  <si>
    <t>CGM-LP-340</t>
  </si>
  <si>
    <t>CGM-LP-296</t>
  </si>
  <si>
    <t>CGM-LP-360</t>
  </si>
  <si>
    <t>CGM-LP-352</t>
  </si>
  <si>
    <t>CGM-LP-233</t>
  </si>
  <si>
    <t>CGM-LP-249</t>
  </si>
  <si>
    <t>CGM-LP-203</t>
  </si>
  <si>
    <t>CGM-LP-364</t>
  </si>
  <si>
    <t>CGM-LP-353</t>
  </si>
  <si>
    <t>CGM-LP-261</t>
  </si>
  <si>
    <t>CGM-LP-312</t>
  </si>
  <si>
    <t>CGM-ALQ-LP-0013</t>
  </si>
  <si>
    <t>CGM-LP-167</t>
  </si>
  <si>
    <t>CGM-LP-215</t>
  </si>
  <si>
    <t>CGM-LP-260</t>
  </si>
  <si>
    <t>CGM-LP-324</t>
  </si>
  <si>
    <t>CGM-LP-081</t>
  </si>
  <si>
    <t>CGM-LP-305</t>
  </si>
  <si>
    <t>CGM-LP-361</t>
  </si>
  <si>
    <t>CGM-LP-357</t>
  </si>
  <si>
    <t>CGM-LP-197</t>
  </si>
  <si>
    <t>CGM-LP-171</t>
  </si>
  <si>
    <t>CGM-LP-242</t>
  </si>
  <si>
    <t>CGM-LP-132</t>
  </si>
  <si>
    <t>CGM-LP-363</t>
  </si>
  <si>
    <t>CGM-LP-182</t>
  </si>
  <si>
    <t>CGM-LP-285</t>
  </si>
  <si>
    <t>CGM-LP-366</t>
  </si>
  <si>
    <t>CGM-LP-149</t>
  </si>
  <si>
    <t>CGM-LP-250</t>
  </si>
  <si>
    <t>CGM-LP-332</t>
  </si>
  <si>
    <t>CGM-LP-164</t>
  </si>
  <si>
    <t>CGM-LP-128</t>
  </si>
  <si>
    <t>CGM-LP-196</t>
  </si>
  <si>
    <t>CGM-LP-358</t>
  </si>
  <si>
    <t>CGM-LP-144</t>
  </si>
  <si>
    <t>CGM-LP-213</t>
  </si>
  <si>
    <t>CGM-LP-294</t>
  </si>
  <si>
    <t>CGM-LP-222</t>
  </si>
  <si>
    <t>CGM-LP-246</t>
  </si>
  <si>
    <t>CGM-LP-137</t>
  </si>
  <si>
    <t>CGM-LP-179</t>
  </si>
  <si>
    <t>CGM-LP-252</t>
  </si>
  <si>
    <t>CGM-LP-284</t>
  </si>
  <si>
    <t>CGM-LP-347</t>
  </si>
  <si>
    <t>CGM-LP-313</t>
  </si>
  <si>
    <t>CGM-LP-155</t>
  </si>
  <si>
    <t>CGM-LP-199</t>
  </si>
  <si>
    <t>CGM-LP-266</t>
  </si>
  <si>
    <t>CGM-LP-190</t>
  </si>
  <si>
    <t>CGM-LP-186</t>
  </si>
  <si>
    <t>CGM-LP-339</t>
  </si>
  <si>
    <t>CGM-LP-320</t>
  </si>
  <si>
    <t>CGM-LP-240</t>
  </si>
  <si>
    <t>CGM-LP-205</t>
  </si>
  <si>
    <t>CGM-LP-192</t>
  </si>
  <si>
    <t>CGM-LP-299</t>
  </si>
  <si>
    <t>CGM-LP-153</t>
  </si>
  <si>
    <t>CGM-LP-210</t>
  </si>
  <si>
    <t>CGM-LP-336</t>
  </si>
  <si>
    <t>CGM-LP-327</t>
  </si>
  <si>
    <t>CGM-LP-156</t>
  </si>
  <si>
    <t>CGM-LP-230</t>
  </si>
  <si>
    <t>CGM-LP-255</t>
  </si>
  <si>
    <t>CGM-LP-351</t>
  </si>
  <si>
    <t>CGM-LP-130</t>
  </si>
  <si>
    <t>CGM-LP-259</t>
  </si>
  <si>
    <t>CGM-LP-344</t>
  </si>
  <si>
    <t>CGM-ALQ-LP-0017</t>
  </si>
  <si>
    <t>CGM-LP-328</t>
  </si>
  <si>
    <t>CGM-ALQ-LP-0025</t>
  </si>
  <si>
    <t>CGM-LP-253</t>
  </si>
  <si>
    <t>CGM-LP-283</t>
  </si>
  <si>
    <t>CGM-ALQ-LP-0026</t>
  </si>
  <si>
    <t>CGM-ALQ-LP-0027</t>
  </si>
  <si>
    <t>CGM-LP-172</t>
  </si>
  <si>
    <t>CGM-LP-321</t>
  </si>
  <si>
    <t>CGM-LP-338</t>
  </si>
  <si>
    <t>CGM-LP-257</t>
  </si>
  <si>
    <t>CGM-LP-235</t>
  </si>
  <si>
    <t>CGM-LP-335</t>
  </si>
  <si>
    <t>CGM-LP-221</t>
  </si>
  <si>
    <t>CGM-LP-184</t>
  </si>
  <si>
    <t>CGM-LP-265</t>
  </si>
  <si>
    <t>CGM-LP-264</t>
  </si>
  <si>
    <t>CGM-LP-367</t>
  </si>
  <si>
    <t>CGM-LP-195</t>
  </si>
  <si>
    <t>CGM-LP-262</t>
  </si>
  <si>
    <t>CGM-ALQ-LP-0008</t>
  </si>
  <si>
    <t>864469066732968</t>
  </si>
  <si>
    <t>864469066732967</t>
  </si>
  <si>
    <t>352295692872186</t>
  </si>
  <si>
    <t>354964995777221</t>
  </si>
  <si>
    <t>789</t>
  </si>
  <si>
    <t>FECHA DEVOLUCION</t>
  </si>
  <si>
    <t>ID_ACTIVO</t>
  </si>
  <si>
    <t>FECHA ENTREGA</t>
  </si>
  <si>
    <t>=CONCAT("(";A2;",";B2;",";C2;",'";TEXTO(D2;"yyyy-mm-dd");"','";E2;"',";"";F2;"";"";"),")</t>
  </si>
  <si>
    <t>(282,1,1,'2025-03-19',null,1),</t>
  </si>
  <si>
    <t>(715,2,6,'2024-04-30',null,1),</t>
  </si>
  <si>
    <t>(109,4,9,'2022-06-30',null,1),</t>
  </si>
  <si>
    <t>(12,5,10,'2022-10-28',null,1),</t>
  </si>
  <si>
    <t>(200,6,11,'2023-03-27',null,1),</t>
  </si>
  <si>
    <t>(640,7,12,'2025-04-16',null,1),</t>
  </si>
  <si>
    <t>(152,8,13,'2022-06-30',null,1),</t>
  </si>
  <si>
    <t>(213,9,14,'2023-11-23',null,1),</t>
  </si>
  <si>
    <t>(465,10,15,'2024-10-05',null,1),</t>
  </si>
  <si>
    <t>(470,11,16,'2024-10-05',null,1),</t>
  </si>
  <si>
    <t>(469,12,17,'2024-10-05',null,1),</t>
  </si>
  <si>
    <t>(474,13,19,'2025-04-16',null,1),</t>
  </si>
  <si>
    <t>(473,14,20,'2024-10-05',null,1),</t>
  </si>
  <si>
    <t>(338,15,21,'2024-05-27',null,1),</t>
  </si>
  <si>
    <t>(489,16,22,null,null,1),</t>
  </si>
  <si>
    <t>(216,17,23,'2025-07-08',null,1),</t>
  </si>
  <si>
    <t>(562,18,27,'2024-10-23',null,1),</t>
  </si>
  <si>
    <t>(78,19,29,'2020-02-27',null,1),</t>
  </si>
  <si>
    <t>(175,20,30,'2022-07-03',null,1),</t>
  </si>
  <si>
    <t>(76,21,31,'2025-10-27',null,1),</t>
  </si>
  <si>
    <t>(606,22,32,'2023-07-02',null,1),</t>
  </si>
  <si>
    <t>(9,23,33,'2025-08-14',null,1),</t>
  </si>
  <si>
    <t>(81,24,34,'2022-06-30',null,1),</t>
  </si>
  <si>
    <t>(61,25,35,'2022-02-24',null,1),</t>
  </si>
  <si>
    <t>(97,26,36,'2022-06-30',null,1),</t>
  </si>
  <si>
    <t>(20,27,37,'2022-06-30',null,1),</t>
  </si>
  <si>
    <t>(321,28,39,'2023-05-24',null,1),</t>
  </si>
  <si>
    <t>(29,29,40,'2016-10-08',null,1),</t>
  </si>
  <si>
    <t>(115,30,41,'2025-04-01',null,1),</t>
  </si>
  <si>
    <t>(54,31,42,'2022-06-30',null,1),</t>
  </si>
  <si>
    <t>(244,32,43,'2025-01-24',null,1),</t>
  </si>
  <si>
    <t>(161,33,44,'2024-03-21',null,1),</t>
  </si>
  <si>
    <t>(763,34,45,'2025-05-29',null,1),</t>
  </si>
  <si>
    <t>(369,35,46,'2023-09-08',null,1),</t>
  </si>
  <si>
    <t>(375,36,47,'2023-04-09',null,1),</t>
  </si>
  <si>
    <t>(588,37,48,'2024-12-16',null,1),</t>
  </si>
  <si>
    <t>(16,38,49,'2025-04-16',null,1),</t>
  </si>
  <si>
    <t>(584,39,50,'2022-06-30',null,1),</t>
  </si>
  <si>
    <t>(111,40,51,'2023-11-20',null,1),</t>
  </si>
  <si>
    <t>(108,41,52,'2022-06-30',null,1),</t>
  </si>
  <si>
    <t>(363,42,53,'2025-10-17',null,1),</t>
  </si>
  <si>
    <t>(13,43,54,'2022-06-30',null,1),</t>
  </si>
  <si>
    <t>(14,44,55,'2024-07-16',null,1),</t>
  </si>
  <si>
    <t>(441,45,56,'2025-11-10',null,1),</t>
  </si>
  <si>
    <t>(385,46,57,'2023-04-10',null,1),</t>
  </si>
  <si>
    <t>(681,47,58,'2025-06-04',null,1),</t>
  </si>
  <si>
    <t>(727,48,59,'2024-02-12',null,1),</t>
  </si>
  <si>
    <t>(62,49,60,'2025-10-02',null,1),</t>
  </si>
  <si>
    <t>(568,50,61,'2024-06-27',null,1),</t>
  </si>
  <si>
    <t>(397,51,63,'2023-10-20',null,1),</t>
  </si>
  <si>
    <t>(2,52,65,null,null,1),</t>
  </si>
  <si>
    <t>(702,53,66,'2022-06-30',null,1),</t>
  </si>
  <si>
    <t>(288,54,67,'2025-05-02',null,1),</t>
  </si>
  <si>
    <t>(7,55,68,'2025-09-19',null,1),</t>
  </si>
  <si>
    <t>(453,56,69,'2024-11-03',null,1),</t>
  </si>
  <si>
    <t>(625,57,70,'2022-06-30',null,1),</t>
  </si>
  <si>
    <t>(94,58,71,'2025-10-20',null,1),</t>
  </si>
  <si>
    <t>(499,59,72,'2024-05-08',null,1),</t>
  </si>
  <si>
    <t>(503,60,73,'2024-03-09',null,1),</t>
  </si>
  <si>
    <t>(525,61,74,'2024-01-10',null,1),</t>
  </si>
  <si>
    <t>(518,62,75,'2025-05-20',null,1),</t>
  </si>
  <si>
    <t>(105,63,76,'2022-06-30',null,1),</t>
  </si>
  <si>
    <t>(557,64,77,'2024-10-21',null,1),</t>
  </si>
  <si>
    <t>(160,65,78,'2022-06-30',null,1),</t>
  </si>
  <si>
    <t>(412,66,79,'2024-07-10',null,1),</t>
  </si>
  <si>
    <t>(305,67,80,null,null,1),</t>
  </si>
  <si>
    <t>(626,68,82,'2022-05-24',null,1),</t>
  </si>
  <si>
    <t>(38,69,83,'2023-05-31',null,1),</t>
  </si>
  <si>
    <t>(772,70,84,'2022-06-30',null,1),</t>
  </si>
  <si>
    <t>(506,71,85,'2024-09-09',null,1),</t>
  </si>
  <si>
    <t>(42,72,86,'2023-12-01',null,1),</t>
  </si>
  <si>
    <t>(325,73,87,'2023-05-24',null,1),</t>
  </si>
  <si>
    <t>(40,74,88,'2025-07-25',null,1),</t>
  </si>
  <si>
    <t>(426,75,89,'2024-04-01',null,1),</t>
  </si>
  <si>
    <t>(564,76,90,'2024-11-25',null,1),</t>
  </si>
  <si>
    <t>(86,77,91,'2022-06-30',null,1),</t>
  </si>
  <si>
    <t>(139,78,92,'2023-03-10',null,1),</t>
  </si>
  <si>
    <t>(416,79,93,'2022-10-15',null,1),</t>
  </si>
  <si>
    <t>(99,80,94,'2020-07-03',null,1),</t>
  </si>
  <si>
    <t>(280,81,95,'2024-06-24',null,1),</t>
  </si>
  <si>
    <t>(17,82,96,null,null,1),</t>
  </si>
  <si>
    <t>(56,83,97,'2022-10-28',null,1),</t>
  </si>
  <si>
    <t>(135,74,98,'2025-09-23',null,1),</t>
  </si>
  <si>
    <t>(389,84,99,'2024-09-09',null,1),</t>
  </si>
  <si>
    <t>(193,87,102,'2025-03-04',null,1),</t>
  </si>
  <si>
    <t>(442,88,103,'2024-02-04',null,1),</t>
  </si>
  <si>
    <t>(706,89,104,'2025-02-01',null,1),</t>
  </si>
  <si>
    <t>(18,90,105,'2024-02-04',null,1),</t>
  </si>
  <si>
    <t>(11,91,106,'2024-05-27',null,1),</t>
  </si>
  <si>
    <t>(618,92,107,'2025-02-24',null,1),</t>
  </si>
  <si>
    <t>(258,93,109,'2022-10-18',null,1),</t>
  </si>
  <si>
    <t>(698,94,110,'2025-06-01',null,1),</t>
  </si>
  <si>
    <t>(192,95,111,'2022-06-30',null,1),</t>
  </si>
  <si>
    <t>(387,96,112,'2025-04-19',null,1),</t>
  </si>
  <si>
    <t>(507,97,113,null,null,1),</t>
  </si>
  <si>
    <t>(382,98,115,'2023-09-15',null,1),</t>
  </si>
  <si>
    <t>(697,99,116,'2025-07-01',null,1),</t>
  </si>
  <si>
    <t>(207,100,117,'2022-06-16',null,1),</t>
  </si>
  <si>
    <t>(208,101,118,'2022-06-16',null,1),</t>
  </si>
  <si>
    <t>(705,102,119,'2022-08-17',null,1),</t>
  </si>
  <si>
    <t>(388,103,120,null,null,1),</t>
  </si>
  <si>
    <t>(139,104,121,'2025-09-30',null,1),</t>
  </si>
  <si>
    <t>(484,105,122,'2025-10-30',null,1),</t>
  </si>
  <si>
    <t>(746,106,123,'2025-09-11',null,1),</t>
  </si>
  <si>
    <t>(686,107,124,'2023-04-12',null,1),</t>
  </si>
  <si>
    <t>(309,108,125,'2023-05-04',null,1),</t>
  </si>
  <si>
    <t>(617,109,126,'2025-02-25',null,1),</t>
  </si>
  <si>
    <t>(346,110,127,'2025-07-14',null,1),</t>
  </si>
  <si>
    <t>(432,111,128,'2024-04-01',null,1),</t>
  </si>
  <si>
    <t>(4,112,129,'2024-12-16',null,1),</t>
  </si>
  <si>
    <t>(130,113,130,'2022-06-30',null,1),</t>
  </si>
  <si>
    <t>(579,114,131,'2024-11-18',null,1),</t>
  </si>
  <si>
    <t>(299,115,132,'2023-03-22',null,1),</t>
  </si>
  <si>
    <t>(157,116,133,'2023-09-29',null,1),</t>
  </si>
  <si>
    <t>(195,117,134,'2023-11-29',null,1),</t>
  </si>
  <si>
    <t>(197,118,135,'2022-06-30',null,1),</t>
  </si>
  <si>
    <t>(468,119,136,'2024-05-27',null,1),</t>
  </si>
  <si>
    <t>(566,120,138,'2024-11-13',null,1),</t>
  </si>
  <si>
    <t>(752,121,140,'2025-09-19',null,1),</t>
  </si>
  <si>
    <t>(171,122,141,'2022-06-30',null,1),</t>
  </si>
  <si>
    <t>(510,123,142,'2025-11-05',null,1),</t>
  </si>
  <si>
    <t>(125,124,147,'2024-09-09',null,1),</t>
  </si>
  <si>
    <t>(609,125,149,'2025-04-15',null,1),</t>
  </si>
  <si>
    <t>(780,126,150,'2025-11-03',null,1),</t>
  </si>
  <si>
    <t>(128,127,152,'2022-06-30',null,1),</t>
  </si>
  <si>
    <t>(6,128,154,'2025-11-05',null,1),</t>
  </si>
  <si>
    <t>(5,129,155,'2022-11-15',null,1),</t>
  </si>
  <si>
    <t>(68,130,156,'2022-06-30',null,1),</t>
  </si>
  <si>
    <t>(357,131,157,'2022-07-18',null,1),</t>
  </si>
  <si>
    <t>(101,132,158,'2022-06-30',null,1),</t>
  </si>
  <si>
    <t>(41,133,159,'2022-06-30',null,1),</t>
  </si>
  <si>
    <t>(35,134,160,'2020-08-18',null,1),</t>
  </si>
  <si>
    <t>(95,135,161,'2022-06-30',null,1),</t>
  </si>
  <si>
    <t>(745,136,162,'2025-09-08',null,1),</t>
  </si>
  <si>
    <t>(353,137,164,'2023-05-07',null,1),</t>
  </si>
  <si>
    <t>(74,138,165,'2025-11-14',null,1),</t>
  </si>
  <si>
    <t>(31,139,166,'2022-06-30',null,1),</t>
  </si>
  <si>
    <t>(48,140,167,'2025-07-16',null,1),</t>
  </si>
  <si>
    <t>(643,141,168,'2025-04-04',null,1),</t>
  </si>
  <si>
    <t>(558,142,169,'2024-10-21',null,1),</t>
  </si>
  <si>
    <t>(254,143,170,'2022-11-10',null,1),</t>
  </si>
  <si>
    <t>(424,144,171,'2023-11-27',null,1),</t>
  </si>
  <si>
    <t>(555,145,172,'2024-10-21',null,1),</t>
  </si>
  <si>
    <t>(511,146,173,'2025-07-04',null,1),</t>
  </si>
  <si>
    <t>(538,147,174,'2024-10-30',null,1),</t>
  </si>
  <si>
    <t>(52,148,175,'2025-01-23',null,1),</t>
  </si>
  <si>
    <t>(603,149,176,'2023-05-07',null,1),</t>
  </si>
  <si>
    <t>(622,150,177,'2023-09-10',null,1),</t>
  </si>
  <si>
    <t>(368,151,178,'2023-08-23',null,1),</t>
  </si>
  <si>
    <t>(332,152,179,'2023-05-07',null,1),</t>
  </si>
  <si>
    <t>(394,153,180,'2023-10-20',null,1),</t>
  </si>
  <si>
    <t>(340,154,181,'2023-05-07',null,1),</t>
  </si>
  <si>
    <t>(658,155,182,'2025-08-05',null,1),</t>
  </si>
  <si>
    <t>(378,156,183,'2023-09-15',null,1),</t>
  </si>
  <si>
    <t>(700,157,184,'2025-07-11',null,1),</t>
  </si>
  <si>
    <t>(264,158,186,'2022-11-14',null,1),</t>
  </si>
  <si>
    <t>(410,159,187,'2023-02-11',null,1),</t>
  </si>
  <si>
    <t>(660,160,188,null,null,1),</t>
  </si>
  <si>
    <t>(300,161,189,'2024-06-11',null,1),</t>
  </si>
  <si>
    <t>(731,162,190,'2025-09-11',null,1),</t>
  </si>
  <si>
    <t>(449,163,191,'2024-02-15',null,1),</t>
  </si>
  <si>
    <t>(226,164,192,'2023-07-21',null,1),</t>
  </si>
  <si>
    <t>(15,165,193,'2023-12-01',null,1),</t>
  </si>
  <si>
    <t>(177,166,198,'2025-09-02',null,1),</t>
  </si>
  <si>
    <t>(107,167,199,'2023-10-20',null,1),</t>
  </si>
  <si>
    <t>(154,168,200,'2024-09-18',null,1),</t>
  </si>
  <si>
    <t>(407,169,201,'2023-01-12',null,1),</t>
  </si>
  <si>
    <t>(106,170,202,'2022-06-30',null,1),</t>
  </si>
  <si>
    <t>(159,171,203,'2024-06-13',null,1),</t>
  </si>
  <si>
    <t>(592,172,204,'2024-09-05',null,1),</t>
  </si>
  <si>
    <t>(98,173,205,'2024-11-25',null,1),</t>
  </si>
  <si>
    <t>(572,174,206,'2024-11-25',null,1),</t>
  </si>
  <si>
    <t>(585,175,207,'2024-11-25',null,1),</t>
  </si>
  <si>
    <t>(187,176,208,'2025-02-01',null,1),</t>
  </si>
  <si>
    <t>(587,177,209,'2024-12-26',null,1),</t>
  </si>
  <si>
    <t>(596,178,210,'2025-01-22',null,1),</t>
  </si>
  <si>
    <t>(573,179,211,'2024-11-18',null,1),</t>
  </si>
  <si>
    <t>(779,180,212,'2025-03-17',null,1),</t>
  </si>
  <si>
    <t>(590,181,213,'2025-01-06',null,1),</t>
  </si>
  <si>
    <t>(10,182,214,'2025-09-01',null,1),</t>
  </si>
  <si>
    <t>(8,183,215,'2025-09-01',null,1),</t>
  </si>
  <si>
    <t>(272,184,216,'2025-01-15',null,1),</t>
  </si>
  <si>
    <t>(420,185,217,null,null,1),</t>
  </si>
  <si>
    <t>(292,186,218,'2025-01-30',null,1),</t>
  </si>
  <si>
    <t>(680,187,219,'2024-02-17',null,1),</t>
  </si>
  <si>
    <t>(559,188,220,'2024-10-17',null,1),</t>
  </si>
  <si>
    <t>(616,189,221,'2025-02-25',null,1),</t>
  </si>
  <si>
    <t>(624,190,222,'2025-03-17',null,1),</t>
  </si>
  <si>
    <t>(694,191,223,'2025-07-01',null,1),</t>
  </si>
  <si>
    <t>(199,192,224,'2025-07-04',null,1),</t>
  </si>
  <si>
    <t>(644,193,225,'2025-04-14',null,1),</t>
  </si>
  <si>
    <t>(450,194,226,'2025-08-07',null,1),</t>
  </si>
  <si>
    <t>(466,195,227,'2025-04-21',null,1),</t>
  </si>
  <si>
    <t>(730,196,228,'2025-08-20',null,1),</t>
  </si>
  <si>
    <t>(501,197,229,null,null,1),</t>
  </si>
  <si>
    <t>(560,198,230,'2024-10-21',null,1),</t>
  </si>
  <si>
    <t>(693,199,231,'2025-06-19',null,1),</t>
  </si>
  <si>
    <t>(748,200,232,'2025-09-16',null,1),</t>
  </si>
  <si>
    <t>(737,201,233,'2025-05-21',null,1),</t>
  </si>
  <si>
    <t>(175,235,237,null,null,1),</t>
  </si>
  <si>
    <t>(11,203,240,'2025-01-22',null,1),</t>
  </si>
  <si>
    <t>(786,204,241,'2025-04-15',null,1),</t>
  </si>
  <si>
    <t>(244,205,242,'2024-02-09',null,1),</t>
  </si>
  <si>
    <t>(78,206,243,'2025-11-07',null,1),</t>
  </si>
  <si>
    <t>(94,207,244,'2024-03-01',null,1),</t>
  </si>
  <si>
    <t>(736,208,245,'2025-08-18',null,1),</t>
  </si>
  <si>
    <t>(106,209,246,'2025-09-02',null,1),</t>
  </si>
  <si>
    <t>(707,210,247,'2025-07-24',null,1),</t>
  </si>
  <si>
    <t>(131,211,248,'2024-10-07',null,1),</t>
  </si>
  <si>
    <t>(760,212,249,'2025-10-14',null,1),</t>
  </si>
  <si>
    <t>(28,213,250,'2025-01-04',null,1),</t>
  </si>
  <si>
    <t>(774,214,251,'2025-10-30',null,1),</t>
  </si>
  <si>
    <t>(677,215,252,'2025-07-22',null,1),</t>
  </si>
  <si>
    <t>(629,216,253,null,null,0),</t>
  </si>
  <si>
    <t>(703,217,254,'2025-08-08',null,1),</t>
  </si>
  <si>
    <t>(728,218,255,'2025-08-18',null,1),</t>
  </si>
  <si>
    <t>(147,155,256,'2025-07-31',null,1),</t>
  </si>
  <si>
    <t>(738,219,257,'2025-08-21',null,1),</t>
  </si>
  <si>
    <t>(769,220,258,'2024-07-26',null,1),</t>
  </si>
  <si>
    <t>(704,221,259,'2025-06-17',null,1),</t>
  </si>
  <si>
    <t>(24,222,262,'2025-09-01',null,1),</t>
  </si>
  <si>
    <t>(788,223,264,'2025-11-14',null,1),</t>
  </si>
  <si>
    <t>(740,224,265,'2025-09-02',null,1),</t>
  </si>
  <si>
    <t>(786,225,266,'2025-10-03',null,1),</t>
  </si>
  <si>
    <t>(750,226,267,'2025-09-17',null,1),</t>
  </si>
  <si>
    <t>(756,227,268,'2025-09-24',null,1),</t>
  </si>
  <si>
    <t>(212,228,269,'2025-10-13',null,1),</t>
  </si>
  <si>
    <t>(778,229,270,'2025-11-03',null,1),</t>
  </si>
  <si>
    <t>(767,230,271,'2025-11-03',null,1),</t>
  </si>
  <si>
    <t>(758,231,272,'2025-10-01',null,1),</t>
  </si>
  <si>
    <t>(757,232,273,'2025-07-08',null,1),</t>
  </si>
  <si>
    <t>(775,233,274,'2025-10-30',null,1),</t>
  </si>
  <si>
    <t>(729,234,276,'2025-08-20',null,1),</t>
  </si>
  <si>
    <t>(753,235,277,'2025-09-22',null,1),</t>
  </si>
  <si>
    <t>(714,236,278,'2025-08-04',null,1),</t>
  </si>
  <si>
    <t>(770,237,279,'2025-10-22',null,1),</t>
  </si>
  <si>
    <t>(773,238,280,'2025-11-02',null,1),</t>
  </si>
  <si>
    <t>(604,239,281,'2025-08-14',null,1),</t>
  </si>
  <si>
    <t>(781,240,282,'2025-11-03',null,1),</t>
  </si>
  <si>
    <t>(650,241,283,'2023-05-07',null,1),</t>
  </si>
  <si>
    <t>(534,242,284,'2025-10-15',null,1),</t>
  </si>
  <si>
    <t>(759,74,285,'2025-10-01',null,1),</t>
  </si>
  <si>
    <t>(637,243,286,'2025-02-13',null,1),</t>
  </si>
  <si>
    <t>(277,244,287,'2022-08-17',null,1),</t>
  </si>
  <si>
    <t>(782,245,289,'2025-11-03',null,1),</t>
  </si>
  <si>
    <t>(140,246,290,null,null,1),</t>
  </si>
  <si>
    <t>(736,248,292,'2025-05-01',null,1),</t>
  </si>
  <si>
    <t>(718,249,293,'2025-08-11',null,1),</t>
  </si>
  <si>
    <t>(610,250,294,'2024-06-13',null,1),</t>
  </si>
  <si>
    <t>(550,251,295,'2025-06-01',null,1),</t>
  </si>
  <si>
    <t>(457,252,296,'2025-11-07',null,1),</t>
  </si>
  <si>
    <t>(623,253,297,'2025-03-02',null,1),</t>
  </si>
  <si>
    <t>(783,254,298,'2025-11-04',null,1),</t>
  </si>
  <si>
    <t>(735,255,302,'2025-09-03',null,1),</t>
  </si>
  <si>
    <t>(733,256,303,'2025-09-01',null,1),</t>
  </si>
  <si>
    <t>(602,257,304,'2025-08-18',null,1),</t>
  </si>
  <si>
    <t>(89,258,306,'2025-09-16',null,1),</t>
  </si>
  <si>
    <t>(469,null,18,'2024-10-05',null,1),</t>
  </si>
  <si>
    <t>(20,null,38,'2022-06-30',null,1),</t>
  </si>
  <si>
    <t>(96,null,62,'2025-11-05',null,1),</t>
  </si>
  <si>
    <t>(1,null,64,'2018-09-27',null,1),</t>
  </si>
  <si>
    <t>(21,null,81,null,null,1),</t>
  </si>
  <si>
    <t>(1,null,108,'2018-09-27',null,1),</t>
  </si>
  <si>
    <t>(507,null,114,null,null,1),</t>
  </si>
  <si>
    <t>(67,null,148,null,null,1),</t>
  </si>
  <si>
    <t>(786,null,236,'2024-02-04',null,1),</t>
  </si>
  <si>
    <t>(131,null,238,'2025-09-11',null,1),</t>
  </si>
  <si>
    <t>(786,null,239,null,null,1),</t>
  </si>
  <si>
    <t>(22,null,260,null,null,1),</t>
  </si>
  <si>
    <t>(79,null,263,null,null,1),</t>
  </si>
  <si>
    <t>(742,null,275,null,null,1),</t>
  </si>
  <si>
    <t>(277,null,288,'2022-08-17',null,1),</t>
  </si>
  <si>
    <t>(64,null,300,'2021-02-04',null,1),</t>
  </si>
  <si>
    <t>(761,null,301,'2025-11-05',null,1),</t>
  </si>
  <si>
    <t>(1,460,null,null,null,1),</t>
  </si>
  <si>
    <t>(2,286,null,null,null,1),</t>
  </si>
  <si>
    <t>(4,328,null,null,null,1),</t>
  </si>
  <si>
    <t>(5,329,null,null,null,1),</t>
  </si>
  <si>
    <t>(5,399,null,null,null,1),</t>
  </si>
  <si>
    <t>(6,295,null,null,null,1),</t>
  </si>
  <si>
    <t>(7,459,null,null,null,1),</t>
  </si>
  <si>
    <t>(7,536,null,null,null,1),</t>
  </si>
  <si>
    <t>(7,537,null,null,null,1),</t>
  </si>
  <si>
    <t>(10,398,null,null,null,1),</t>
  </si>
  <si>
    <t>(11,535,null,null,null,1),</t>
  </si>
  <si>
    <t>(12,325,null,null,null,1),</t>
  </si>
  <si>
    <t>(13,473,null,null,null,1),</t>
  </si>
  <si>
    <t>(14,420,null,null,null,1),</t>
  </si>
  <si>
    <t>(15,466,null,null,null,1),</t>
  </si>
  <si>
    <t>(16,480,null,null,null,1),</t>
  </si>
  <si>
    <t>(17,438,null,null,null,1),</t>
  </si>
  <si>
    <t>(18,353,null,null,null,1),</t>
  </si>
  <si>
    <t>(20,347,null,null,null,1),</t>
  </si>
  <si>
    <t>(21,285,null,null,null,1),</t>
  </si>
  <si>
    <t>(22,485,null,null,null,1),</t>
  </si>
  <si>
    <t>(26,290,null,null,null,0),</t>
  </si>
  <si>
    <t>(27,354,null,null,null,0),</t>
  </si>
  <si>
    <t>(29,430,null,null,null,1),</t>
  </si>
  <si>
    <t>(30,293,null,null,null,0),</t>
  </si>
  <si>
    <t>(31,471,null,null,null,1),</t>
  </si>
  <si>
    <t>(35,327,null,null,null,1),</t>
  </si>
  <si>
    <t>(37,382,null,null,null,0),</t>
  </si>
  <si>
    <t>(38,417,null,null,null,1),</t>
  </si>
  <si>
    <t>(40,500,null,null,null,1),</t>
  </si>
  <si>
    <t>(41,365,null,null,null,1),</t>
  </si>
  <si>
    <t>(42,461,null,null,null,1),</t>
  </si>
  <si>
    <t>(48,436,null,null,null,1),</t>
  </si>
  <si>
    <t>(51,383,null,null,null,0),</t>
  </si>
  <si>
    <t>(52,341,null,null,null,1),</t>
  </si>
  <si>
    <t>(54,441,null,null,null,1),</t>
  </si>
  <si>
    <t>(56,292,null,null,null,1),</t>
  </si>
  <si>
    <t>(61,345,null,null,null,1),</t>
  </si>
  <si>
    <t>(62,470,null,null,null,1),</t>
  </si>
  <si>
    <t>(65,391,null,null,null,0),</t>
  </si>
  <si>
    <t>(67,284,null,null,null,1),</t>
  </si>
  <si>
    <t>(68,385,null,null,null,1),</t>
  </si>
  <si>
    <t>(69,477,null,null,null,0),</t>
  </si>
  <si>
    <t>(71,302,null,null,null,0),</t>
  </si>
  <si>
    <t>(73,342,null,null,null,0),</t>
  </si>
  <si>
    <t>(76,504,null,null,null,1),</t>
  </si>
  <si>
    <t>(78,323,null,null,null,1),</t>
  </si>
  <si>
    <t>(79,488,null,null,null,1),</t>
  </si>
  <si>
    <t>(81,384,null,null,null,1),</t>
  </si>
  <si>
    <t>(86,476,null,null,null,1),</t>
  </si>
  <si>
    <t>(87,309,null,null,null,0),</t>
  </si>
  <si>
    <t>(89,265,null,null,null,1),</t>
  </si>
  <si>
    <t>(94,314,null,null,null,1),</t>
  </si>
  <si>
    <t>(95,276,null,null,null,1),</t>
  </si>
  <si>
    <t>(96,479,null,null,null,1),</t>
  </si>
  <si>
    <t>(97,389,null,null,null,1),</t>
  </si>
  <si>
    <t>(99,422,null,null,null,1),</t>
  </si>
  <si>
    <t>(101,271,null,null,null,1),</t>
  </si>
  <si>
    <t>(105,386,null,null,null,1),</t>
  </si>
  <si>
    <t>(106,403,null,null,null,0),</t>
  </si>
  <si>
    <t>(107,378,null,null,null,1),</t>
  </si>
  <si>
    <t>(108,396,null,null,null,1),</t>
  </si>
  <si>
    <t>(115,331,null,null,null,1),</t>
  </si>
  <si>
    <t>(120,279,null,null,null,0),</t>
  </si>
  <si>
    <t>(125,356,null,null,null,1),</t>
  </si>
  <si>
    <t>(128,463,null,null,null,1),</t>
  </si>
  <si>
    <t>(130,401,null,null,null,1),</t>
  </si>
  <si>
    <t>(131,413,null,null,null,1),</t>
  </si>
  <si>
    <t>(135,475,null,null,null,1),</t>
  </si>
  <si>
    <t>(139,483,null,null,null,1),</t>
  </si>
  <si>
    <t>(143,458,null,null,null,0),</t>
  </si>
  <si>
    <t>(150,443,null,null,null,0),</t>
  </si>
  <si>
    <t>(152,367,null,null,null,1),</t>
  </si>
  <si>
    <t>(160,437,null,null,null,1),</t>
  </si>
  <si>
    <t>(161,324,null,null,null,1),</t>
  </si>
  <si>
    <t>(171,393,null,null,null,1),</t>
  </si>
  <si>
    <t>(172,439,null,null,null,0),</t>
  </si>
  <si>
    <t>(175,308,null,null,null,1),</t>
  </si>
  <si>
    <t>(187,358,null,null,null,1),</t>
  </si>
  <si>
    <t>(192,337,null,null,null,1),</t>
  </si>
  <si>
    <t>(195,274,null,null,null,1),</t>
  </si>
  <si>
    <t>(197,472,null,null,null,1),</t>
  </si>
  <si>
    <t>(200,409,null,null,null,1),</t>
  </si>
  <si>
    <t>(204,441,null,null,null,0),</t>
  </si>
  <si>
    <t>(205,467,null,null,null,0),</t>
  </si>
  <si>
    <t>(208,462,null,null,null,1),</t>
  </si>
  <si>
    <t>(213,489,null,null,null,1),</t>
  </si>
  <si>
    <t>(214,374,null,null,null,0),</t>
  </si>
  <si>
    <t>(357,280,null,null,null,1),</t>
  </si>
  <si>
    <t>(240,400,null,null,null,0),</t>
  </si>
  <si>
    <t>(244,524,null,null,null,1),</t>
  </si>
  <si>
    <t>(247,451,null,null,null,0),</t>
  </si>
  <si>
    <t>(254,449,null,null,null,0),</t>
  </si>
  <si>
    <t>(263,359,null,null,null,0),</t>
  </si>
  <si>
    <t>(263,391,null,null,null,0),</t>
  </si>
  <si>
    <t>(264,304,null,null,null,1),</t>
  </si>
  <si>
    <t>(140,387,null,null,null,1),</t>
  </si>
  <si>
    <t>(277,343,null,null,null,1),</t>
  </si>
  <si>
    <t>(280,414,null,null,null,1),</t>
  </si>
  <si>
    <t>(284,294,null,null,null,0),</t>
  </si>
  <si>
    <t>(285,270,null,null,null,0),</t>
  </si>
  <si>
    <t>(288,296,null,null,null,1),</t>
  </si>
  <si>
    <t>(297,406,null,null,null,0),</t>
  </si>
  <si>
    <t>(299,313,null,null,null,0),</t>
  </si>
  <si>
    <t>(300,491,null,null,null,1),</t>
  </si>
  <si>
    <t>(303,424,null,null,null,0),</t>
  </si>
  <si>
    <t>(305,364,null,null,null,1),</t>
  </si>
  <si>
    <t>(309,315,null,null,null,1),</t>
  </si>
  <si>
    <t>(310,372,null,null,null,0),</t>
  </si>
  <si>
    <t>(314,266,null,null,null,1),</t>
  </si>
  <si>
    <t>(317,275,null,null,null,0),</t>
  </si>
  <si>
    <t>(322,469,null,null,null,1),</t>
  </si>
  <si>
    <t>(325,320,null,null,null,1),</t>
  </si>
  <si>
    <t>(228,445,null,null,null,0),</t>
  </si>
  <si>
    <t>(330,484,null,null,null,1),</t>
  </si>
  <si>
    <t>(332,335,null,null,null,0),</t>
  </si>
  <si>
    <t>(339,520,null,null,null,0),</t>
  </si>
  <si>
    <t>(346,447,null,null,null,1),</t>
  </si>
  <si>
    <t>(133,387,null,null,null,0),</t>
  </si>
  <si>
    <t>(354,493,null,null,null,0),</t>
  </si>
  <si>
    <t>(361,410,null,null,null,0),</t>
  </si>
  <si>
    <t>(364,379,null,null,null,0),</t>
  </si>
  <si>
    <t>(368,331,null,null,null,0),</t>
  </si>
  <si>
    <t>(370,269,null,null,null,0),</t>
  </si>
  <si>
    <t>(375,318,null,null,null,1),</t>
  </si>
  <si>
    <t>(268,435,null,null,null,0),</t>
  </si>
  <si>
    <t>(382,273,null,null,null,1),</t>
  </si>
  <si>
    <t>(385,282,null,null,null,1),</t>
  </si>
  <si>
    <t>(177,317,null,null,null,1),</t>
  </si>
  <si>
    <t>(254,449,null,null,null,1),</t>
  </si>
  <si>
    <t>(150,443,null,null,null,1),</t>
  </si>
  <si>
    <t>(388,369,null,null,null,1),</t>
  </si>
  <si>
    <t>(392,519,null,null,null,0),</t>
  </si>
  <si>
    <t>(393,478,null,null,null,0),</t>
  </si>
  <si>
    <t>(394,326,null,null,null,0),</t>
  </si>
  <si>
    <t>(399,496,null,null,null,0),</t>
  </si>
  <si>
    <t>(407,507,null,null,null,1),</t>
  </si>
  <si>
    <t>(410,448,null,null,null,1),</t>
  </si>
  <si>
    <t>(412,512,null,null,null,1),</t>
  </si>
  <si>
    <t>(414,283,null,null,null,1),</t>
  </si>
  <si>
    <t>(420,349,null,null,null,1),</t>
  </si>
  <si>
    <t>(424,454,null,null,null,1),</t>
  </si>
  <si>
    <t>(426,268,null,null,null,1),</t>
  </si>
  <si>
    <t>(223,498,null,null,null,1),</t>
  </si>
  <si>
    <t>(428,507,null,null,null,0),</t>
  </si>
  <si>
    <t>(430,440,null,null,null,0),</t>
  </si>
  <si>
    <t>(432,503,null,null,null,1),</t>
  </si>
  <si>
    <t>(368,331,null,null,null,1),</t>
  </si>
  <si>
    <t>(439,267,null,null,null,0),</t>
  </si>
  <si>
    <t>(443,376,null,null,null,1),</t>
  </si>
  <si>
    <t>(445,434,null,null,null,0),</t>
  </si>
  <si>
    <t>(449,278,null,null,null,1),</t>
  </si>
  <si>
    <t>(450,513,null,null,null,1),</t>
  </si>
  <si>
    <t>(451,514,null,null,null,0),</t>
  </si>
  <si>
    <t>(299,517,null,null,null,1),</t>
  </si>
  <si>
    <t>(454,306,null,null,null,0),</t>
  </si>
  <si>
    <t>(457,335,null,null,null,1),</t>
  </si>
  <si>
    <t>(460,377,null,null,null,0),</t>
  </si>
  <si>
    <t>(466,344,null,null,null,1),</t>
  </si>
  <si>
    <t>(163,338,null,null,null,1),</t>
  </si>
  <si>
    <t>(226,362,null,null,null,1),</t>
  </si>
  <si>
    <t>(468,511,null,null,null,1),</t>
  </si>
  <si>
    <t>(469,465,null,null,null,1),</t>
  </si>
  <si>
    <t>(473,528,null,null,null,1),</t>
  </si>
  <si>
    <t>(475,522,null,null,null,0),</t>
  </si>
  <si>
    <t>(479,394,null,null,null,0),</t>
  </si>
  <si>
    <t>(480,369,null,null,null,1),</t>
  </si>
  <si>
    <t>(159,415,null,null,null,1),</t>
  </si>
  <si>
    <t>(680,366,null,null,null,1),</t>
  </si>
  <si>
    <t>(499,451,null,null,null,1),</t>
  </si>
  <si>
    <t>(500,531,null,null,null,0),</t>
  </si>
  <si>
    <t>(501,523,null,null,null,1),</t>
  </si>
  <si>
    <t>(503,427,null,null,null,1),</t>
  </si>
  <si>
    <t>(506,481,null,null,null,1),</t>
  </si>
  <si>
    <t>(507,277,null,null,null,0),</t>
  </si>
  <si>
    <t>(510,445,null,null,null,1),</t>
  </si>
  <si>
    <t>(511,334,null,null,null,1),</t>
  </si>
  <si>
    <t>(363,375,null,null,null,1),</t>
  </si>
  <si>
    <t>(222,426,null,null,null,1),</t>
  </si>
  <si>
    <t>(518,490,null,null,null,1),</t>
  </si>
  <si>
    <t>(282,291,null,null,null,1),</t>
  </si>
  <si>
    <t>(193,474,null,null,null,1),</t>
  </si>
  <si>
    <t>(525,302,null,null,null,1),</t>
  </si>
  <si>
    <t>(526,529,null,null,null,1),</t>
  </si>
  <si>
    <t>(527,526,null,null,null,0),</t>
  </si>
  <si>
    <t>(529,361,null,null,null,0),</t>
  </si>
  <si>
    <t>(371,339,null,null,null,1),</t>
  </si>
  <si>
    <t>(531,405,null,null,null,0),</t>
  </si>
  <si>
    <t>(534,299,null,null,null,0),</t>
  </si>
  <si>
    <t>(535,530,null,null,null,1),</t>
  </si>
  <si>
    <t>(541,496,null,null,null,0),</t>
  </si>
  <si>
    <t>(545,427,null,null,null,0),</t>
  </si>
  <si>
    <t>(550,348,null,null,null,1),</t>
  </si>
  <si>
    <t>(552,524,null,null,null,0),</t>
  </si>
  <si>
    <t>(555,406,null,null,null,0),</t>
  </si>
  <si>
    <t>(557,457,null,null,null,1),</t>
  </si>
  <si>
    <t>(558,533,null,null,null,1),</t>
  </si>
  <si>
    <t>(559,316,null,null,null,1),</t>
  </si>
  <si>
    <t>(560,416,null,null,null,1),</t>
  </si>
  <si>
    <t>(481,501,null,null,null,0),</t>
  </si>
  <si>
    <t>(564,330,null,null,null,1),</t>
  </si>
  <si>
    <t>(565,297,null,null,null,0),</t>
  </si>
  <si>
    <t>(484,360,null,null,null,1),</t>
  </si>
  <si>
    <t>(568,527,null,null,null,1),</t>
  </si>
  <si>
    <t>(579,312,null,null,null,1),</t>
  </si>
  <si>
    <t>(583,373,null,null,null,1),</t>
  </si>
  <si>
    <t>(584,464,null,null,null,1),</t>
  </si>
  <si>
    <t>(548,381,null,null,null,0),</t>
  </si>
  <si>
    <t>(478,412,null,null,null,0),</t>
  </si>
  <si>
    <t>(587,305,null,null,null,1),</t>
  </si>
  <si>
    <t>(588,346,null,null,null,1),</t>
  </si>
  <si>
    <t>(514,418,null,null,null,0),</t>
  </si>
  <si>
    <t>(590,456,null,null,null,1),</t>
  </si>
  <si>
    <t>(591,309,null,null,null,0),</t>
  </si>
  <si>
    <t>(592,518,null,null,null,1),</t>
  </si>
  <si>
    <t>(272,410,null,null,null,1),</t>
  </si>
  <si>
    <t>(594,482,null,null,null,0),</t>
  </si>
  <si>
    <t>(595,321,null,null,null,0),</t>
  </si>
  <si>
    <t>(420,349,null,null,null,0),</t>
  </si>
  <si>
    <t>(292,363,null,null,null,1),</t>
  </si>
  <si>
    <t>(494,433,null,null,null,1),</t>
  </si>
  <si>
    <t>(295,355,null,null,null,0),</t>
  </si>
  <si>
    <t>(174,352,null,null,null,1),</t>
  </si>
  <si>
    <t>(442,510,null,null,null,1),</t>
  </si>
  <si>
    <t>(603,486,null,null,null,1),</t>
  </si>
  <si>
    <t>(416,402,null,null,null,1),</t>
  </si>
  <si>
    <t>(606,368,null,null,null,1),</t>
  </si>
  <si>
    <t>(607,357,null,null,null,0),</t>
  </si>
  <si>
    <t>(609,501,null,null,null,1),</t>
  </si>
  <si>
    <t>(610,514,null,null,null,1),</t>
  </si>
  <si>
    <t>(611,468,null,null,null,0),</t>
  </si>
  <si>
    <t>(191,319,null,null,null,0),</t>
  </si>
  <si>
    <t>(300,491,null,null,null,0),</t>
  </si>
  <si>
    <t>(617,371,null,null,null,1),</t>
  </si>
  <si>
    <t>(618,506,null,null,null,1),</t>
  </si>
  <si>
    <t>(622,494,null,null,null,1),</t>
  </si>
  <si>
    <t>(623,306,null,null,null,1),</t>
  </si>
  <si>
    <t>(624,322,null,null,null,1),</t>
  </si>
  <si>
    <t>(625,390,null,null,null,1),</t>
  </si>
  <si>
    <t>(626,421,null,null,null,1),</t>
  </si>
  <si>
    <t>(629,521,null,null,null,0),</t>
  </si>
  <si>
    <t>(637,298,null,null,null,0),</t>
  </si>
  <si>
    <t>(640,425,null,null,null,1),</t>
  </si>
  <si>
    <t>(643,516,null,null,null,1),</t>
  </si>
  <si>
    <t>(591,498,null,null,null,1),</t>
  </si>
  <si>
    <t>(641,281,null,null,null,0),</t>
  </si>
  <si>
    <t>(657,309,null,null,null,0),</t>
  </si>
  <si>
    <t>(658,495,null,null,null,1),</t>
  </si>
  <si>
    <t>(555,406,null,null,null,1),</t>
  </si>
  <si>
    <t>(681,287,null,null,null,1),</t>
  </si>
  <si>
    <t>(686,419,null,null,null,1),</t>
  </si>
  <si>
    <t>(691,455,null,null,null,0),</t>
  </si>
  <si>
    <t>(693,288,null,null,null,1),</t>
  </si>
  <si>
    <t>(694,289,null,null,null,1),</t>
  </si>
  <si>
    <t>(700,340,null,null,null,1),</t>
  </si>
  <si>
    <t>(701,487,null,null,null,0),</t>
  </si>
  <si>
    <t>(702,509,null,null,null,1),</t>
  </si>
  <si>
    <t>(705,423,null,null,null,1),</t>
  </si>
  <si>
    <t>(706,397,null,null,null,1),</t>
  </si>
  <si>
    <t>(715,429,null,null,null,1),</t>
  </si>
  <si>
    <t>(715,272,null,null,null,1),</t>
  </si>
  <si>
    <t>(727,505,null,null,null,1),</t>
  </si>
  <si>
    <t>(106,403,null,null,null,1),</t>
  </si>
  <si>
    <t>(736,380,null,null,null,1),</t>
  </si>
  <si>
    <t>(737,351,null,null,null,0),</t>
  </si>
  <si>
    <t>(534,299,null,null,null,1),</t>
  </si>
  <si>
    <t>(763,432,null,null,null,1),</t>
  </si>
  <si>
    <t>(772,431,null,null,null,1),</t>
  </si>
  <si>
    <t>(779,534,null,null,null,1),</t>
  </si>
  <si>
    <t>(414,85,100,'2023-11-15',null,1),</t>
  </si>
  <si>
    <t>(287,86,101,null,null,1),</t>
  </si>
  <si>
    <t>(146,247,291,'2025-08-12',null,1),</t>
  </si>
  <si>
    <t>carlos.rabanal@cgmrental.com.pe</t>
  </si>
  <si>
    <t>enrique.rodriguez@cgmrental.com.pe</t>
  </si>
  <si>
    <t>jean.bazalar@cgmrental.com..pe</t>
  </si>
  <si>
    <t>eber.aguilar@cgmrental.com.pe</t>
  </si>
  <si>
    <t>carlo.ortiz@cgmrental.com.pe</t>
  </si>
  <si>
    <t>edgard.malpartida@cgmrental.com.pe</t>
  </si>
  <si>
    <t>hector.vidal@cgmrental.com.pe</t>
  </si>
  <si>
    <t>luis.atamari@cgmrental.com.pe</t>
  </si>
  <si>
    <t>jorge.arbulu@gmrental.com.pe</t>
  </si>
  <si>
    <t>victor.ancieta@cgmrental.com.pe</t>
  </si>
  <si>
    <t>ricardo.olivos@gmrental.com.pe</t>
  </si>
  <si>
    <t>wilber.rodriguez@gmrental.com.pe</t>
  </si>
  <si>
    <t>eberth.aranda@cgmrental.com.pe</t>
  </si>
  <si>
    <t>jeanpierre.huaman@gmrental.com.pe</t>
  </si>
  <si>
    <t>marco.cano@cgmrental.com.pe</t>
  </si>
  <si>
    <t>omar.aranda@cgmrental.com.pe</t>
  </si>
  <si>
    <t>=CONCAT("(";A2;",";B2;",";C2;",";D2;",";E2;",";F2;",'";G2;"','";H2;"','";I2;"','";J2;"','";TEXTO(K2;"yyyy-mm-dd");"','";TEXTO(L2;"yyyy-mm-dd");"','";;TEXTO(M2;"yyyy-mm-dd");"',";N2;"),")</t>
  </si>
  <si>
    <t>(53,2,52,4,1,1,'','','','','2018-02-13','2023-01-11','2023-02-28',0),</t>
  </si>
  <si>
    <t>(55,2,175,2,1,1,'','','','','2018-03-19','2022-08-01','2023-03-31',0),</t>
  </si>
  <si>
    <t>(60,2,119,4,1,1,'','','','','2018-08-20','2023-06-30','2023-06-30',0),</t>
  </si>
  <si>
    <t>(70,3,150,2,22,24,'','','','','2019-10-28','2022-07-05','2022-07-31',0),</t>
  </si>
  <si>
    <t>(71,2,9,1,1,1,'50000144','NO FISCALIZADO','','Lunes a Viernes 8am a 6pm','2019-11-01','2024-09-30','2024-09-30',0),</t>
  </si>
  <si>
    <t>(75,2,118,1,1,1,'','','','','2019-11-18','2022-12-12','2023-06-30',0),</t>
  </si>
  <si>
    <t>(77,3,150,2,26,27,'','','','','2020-02-10','2022-07-22','2022-07-31',0),</t>
  </si>
  <si>
    <t>(80,2,149,1,38,49,'','','','','2020-03-02','2023-09-30','2023-11-30',0),</t>
  </si>
  <si>
    <t>(84,3,150,1,29,31,'','','','','2020-07-30','2022-07-31','2022-07-31',0),</t>
  </si>
  <si>
    <t>(85,2,117,1,1,1,'','','','','2020-08-13','2022-12-31','2022-12-31',0),</t>
  </si>
  <si>
    <t>(87,2,5,4,1,1,'50000107','NO FISCALIZADO','','Lunes a Viernes 8am a 6pm','2020-08-24','2024-09-10','2025-06-30',0),</t>
  </si>
  <si>
    <t>(88,2,178,5,1,1,'50000119','FISCALIZADO','','Lunes a Viernes 8am a 6pm','2020-09-28','2024-05-10','2024-07-31',0),</t>
  </si>
  <si>
    <t>(147,3,150,3,15,19,'','','','','2020-09-30','2023-08-11','2023-08-31',0),</t>
  </si>
  <si>
    <t>(90,3,150,3,7,10,'','','','','2020-10-26','2022-06-30','2022-06-30',0),</t>
  </si>
  <si>
    <t>(91,2,80,1,1,1,'','','','','2020-11-03','2022-05-31','2022-05-31',0),</t>
  </si>
  <si>
    <t>(92,3,162,2,34,35,'50000098','FISCALIZADO','','Jornada Atípica','2020-11-23','2024-12-31','2024-12-31',0),</t>
  </si>
  <si>
    <t>(98,3,162,1,18,22,'50000078','FISCALIZADO','','Jornada Atípica','2020-12-22','2024-08-14','2024-11-30',0),</t>
  </si>
  <si>
    <t>(100,2,148,2,38,49,'50000140','FISCALIZADO','NINGUNA','Lunes a Viernes 8am a 6pm','2021-01-07','2024-05-17','2024-09-30',0),</t>
  </si>
  <si>
    <t>(102,3,150,4,35,23,'','','','','2021-01-25','2023-04-07','2023-04-30',0),</t>
  </si>
  <si>
    <t>(103,2,114,1,1,1,'','','','','2021-01-25','2022-06-30','2022-10-31',0),</t>
  </si>
  <si>
    <t>(260,5,96,1,1,1,'','','','','2021-01-25','2022-08-31','2022-09-30',0),</t>
  </si>
  <si>
    <t>(106,2,134,3,1,1,'50000011','FISCALIZADO','NINGUNA','Lunes a Viernes 8am a 6pm','2021-02-01','2025-02-07','2025-04-30',0),</t>
  </si>
  <si>
    <t>(157,3,150,3,4,4,'','','','','2021-03-01','2022-07-31','2022-08-31',0),</t>
  </si>
  <si>
    <t>(110,3,150,1,36,21,'','','','','2021-04-07','2023-06-13','2023-06-30',0),</t>
  </si>
  <si>
    <t>(113,6,79,1,1,1,'','','','','2021-04-14','2022-07-15','2022-07-15',0),</t>
  </si>
  <si>
    <t>(114,3,150,2,12,16,'50000114','FISCALIZADO','','Jornada Atípica','2021-04-27','2023-12-31','2023-12-31',0),</t>
  </si>
  <si>
    <t>(119,2,168,1,38,49,'50000043','FISCALIZADO','NINGUNA','Lunes a Viernes 8am a 6pm','2021-05-11','2025-01-15','2025-01-31',0),</t>
  </si>
  <si>
    <t>(120,3,162,3,34,35,'50000034','FISCALIZADO','NINGUNA','Jornada Atípica','2021-05-17','2025-07-31','2025-07-31',0),</t>
  </si>
  <si>
    <t>(123,3,150,4,20,11,'50000025','FISCALIZADO','','Jornada Atípica','2021-06-16','2023-11-30','2023-12-31',0),</t>
  </si>
  <si>
    <t>(193,3,150,1,11,15,'50000045','FISCALIZADO','NINGUNA','Jornada Atípica','2021-07-02','2023-12-31','2023-12-31',0),</t>
  </si>
  <si>
    <t>(126,2,188,1,1,1,'','','','','2021-07-12','2023-06-02','2023-07-31',0),</t>
  </si>
  <si>
    <t>(239,6,103,1,1,1,'','','','','2021-08-09','2022-12-31','2022-10-31',0),</t>
  </si>
  <si>
    <t>(132,2,185,1,1,1,'','','','','2021-08-09','2022-07-31','2022-08-31',0),</t>
  </si>
  <si>
    <t>(134,2,221,2,1,1,'','','','','2021-08-18','2022-07-31','2022-07-31',0),</t>
  </si>
  <si>
    <t>(137,2,187,1,1,1,'','','','','2021-09-01','2023-08-24','2023-08-31',0),</t>
  </si>
  <si>
    <t>(679,5,99,1,1,1,'','','','','2021-09-02','2022-08-31','2022-08-31',0),</t>
  </si>
  <si>
    <t>(141,2,216,1,1,1,'','','','','2021-10-01','2023-06-30','2023-09-30',0),</t>
  </si>
  <si>
    <t>(143,2,47,1,1,1,'50000075','NO FISCALIZADO','CONFIANZA','Lunes a Viernes 8am a 6pm','2021-10-11','2025-06-24','2025-10-31',0),</t>
  </si>
  <si>
    <t>(144,2,236,2,1,1,'','','','','2021-10-11','2022-12-10','2022-10-31',0),</t>
  </si>
  <si>
    <t>(145,3,150,1,16,20,'','','','','2021-10-11','2022-10-24','2022-11-30',0),</t>
  </si>
  <si>
    <t>(158,2,221,1,1,1,'50000237','','','','2021-12-13','2023-10-13','2024-03-31',0),</t>
  </si>
  <si>
    <t>(162,5,70,1,1,1,'','','','','2022-01-03','2022-09-30','2022-09-30',0),</t>
  </si>
  <si>
    <t>(164,2,225,1,1,1,'50000070','FISCALIZADO','','Lunes a Viernes 8am a 6pm','2022-01-10','2024-01-31','2024-01-31',0),</t>
  </si>
  <si>
    <t>(167,6,81,1,1,1,'','','','','2022-01-17','2022-07-16','2022-07-31',0),</t>
  </si>
  <si>
    <t>(168,2,236,1,1,1,'','','','','2022-02-01','2022-10-10','2023-01-31',0),</t>
  </si>
  <si>
    <t>(169,2,251,1,1,1,'50000027','FISCALIZADO','','Lunes a Viernes 8am a 6pm / Sabados 9am a 12m','2022-02-07','2024-05-31','2024-05-31',0),</t>
  </si>
  <si>
    <t>(170,2,175,4,1,1,'','','','','2022-02-09','2022-10-31','2022-11-30',0),</t>
  </si>
  <si>
    <t>(172,2,178,4,1,1,'50000130','FISCALIZADO','NINGUNA','Lunes a Viernes 8am a 6pm','2022-02-11','2025-04-11','2025-04-11',0),</t>
  </si>
  <si>
    <t>(180,5,88,1,1,1,'','','','','2022-03-09','2022-09-02','2022-09-30',0),</t>
  </si>
  <si>
    <t>(181,5,97,2,1,1,'','','','','2022-03-10','2022-07-07','2022-08-31',0),</t>
  </si>
  <si>
    <t>(182,3,150,4,35,23,'','','','','2022-03-10','2023-04-30','2023-04-30',0),</t>
  </si>
  <si>
    <t>(183,2,244,4,1,1,'50000105','FISCALIZADO','','Lunes a Viernes 8am a 6pm','2022-03-15','2024-04-11','2025-01-31',0),</t>
  </si>
  <si>
    <t>(184,2,108,1,1,1,'','','','','2022-03-15','2023-08-31','2023-08-31',0),</t>
  </si>
  <si>
    <t>(188,2,236,1,1,1,'','','','','2022-04-16','2022-12-26','2023-01-31',0),</t>
  </si>
  <si>
    <t>(189,5,86,1,1,1,'','','','','2022-04-18','2022-07-22','2022-07-31',0),</t>
  </si>
  <si>
    <t>(191,3,150,3,34,35,'50000433','FISCALIZADO','','Jornada Atípica','2022-04-22','2024-05-31','2024-06-30',0),</t>
  </si>
  <si>
    <t>(249,5,74,1,1,1,'','','','','2022-04-26','2022-12-01','2023-01-31',0),</t>
  </si>
  <si>
    <t>(194,5,100,2,1,1,'','','','','2022-04-27','2022-07-31','2022-07-31',0),</t>
  </si>
  <si>
    <t>(196,2,55,1,1,1,'50000010','FISCALIZADO','','Lunes a Viernes 8am a 6pm','2022-05-01','2023-11-15','2024-01-31',0),</t>
  </si>
  <si>
    <t>(198,2,203,3,1,1,'50000063','FISCALIZADO','','Lunes a Viernes 8am a 6pm','2022-05-05','2024-07-31','2024-07-31',0),</t>
  </si>
  <si>
    <t>(199,2,150,3,38,49,'','','','','2022-05-06','2023-08-17','2023-08-31',0),</t>
  </si>
  <si>
    <t>(204,2,146,2,38,49,'50000136','FISCALIZADO','','Lunes a Viernes 8am a 6pm','2022-05-17','2023-11-30','2024-01-31',0),</t>
  </si>
  <si>
    <t>(205,3,154,2,25,26,'50000129','FISCALIZADO','NINGUNA','Jornada Atípica','2022-05-19','2025-05-31','2025-05-31',0),</t>
  </si>
  <si>
    <t>(206,5,100,4,1,1,'','','','','2022-05-24','2022-08-31','2022-08-31',0),</t>
  </si>
  <si>
    <t>(209,2,80,1,1,1,'','','','','2022-06-03','2022-07-31','2022-12-31',0),</t>
  </si>
  <si>
    <t>(210,2,5,1,1,1,'','','','','2022-06-06','2022-09-02','2022-12-31',0),</t>
  </si>
  <si>
    <t>(211,5,71,4,1,1,'','','','','2022-06-06','2022-08-31','2022-08-31',0),</t>
  </si>
  <si>
    <t>(214,2,115,1,1,1,'50000120','FISCALIZADO','NINGUNA','Lunes a Viernes 8am a 6pm','2022-06-15','2025-09-07','2025-09-30',0),</t>
  </si>
  <si>
    <t>(215,3,139,1,18,21,'','','','','2022-06-27','2022-12-01','2022-12-31',0),</t>
  </si>
  <si>
    <t>(680,6,98,2,1,1,'','','','','2022-07-05','2022-12-31','2022-12-31',0),</t>
  </si>
  <si>
    <t>(521,5,83,1,1,1,'','','','','2022-07-06','2023-01-16','2023-01-31',0),</t>
  </si>
  <si>
    <t>(218,2,221,2,1,1,'','','','','2022-07-07','2023-05-31','2023-05-31',0),</t>
  </si>
  <si>
    <t>(220,3,150,4,35,23,'','','','','2022-07-12','2023-03-31','2023-03-31',0),</t>
  </si>
  <si>
    <t>(221,3,162,1,4,5,'50000097','FISCALIZADO','NINGUNA','Jornada Atípica','2022-07-12','2025-03-06','2025-03-31',0),</t>
  </si>
  <si>
    <t>(223,6,72,1,1,1,'50000082','FISCALIZADO','','Lunes a Viernes 8am a 6pm','2022-07-20','2023-12-31','2023-12-31',0),</t>
  </si>
  <si>
    <t>(104,3,150,2,26,27,'','','','','2022-07-22','2022-12-31','2022-12-31',0),</t>
  </si>
  <si>
    <t>(217,3,150,1,11,15,'','','','','2022-08-01','2023-03-04','2023-04-30',0),</t>
  </si>
  <si>
    <t>(283,2,214,1,30,32,'','','','','2022-08-01','2023-09-30','2024-01-31',0),</t>
  </si>
  <si>
    <t>(226,3,150,1,28,30,'50000054','FISCALIZADO','','Jornada Atípica','2022-08-01','2024-02-12','2024-03-31',0),</t>
  </si>
  <si>
    <t>(261,2,105,1,30,32,'','','','','2022-08-01','2023-07-14','2023-10-31',0),</t>
  </si>
  <si>
    <t>(5,5,82,1,1,1,'','','','','2022-08-15','2023-03-12','2023-08-15',0),</t>
  </si>
  <si>
    <t>(228,5,84,1,1,1,'','','','','2022-08-15','2023-05-15','2023-05-15',0),</t>
  </si>
  <si>
    <t>(229,5,81,1,1,1,'','','','','2022-08-18','2023-02-28','2023-05-31',0),</t>
  </si>
  <si>
    <t>(66,2,62,1,38,49,'50000008','FISCALIZADO','NINGUNA','Lunes a Viernes 8am a 6pm','2022-09-01','2025-11-30','2025-11-30',0),</t>
  </si>
  <si>
    <t>(235,3,150,2,34,35,'','','','','2022-09-01','2023-02-28','2023-02-28',0),</t>
  </si>
  <si>
    <t>(224,2,63,1,38,49,'50000014','FISCALIZADO','NINGUNA','Lunes a Viernes 8am a 6pm','2022-09-01','2025-01-12','2025-02-28',0),</t>
  </si>
  <si>
    <t>(679,2,222,1,1,1,'','','','','2022-09-01','2023-04-30','2023-05-31',0),</t>
  </si>
  <si>
    <t>(237,2,216,1,1,1,'','','','','2022-09-01','2023-07-14','2023-08-31',0),</t>
  </si>
  <si>
    <t>(59,7,198,1,1,1,'','','','','2022-09-01','2023-02-28','2023-02-28',0),</t>
  </si>
  <si>
    <t>(542,2,120,1,38,49,'50000100','FISCALIZADO','','Lunes a Viernes 8am a 6pm','2022-09-01','2024-05-31','2024-05-31',0),</t>
  </si>
  <si>
    <t>(260,2,235,1,1,1,'50000112','FISCALIZADO','','Lunes a Viernes 8am a 6pm','2022-09-01','2023-11-10','2024-08-31',0),</t>
  </si>
  <si>
    <t>(233,2,118,1,1,1,'','','','','2022-09-01','2023-03-07','2023-08-31',0),</t>
  </si>
  <si>
    <t>(240,2,7,2,1,1,'50000022','FISCALIZADO','NINGUNA','Lunes a Viernes 8am a 6pm','2022-09-05','2025-03-28','2025-08-31',0),</t>
  </si>
  <si>
    <t>(246,2,148,2,38,49,'','','','','2022-09-14','2022-12-31','2022-12-31',0),</t>
  </si>
  <si>
    <t>(247,6,78,1,1,1,'','','','','2022-09-14','2023-09-30','2023-09-30',0),</t>
  </si>
  <si>
    <t>(248,5,88,1,1,1,'','','','','2022-09-15','2023-03-15','2023-05-31',0),</t>
  </si>
  <si>
    <t>(284,5,70,1,1,1,'','','','','2022-09-20','2023-01-16','2024-04-30',0),</t>
  </si>
  <si>
    <t>(251,5,71,1,1,1,'','','','','2022-09-23','2023-05-31','2023-06-30',0),</t>
  </si>
  <si>
    <t>(252,2,154,3,29,8,'50000072','FISCALIZADO','','Jornada Atípica','2022-09-26','2024-09-30','2024-09-30',0),</t>
  </si>
  <si>
    <t>(253,2,236,4,1,1,'','','','','2022-09-28','2023-06-16','2023-09-30',0),</t>
  </si>
  <si>
    <t>(124,3,150,4,20,11,'','','','','2022-10-01','2023-08-01','2023-07-31',0),</t>
  </si>
  <si>
    <t>(254,5,77,1,1,1,'','','','','2022-10-03','2023-09-30','2023-09-30',0),</t>
  </si>
  <si>
    <t>(257,5,71,4,1,1,'','','','','2022-10-03','2023-05-09','2023-05-31',0),</t>
  </si>
  <si>
    <t>(259,5,71,2,1,1,'','','','','2022-10-17','2023-05-31','2023-05-31',0),</t>
  </si>
  <si>
    <t>(483,5,71,1,1,1,'','','','','2022-10-24','2023-01-16','2023-04-30',0),</t>
  </si>
  <si>
    <t>(263,2,203,2,1,1,'50000124','FISCALIZADO','NINGUNA','Lunes a Viernes 8am a 6pm','2022-11-03','2025-07-31','2025-07-31',0),</t>
  </si>
  <si>
    <t>(266,2,187,5,1,1,'50000023','FISCALIZADO','','Lunes a Viernes 8am a 6pm','2022-11-28','2024-09-30','2024-09-30',0),</t>
  </si>
  <si>
    <t>(249,2,189,1,1,1,'50000030','FISCALIZADO','','Lunes a Viernes 8am a 6pm','2022-12-02','2024-10-27','2025-05-31',0),</t>
  </si>
  <si>
    <t>(267,2,178,5,1,1,'','','','','2022-12-06','2023-08-31','2023-08-31',0),</t>
  </si>
  <si>
    <t>(269,2,258,1,1,1,'50000117','FISCALIZADO','CONFIANZA','Lunes a Viernes 8am a 6pm','2022-12-06','2025-05-31','2025-05-31',0),</t>
  </si>
  <si>
    <t>(270,2,189,1,1,1,'50000137','FISCALIZADO','','Lunes a Viernes 8am a 6pm / Sabados 9am a 12m','2022-12-06','2024-10-25','2024-11-30',0),</t>
  </si>
  <si>
    <t>(239,2,209,1,1,1,'50000009','FISCALIZADO','','Lunes a Viernes 8am a 6pm','2023-01-02','2023-11-10','2023-12-31',0),</t>
  </si>
  <si>
    <t>(272,2,175,4,30,32,'','','','','2023-01-02','2023-07-21','2023-07-31',0),</t>
  </si>
  <si>
    <t>(274,2,193,1,30,32,'','','','','2023-01-02','2023-04-14','2023-03-31',0),</t>
  </si>
  <si>
    <t>(275,3,139,1,36,21,'','','','','2023-01-02','2023-06-30','2023-06-30',0),</t>
  </si>
  <si>
    <t>(276,3,152,1,36,21,'','','','','2023-01-04','2023-05-03','2023-06-30',0),</t>
  </si>
  <si>
    <t>(284,2,185,1,1,1,'50000005','FISCALIZADO','','Lunes a Viernes 8am a 6pm','2023-01-17','2024-04-15','2024-04-30',0),</t>
  </si>
  <si>
    <t>(483,2,182,1,1,1,'50000015','FISCALIZADO','','Lunes a Viernes 8am a 6pm','2023-01-17','2024-09-23','2024-10-31',0),</t>
  </si>
  <si>
    <t>(521,2,201,1,1,1,'','','','','2023-01-17','2023-09-07','2023-10-31',0),</t>
  </si>
  <si>
    <t>(285,3,162,1,24,25,'50000113','FISCALIZADO','NINGUNA','Jornada Atípica','2023-01-18','2025-10-03','2025-10-31',0),</t>
  </si>
  <si>
    <t>(286,5,76,1,1,1,'','','','','2023-01-24','2023-02-28','2023-04-30',0),</t>
  </si>
  <si>
    <t>(289,2,107,2,1,1,'50000115','FISCALIZADO','','Lunes a Viernes 8am a 6pm / Sabados 9am a 12m','2023-02-01','2024-05-03','2024-05-31',0),</t>
  </si>
  <si>
    <t>(290,2,148,2,38,49,'50000126','FISCALIZADO','','Lunes a Viernes 8am a 6pm','2023-02-01','2023-11-09','2023-11-30',0),</t>
  </si>
  <si>
    <t>(292,3,154,2,34,35,'50000420','FISCALIZADO','','Jornada Atípica','2023-02-06','2024-11-30','2025-01-31',0),</t>
  </si>
  <si>
    <t>(293,3,150,2,34,35,'','','','','2023-02-10','2023-05-31','2023-05-31',0),</t>
  </si>
  <si>
    <t>(294,3,152,2,22,24,'','','','','2023-02-10','2023-06-02','2023-05-31',0),</t>
  </si>
  <si>
    <t>(297,2,232,1,1,1,'50000150','FISCALIZADO','','Lunes a Viernes 8am a 6pm','2023-03-02','2024-01-29','2024-02-29',0),</t>
  </si>
  <si>
    <t>(299,5,87,1,1,1,'50000151','FISCALIZADO','','Lunes a Viernes 8am a 6pm','2023-03-06','2024-03-05','2024-03-05',0),</t>
  </si>
  <si>
    <t>(302,2,5,1,1,1,'','','','','2023-03-13','2023-06-09','2023-09-30',0),</t>
  </si>
  <si>
    <t>(303,2,9,1,1,1,'50000153','NO FISCALIZADO','NINGUNA','Lunes a Viernes 8am a 6pm','2023-03-15','2025-09-30','2025-09-30',0),</t>
  </si>
  <si>
    <t>(304,2,141,4,1,1,'','','','','2023-03-15','2023-09-30','2023-09-30',0),</t>
  </si>
  <si>
    <t>(248,2,203,1,36,21,'50000154','FISCALIZADO','NINGUNA','Lunes a Viernes 8am a 6pm','2023-03-16','2025-01-31','2025-01-31',0),</t>
  </si>
  <si>
    <t>(310,2,5,1,1,1,'50000156','NO FISCALIZADO','NINGUNA','Lunes a Viernes 8am a 6pm','2023-04-03','2025-08-31','2025-09-30',0),</t>
  </si>
  <si>
    <t>(312,5,76,1,1,1,'','','','','2023-04-10','2023-09-30','2023-09-30',0),</t>
  </si>
  <si>
    <t>(313,6,73,1,1,1,'','','','','2023-04-11','2023-06-30','2023-06-30',0),</t>
  </si>
  <si>
    <t>(317,3,162,1,24,25,'50000159','FISCALIZADO','NINGUNA','Jornada Atípica','2023-04-18','2025-08-31','2025-08-31',0),</t>
  </si>
  <si>
    <t>(318,3,150,1,4,6,'','','','','2023-04-18','2023-06-16','2023-07-31',0),</t>
  </si>
  <si>
    <t>(319,3,150,1,14,18,'','','','','2023-04-18','2023-07-09','2023-07-31',0),</t>
  </si>
  <si>
    <t>(324,6,95,1,1,1,'','','','','2023-05-02','2023-09-30','2023-10-31',0),</t>
  </si>
  <si>
    <t>(326,3,154,1,37,47,'50000163','FISCALIZADO','','Jornada Atípica','2023-05-08','2024-09-30','2024-10-31',0),</t>
  </si>
  <si>
    <t>(228,2,253,1,1,1,'50000164','FISCALIZADO','','Lunes a Viernes 8am a 6pm','2023-05-16','2024-06-30','2024-06-30',0),</t>
  </si>
  <si>
    <t>(328,2,221,2,1,1,'50000166','FISCALIZADO','','Lunes a Viernes 8am a 6pm','2023-05-18','2024-01-31','2024-03-31',0),</t>
  </si>
  <si>
    <t>(329,3,162,1,31,6,'50000165','FISCALIZADO','','Jornada Atípica','2023-05-18','2024-08-30','2024-11-30',0),</t>
  </si>
  <si>
    <t>(232,2,210,1,1,1,'50000167','FISCALIZADO','','Lunes a Viernes 8am a 6pm','2023-05-22','2024-09-30','2024-09-30',0),</t>
  </si>
  <si>
    <t>(332,2,172,1,1,1,'50000169','FISCALIZADO','CONFIANZA','Lunes a Viernes 8am a 6pm','2023-06-01','2025-11-30','2025-11-30',0),</t>
  </si>
  <si>
    <t>(148,3,147,4,20,11,'50000170','FISCALIZADO','','Jornada Atípica','2023-06-01','2024-02-29','2024-02-29',0),</t>
  </si>
  <si>
    <t>(334,2,185,1,1,1,'50000238','','','','2023-06-01','2023-10-20','2023-11-30',0),</t>
  </si>
  <si>
    <t>(336,3,150,2,34,35,'50000172','FISCALIZADO','','Jornada Atípica','2023-06-08','2024-02-15','2024-02-29',0),</t>
  </si>
  <si>
    <t>(337,3,152,2,22,24,'50000171','FISCALIZADO','','Jornada Atípica','2023-06-08','2024-01-30','2024-02-29',0),</t>
  </si>
  <si>
    <t>(339,3,154,1,34,38,'50000173','FISCALIZADO','NINGUNA','Jornada Atípica','2023-06-12','2025-09-30','2025-11-30',0),</t>
  </si>
  <si>
    <t>(341,3,154,2,22,24,'50000175','FISCALIZADO','NINGUNA','Jornada Atípica','2023-06-13','2025-03-31','2025-03-31',0),</t>
  </si>
  <si>
    <t>(343,3,154,1,36,21,'50000177','FISCALIZADO','NINGUNA','Jornada Atípica','2023-06-21','2025-05-15','2025-06-30',0),</t>
  </si>
  <si>
    <t>(345,3,150,1,36,21,'50000178','FISCALIZADO','','Jornada Atípica','2023-06-22','2024-06-05','2024-06-30',0),</t>
  </si>
  <si>
    <t>(347,2,137,1,1,1,'','','','','2023-06-26','2023-08-21','2023-12-31',0),</t>
  </si>
  <si>
    <t>(350,2,236,2,1,1,'','','','','2023-06-26','2023-06-26','2023-12-31',0),</t>
  </si>
  <si>
    <t>(351,3,162,1,36,21,'50000180','FISCALIZADO','NINGUNA','Jornada Atípica','2023-06-27','2025-06-30','2025-06-30',0),</t>
  </si>
  <si>
    <t>(352,3,152,1,36,21,'','','','','2023-07-01','2023-08-02','2023-09-30',0),</t>
  </si>
  <si>
    <t>(313,2,224,1,1,1,'50000182','FISCALIZADO','','Lunes a Viernes 8am a 6pm','2023-07-01','2024-07-31','2024-07-31',0),</t>
  </si>
  <si>
    <t>(133,3,162,4,20,11,'50000181','FISCALIZADO','','Jornada Atípica','2023-07-01','2024-09-30','2024-12-31',0),</t>
  </si>
  <si>
    <t>(354,3,154,1,2,2,'50000184','FISCALIZADO','NINGUNA','Jornada Atípica','2023-07-07','2025-04-30','2025-06-30',0),</t>
  </si>
  <si>
    <t>(355,3,150,1,11,15,'','','','','2023-07-10','2023-07-18','2023-10-10',0),</t>
  </si>
  <si>
    <t>(251,2,109,1,1,1,'50000186','FISCALIZADO','','Lunes a Viernes 8am a 6pm','2023-07-12','2024-01-22','2024-01-31',0),</t>
  </si>
  <si>
    <t>(356,3,132,1,36,21,'50000185','FISCALIZADO','','Jornada Atípica','2023-07-17','2023-11-15','2024-01-31',0),</t>
  </si>
  <si>
    <t>(104,3,150,2,4,7,'50000187','FISCALIZADO','','Jornada Atípica','2023-07-18','2023-11-13','2024-01-31',0),</t>
  </si>
  <si>
    <t>(358,3,162,1,36,21,'50000188','FISCALIZADO','','Jornada Atípica','2023-07-19','2024-10-10','2024-10-31',0),</t>
  </si>
  <si>
    <t>(359,2,106,4,1,1,'','','','','2023-07-21','2023-08-02','2024-01-31',0),</t>
  </si>
  <si>
    <t>(360,3,150,1,4,5,'50000189','FISCALIZADO','','Jornada Atípica','2023-07-21','2024-04-30','2024-04-30',0),</t>
  </si>
  <si>
    <t>(361,2,5,4,1,1,'50000190','FISCALIZADO','','Lunes a Viernes 8am a 6pm','2023-07-24','2024-12-03','2025-04-30',0),</t>
  </si>
  <si>
    <t>(362,3,150,1,28,30,'','','','','2023-07-24','2023-08-01','2023-10-31',0),</t>
  </si>
  <si>
    <t>(363,5,93,1,1,1,'50000191','FISCALIZADO','','Lunes a Viernes 8am a 6pm','2023-07-26','2024-07-31','2024-07-31',0),</t>
  </si>
  <si>
    <t>(364,2,191,2,1,1,'50000193','FISCALIZADO','NINGUNA','Lunes a Viernes 8am a 6pm / Sabados 9am a 12m','2023-08-01','2025-09-30','2025-12-31',0),</t>
  </si>
  <si>
    <t>(367,3,154,1,34,41,'50000192','FISCALIZADO','NINGUNA','Jornada Atípica','2023-08-03','2025-07-05','2025-07-31',0),</t>
  </si>
  <si>
    <t>(368,5,88,1,1,1,'50000194','FISCALIZADO','','Lunes a Viernes 8am a 6pm','2023-08-07','2024-01-31','2024-01-31',0),</t>
  </si>
  <si>
    <t>(370,2,243,1,1,1,'50000196','FISCALIZADO','CONFIANZA','Lunes a Viernes 8am a 6pm','2023-08-14','2025-10-17','2025-11-30',0),</t>
  </si>
  <si>
    <t>(371,2,107,2,1,1,'50000197','FISCALIZADO','NINGUNA','Lunes a Viernes 8am a 6pm / Sabados 9am a 12m','2023-08-14','2024-08-31','2024-08-31',0),</t>
  </si>
  <si>
    <t>(372,2,151,1,1,1,'','','','','2023-08-16','2023-08-21','2024-02-29',0),</t>
  </si>
  <si>
    <t>(373,3,150,1,28,30,'','','','','2023-08-17','2023-09-13','2023-11-30',0),</t>
  </si>
  <si>
    <t>(374,6,101,1,1,1,'50000198','FISCALIZADO','','Lunes a Viernes 8am a 3pm','2023-08-21','2024-02-29','2024-02-29',0),</t>
  </si>
  <si>
    <t>(376,2,112,1,1,1,'50000200','FISCALIZADO','CONFIANZA','Lunes a Viernes 8am a 6pm','2023-08-28','2025-04-06','2026-02-28',0),</t>
  </si>
  <si>
    <t>(377,2,241,1,1,1,'50000201','FISCALIZADO','','Lunes a Viernes 8am a 6pm','2023-08-28','2024-08-04','2024-08-31',0),</t>
  </si>
  <si>
    <t>(127,2,161,1,38,49,'50000204','FISCALIZADO','','Lunes a Viernes 8am a 6pm','2023-09-01','2024-09-30','2025-02-28',0),</t>
  </si>
  <si>
    <t>(268,2,168,1,38,49,'50000203','FISCALIZADO','NINGUNA','Lunes a Viernes 8am a 6pm','2023-09-01','2025-07-31','2025-07-31',0),</t>
  </si>
  <si>
    <t>(179,2,202,4,1,1,'50000239','','','','2023-09-01','2023-10-11','2023-11-30',0),</t>
  </si>
  <si>
    <t>(379,2,175,1,1,1,'50000240','','','','2023-09-04','2023-10-13','2024-03-31',0),</t>
  </si>
  <si>
    <t>(381,3,150,1,36,21,'50000207','FISCALIZADO','','Jornada Atípica','2023-09-11','2023-12-26','2023-12-31',0),</t>
  </si>
  <si>
    <t>(384,2,181,1,1,1,'50000210','FISCALIZADO','NINGUNA','Lunes a Viernes 8am a 6pm','2023-09-20','2025-07-11','2025-09-30',0),</t>
  </si>
  <si>
    <t>(291,2,166,1,38,49,'50000221','FISCALIZADO','NINGUNA','Lunes a Viernes 8am a 6pm','2023-10-01','2025-03-10','2025-06-30',0),</t>
  </si>
  <si>
    <t>(312,2,193,1,1,1,'50000222','FISCALIZADO','','Lunes a Viernes 8am a 6pm','2023-10-01','2024-02-16','2024-06-30',0),</t>
  </si>
  <si>
    <t>(247,2,207,1,1,1,'50000224','FISCALIZADO','','Lunes a Viernes 8am a 6pm','2023-10-01','2024-06-09','2024-09-30',0),</t>
  </si>
  <si>
    <t>(390,2,134,4,1,1,'50000216','FISCALIZADO','','Lunes a Viernes 8am a 6pm','2023-10-02','2024-07-18','2024-07-31',0),</t>
  </si>
  <si>
    <t>(391,2,175,1,1,1,'50000213','NO FISCALIZADO','','Lunes a Viernes 8am a 6pm','2023-10-02','2024-07-31','2024-12-31',0),</t>
  </si>
  <si>
    <t>(392,2,1,1,1,1,'50000214','FISCALIZADO','CONFIANZA','Lunes a Viernes 8am a 6pm','2023-10-04','2025-11-09','2026-04-30',0),</t>
  </si>
  <si>
    <t>(393,2,26,1,36,21,'50000217','NO FISCALIZADO','NINGUNA','Jornada Atípica','2023-10-04','2025-07-25','2025-12-31',0),</t>
  </si>
  <si>
    <t>(155,2,146,3,38,49,'50000225','FISCALIZADO','','Lunes a Viernes 8am a 6pm','2023-10-06','2024-01-31','2024-01-31',0),</t>
  </si>
  <si>
    <t>(394,2,5,1,1,1,'50000226','NO FISCALIZADO','NINGUNA','Lunes a Viernes 8am a 6pm','2023-10-10','2025-10-31','2025-10-31',0),</t>
  </si>
  <si>
    <t>(396,2,107,4,1,1,'50000235','','','','2023-10-13','2023-10-24','2024-01-31',0),</t>
  </si>
  <si>
    <t>(399,2,116,1,1,1,'50000228','FISCALIZADO','','Lunes a Viernes 8am a 6pm','2023-10-16','2024-08-13','2024-10-31',0),</t>
  </si>
  <si>
    <t>(401,2,8,1,1,1,'50000227','FISCALIZADO','','Lunes a Viernes 8am a 6pm','2023-10-16','2023-11-15','2024-01-31',0),</t>
  </si>
  <si>
    <t>(403,3,147,1,4,5,'50000236','FISCALIZADO','','','2023-10-18','2023-10-27','2024-01-31',0),</t>
  </si>
  <si>
    <t>(405,5,94,2,1,1,'50000230','FISCALIZADO','','Lunes a Viernes 8am a 6pm','2023-10-19','2024-01-31','2024-01-31',0),</t>
  </si>
  <si>
    <t>(406,2,228,1,1,1,'50000231','FISCALIZADO','','Lunes a Viernes 8am a 6pm','2023-10-23','2023-11-03','2024-01-31',0),</t>
  </si>
  <si>
    <t>(408,5,95,1,1,1,'50000233','FISCALIZADO','','Lunes a Viernes 8am a 6pm','2023-11-01','2024-06-17','2024-07-31',0),</t>
  </si>
  <si>
    <t>(409,2,235,1,1,1,'50000234','FISCALIZADO','','Lunes a Viernes 8am a 6pm','2023-11-01','2024-07-31','2024-07-31',0),</t>
  </si>
  <si>
    <t>(413,3,150,1,11,15,'50000243','FISCALIZADO','','','2023-11-13','2024-03-27','2024-05-31',0),</t>
  </si>
  <si>
    <t>(414,3,157,4,8,12,'50000245','FISCALIZADO','NINGUNA','14X7','2023-11-14','2025-12-31','2025-12-31',1),</t>
  </si>
  <si>
    <t>(415,2,211,1,1,1,'50000244','FISCALIZADO','NINGUNA','','2023-11-14','2025-02-07','2025-05-31',0),</t>
  </si>
  <si>
    <t>(416,2,147,1,36,21,'50000246','FISCALIZADO','','','2023-11-20','2024-03-15','2024-05-31',0),</t>
  </si>
  <si>
    <t>(418,2,27,1,1,1,'50000247','FISCALIZADO','','','2023-11-22','2024-01-18','2024-02-29',0),</t>
  </si>
  <si>
    <t>(419,2,189,4,1,1,'50000248','FISCALIZADO','','','2023-11-23','2023-11-24','2024-02-29',0),</t>
  </si>
  <si>
    <t>(199,3,150,3,34,35,'50000252','FISCALIZADO','','Jornada Atípica','2023-12-01','2024-03-27','2024-05-31',0),</t>
  </si>
  <si>
    <t>(423,5,71,1,1,1,'50000267','FISCALIZADO','','','2023-12-01','2024-03-31','2024-03-31',0),</t>
  </si>
  <si>
    <t>(425,3,132,1,36,21,'50000251','FISCALIZADO','','','2023-12-04','2024-02-20','2024-03-31',0),</t>
  </si>
  <si>
    <t>(427,5,74,5,1,1,'50000268','FISCALIZADO','','','2023-12-14','2024-06-30','2024-06-30',0),</t>
  </si>
  <si>
    <t>(428,5,74,1,1,1,'50000269','FISCALIZADO','','','2024-01-02','2024-10-20','2024-11-30',0),</t>
  </si>
  <si>
    <t>(429,5,92,5,1,1,'50000270','FISCALIZADO','','','2024-01-02','2024-07-08','2024-12-31',0),</t>
  </si>
  <si>
    <t>(430,2,5,2,1,1,'50000255','NO FISCALIZADO','NINGUNA','Lunes a Viernes 8am a 6pm','2024-01-02','2025-09-21','2025-09-30',0),</t>
  </si>
  <si>
    <t>(436,3,150,1,36,21,'50000257','FISCALIZADO','','','2024-01-10','2024-03-07','2024-04-30',0),</t>
  </si>
  <si>
    <t>(437,3,138,1,36,21,'50000258','FISCALIZADO','','','2024-01-16','2024-09-15','2024-10-31',0),</t>
  </si>
  <si>
    <t>(438,6,72,1,1,1,'50000271','FISCALIZADO','','','2024-01-18','2024-07-31','2024-07-31',0),</t>
  </si>
  <si>
    <t>(439,2,25,1,1,1,'50000259','FISCALIZADO','CONFIANZA','','2024-02-01','2025-06-17','2025-07-31',0),</t>
  </si>
  <si>
    <t>(441,5,85,1,1,1,'50000273','FISCALIZADO','NINGUNA','','2024-02-01','2025-01-31','2025-01-31',0),</t>
  </si>
  <si>
    <t>(442,5,71,4,1,1,'50000272','FISCALIZADO','NINGUNA','','2024-02-01','2025-01-31','2025-01-31',0),</t>
  </si>
  <si>
    <t>(245,2,168,3,38,49,'50000263','FISCALIZADO','NINGUNA','Lunes a Viernes 8am a 6pm','2024-02-12','2025-05-07','2025-08-31',0),</t>
  </si>
  <si>
    <t>(446,3,138,1,36,21,'50000261','FISCALIZADO','','','2024-02-12','2024-10-31','2024-11-30',0),</t>
  </si>
  <si>
    <t>(448,2,175,3,1,1,'50000262','NO FISCALIZADO','','','2024-02-12','2024-07-31','2024-11-30',0),</t>
  </si>
  <si>
    <t>(451,7,178,5,1,1,'50000264','FISCALIZADO','','','2024-02-15','2024-06-03','2024-11-30',0),</t>
  </si>
  <si>
    <t>(454,2,184,1,1,1,'50000284','FISCALIZADO','','','2024-03-11','2024-09-10','2024-09-30',0),</t>
  </si>
  <si>
    <t>(455,2,27,1,1,1,'50000283','FISCALIZADO','','','2024-03-11','2024-05-16','2024-06-30',0),</t>
  </si>
  <si>
    <t>(456,3,154,1,31,33,'50000287','FISCALIZADO','','','2024-03-19','2024-06-30','2024-09-30',0),</t>
  </si>
  <si>
    <t>(458,2,193,1,1,1,'50000288','FISCALIZADO','','','2024-04-01','2024-10-31','2024-12-31',0),</t>
  </si>
  <si>
    <t>(374,2,205,1,1,1,'50000292','FISCALIZADO','','Lunes a Viernes 8am a 6pm','2024-04-01','2024-09-30','2024-10-31',0),</t>
  </si>
  <si>
    <t>(460,2,212,1,1,1,'50000429','FISCALIZADO','NINGUNA','Lunes a Viernes 8am a 6pm','2025-02-05','2025-11-07','2026-02-28',0),</t>
  </si>
  <si>
    <t>(461,3,154,1,34,43,'50000289','FISCALIZADO','NINGUNA','','2024-04-03','2025-09-30','2025-10-31',0),</t>
  </si>
  <si>
    <t>(462,3,154,2,33,36,'50000290','FISCALIZADO','NINGUNA','','2024-04-04','2025-09-11','2025-10-31',0),</t>
  </si>
  <si>
    <t>(463,3,154,2,27,28,'50000291','FISCALIZADO','','','2024-04-10','2024-07-26','2024-10-31',0),</t>
  </si>
  <si>
    <t>(464,3,154,1,31,6,'50000294','FISCALIZADO','','','2024-04-15','2024-07-05','2024-07-31',0),</t>
  </si>
  <si>
    <t>(467,2,203,2,1,1,'50000297','FISCALIZADO','','','2024-04-19','2024-05-04','2024-07-31',0),</t>
  </si>
  <si>
    <t>(471,2,55,1,1,1,'50000303','FISCALIZADO','NINGUNA','','2024-05-06','2025-02-28','2025-02-28',0),</t>
  </si>
  <si>
    <t>(472,2,178,2,1,1,'50000304','FISCALIZADO','','','2024-05-06','2024-10-31','2024-10-31',0),</t>
  </si>
  <si>
    <t>(475,2,178,5,1,1,'50000307','FISCALIZADO','NINGUNA','','2024-05-13','2025-09-30','2025-09-30',0),</t>
  </si>
  <si>
    <t>(476,2,203,2,1,1,'','FISCALIZADO','','','2024-05-13','2024-05-15','2024-08-31',0),</t>
  </si>
  <si>
    <t>(477,3,154,1,36,21,'50000312','FISCALIZADO','NINGUNA','','2024-05-14','2025-08-31','2025-08-31',0),</t>
  </si>
  <si>
    <t>(478,5,71,2,1,1,'50000309','FISCALIZADO','','','2024-05-20','2024-11-30','2024-11-30',0),</t>
  </si>
  <si>
    <t>(479,5,85,3,1,1,'50000310','FISCALIZADO','NINGUNA','','2024-05-20','2025-05-31','2025-05-31',0),</t>
  </si>
  <si>
    <t>(482,3,154,1,36,21,'50000315','FISCALIZADO','','','2024-05-22','2024-08-31','2024-08-31',0),</t>
  </si>
  <si>
    <t>(485,2,161,1,38,49,'50000314','FISCALIZADO','NINGUNA','','2024-05-22','2025-05-31','2025-05-31',0),</t>
  </si>
  <si>
    <t>(486,2,193,1,1,1,'50000317','FISCALIZADO','','','2024-05-24','2024-11-30','2024-11-30',0),</t>
  </si>
  <si>
    <t>(487,3,154,2,34,35,'50000313','FISCALIZADO','','','2024-05-24','2024-09-20','2024-11-30',0),</t>
  </si>
  <si>
    <t>(488,2,158,1,38,49,'50000321','FISCALIZADO','NINGUNA','','2024-06-03','2025-05-31','2025-05-31',0),</t>
  </si>
  <si>
    <t>(489,3,154,1,11,15,'50000417','FISCALIZADO','','','2024-06-04','2024-11-19','2024-12-31',0),</t>
  </si>
  <si>
    <t>(490,2,178,5,1,1,'50000323','FISCALIZADO','','','2024-06-10','2024-10-31','2024-10-31',0),</t>
  </si>
  <si>
    <t>(491,3,154,1,36,21,'50000322','FISCALIZADO','NINGUNA','','2024-06-10','2025-04-22','2025-06-30',0),</t>
  </si>
  <si>
    <t>(365,3,154,2,22,24,'50000325','FISCALIZADO','','','2024-06-14','2024-09-15','2024-09-30',0),</t>
  </si>
  <si>
    <t>(500,5,95,1,1,1,'50000328','FISCALIZADO','','','2024-06-20','2024-12-31','2024-12-31',0),</t>
  </si>
  <si>
    <t>(502,3,154,4,20,11,'50000327','FISCALIZADO','','','2024-06-21','2024-07-31','2024-09-30',0),</t>
  </si>
  <si>
    <t>(507,3,157,2,34,35,'50000333','FISCALIZADO','NINGUNA','6X1','2024-07-03','2025-11-30','2026-02-28',0),</t>
  </si>
  <si>
    <t>(509,3,154,1,11,15,'50000330','FISCALIZADO','','','2024-07-04','2024-08-02','2024-10-31',0),</t>
  </si>
  <si>
    <t>(513,2,153,1,1,1,'50000335','FISCALIZADO','','','2024-07-12','2024-10-31','2024-10-31',0),</t>
  </si>
  <si>
    <t>(515,5,74,1,1,1,'50000336','FISCALIZADO','','','2024-07-25','2024-10-25','2024-10-31',0),</t>
  </si>
  <si>
    <t>(517,5,93,1,1,1,'50000337','FISCALIZADO','','','2024-07-26','2024-10-20','2024-12-31',0),</t>
  </si>
  <si>
    <t>(519,3,154,2,25,26,'50000348','FISCALIZADO','NINGUNA','','2024-08-01','2025-07-14','2025-07-31',0),</t>
  </si>
  <si>
    <t>(520,2,229,1,1,1,'50000352','FISCALIZADO','','','2024-08-05','2024-08-30','2024-11-30',0),</t>
  </si>
  <si>
    <t>(522,2,227,1,1,1,'50000340','FISCALIZADO','','Lunes a Viernes 8am a 6pm','2024-08-08','2024-09-30','2024-11-30',0),</t>
  </si>
  <si>
    <t>(524,3,154,1,36,21,'50000341','FISCALIZADO','','','2024-08-15','2024-08-22','2024-11-30',0),</t>
  </si>
  <si>
    <t>(527,2,27,1,1,1,'50000343','FISCALIZADO','NINGUNA','','2024-08-21','2025-07-03','2025-08-31',0),</t>
  </si>
  <si>
    <t>(529,3,154,3,4,4,'50000346','FISCALIZADO','NINGUNA','14X7','2024-08-22','2025-08-06','2025-08-31',0),</t>
  </si>
  <si>
    <t>(530,3,154,2,22,24,'50000345','FISCALIZADO','NINGUNA','','2024-08-23','2025-08-31','2025-08-31',0),</t>
  </si>
  <si>
    <t>(452,2,161,2,38,49,'50000369','FISCALIZADO','NINGUNA','','2024-09-01','2024-12-13','2025-02-28',0),</t>
  </si>
  <si>
    <t>(531,2,5,1,1,1,'50000353','NO FISCALIZADO','NINGUNA','','2024-09-02','2025-08-31','2025-12-31',0),</t>
  </si>
  <si>
    <t>(532,2,175,1,1,1,'50000355','NO FISCALIZADO','','','2024-09-02','2024-12-31','2024-12-31',0),</t>
  </si>
  <si>
    <t>(534,2,189,2,1,1,'50000356','FISCALIZADO','','','2024-09-04','2024-10-31','2024-12-31',0),</t>
  </si>
  <si>
    <t>(536,3,157,1,36,21,'50000358','FISCALIZADO','NINGUNA','14x7','2024-09-09','2025-10-31','2025-10-31',0),</t>
  </si>
  <si>
    <t>(537,3,154,2,27,28,'50000354','FISCALIZADO','','','2024-09-10','2024-09-14','2024-12-31',0),</t>
  </si>
  <si>
    <t>(538,5,75,1,1,1,'50000359','FISCALIZADO','NINGUNA','','2024-09-11','2025-03-31','2025-03-31',0),</t>
  </si>
  <si>
    <t>(540,10,180,1,1,1,'50000365','FISCALIZADO','NINGUNA','','2024-09-16','2025-09-30','2025-09-30',0),</t>
  </si>
  <si>
    <t>(147,2,14,1,1,1,'50000361','FISCALIZADO','','','2024-09-16','2024-12-31','2024-12-31',0),</t>
  </si>
  <si>
    <t>(544,3,154,3,4,4,'50000360','FISCALIZADO','NINGUNA','','2024-09-20','2025-03-31','2025-03-31',0),</t>
  </si>
  <si>
    <t>(235,3,154,2,27,28,'50000362','FISCALIZADO','NINGUNA','','2024-09-21','2025-03-31','2025-03-31',0),</t>
  </si>
  <si>
    <t>(546,3,154,1,36,21,'50000364','FISCALIZADO','NINGUNA','','2024-09-23','2025-03-17','2025-03-31',0),</t>
  </si>
  <si>
    <t>(547,2,230,1,1,1,'50000371','FISCALIZADO','CONFIANZA','','2024-09-25','2025-01-12','2025-01-31',0),</t>
  </si>
  <si>
    <t>(549,2,175,1,1,1,'50000370','NO FISCALIZADO','NINGUNA','','2024-09-25','2025-03-12','2025-03-31',0),</t>
  </si>
  <si>
    <t>(552,2,226,1,1,1,'50000372','FISCALIZADO','NINGUNA','Lunes a Viernes 8am a 6pm','2024-10-01','2025-06-30','2025-06-30',0),</t>
  </si>
  <si>
    <t>(554,3,154,2,13,17,'50000374','FISCALIZADO','NINGUNA','','2024-10-07','2025-02-21','2025-04-30',0),</t>
  </si>
  <si>
    <t>(555,5,83,1,1,1,'50000375','FISCALIZADO','NINGUNA','','2024-10-07','2025-05-31','2025-05-31',0),</t>
  </si>
  <si>
    <t>(556,5,93,1,1,1,'50000382','FISCALIZADO','CONFIANZA','','2024-10-15','2025-03-09','2025-04-30',0),</t>
  </si>
  <si>
    <t>(561,5,94,2,1,1,'50000381','FISCALIZADO','','','2024-10-21','2024-12-30','2025-01-31',0),</t>
  </si>
  <si>
    <t>(565,2,193,1,1,1,'50000383','FISCALIZADO','NINGUNA','Lunes a Viernes 8am a 6pm','2024-10-28','2025-09-19','2025-10-31',0),</t>
  </si>
  <si>
    <t>(569,2,178,2,1,1,'50000388','FISCALIZADO','NINGUNA','','2024-11-04','2025-02-28','2025-02-28',0),</t>
  </si>
  <si>
    <t>(570,3,154,1,36,21,'50000389','FISCALIZADO','NINGUNA','','2024-11-05','2025-08-31','2025-08-31',0),</t>
  </si>
  <si>
    <t>(571,2,165,1,38,49,'50000390','FISCALIZADO','NINGUNA','','2024-11-06','2025-05-18','2025-05-31',0),</t>
  </si>
  <si>
    <t>(574,2,189,1,1,1,'50000395','FISCALIZADO','NINGUNA','','2024-11-11','2025-02-19','2025-02-28',0),</t>
  </si>
  <si>
    <t>(575,3,154,1,36,21,'50000392','FISCALIZADO','NINGUNA','','2024-11-12','2025-08-31','2025-08-31',0),</t>
  </si>
  <si>
    <t>(576,3,154,1,36,21,'50000391','FISCALIZADO','NINGUNA','','2024-11-12','2025-02-11','2025-02-28',0),</t>
  </si>
  <si>
    <t>(580,3,154,1,36,21,'50000394','FISCALIZADO','NINGUNA','','2024-11-18','2025-07-16','2025-08-31',0),</t>
  </si>
  <si>
    <t>(581,2,175,2,1,1,'50000398','NO FISCALIZADO','','','2024-11-18','2024-11-29','2025-02-28',0),</t>
  </si>
  <si>
    <t>(548,2,168,2,38,49,'50000404','FISCALIZADO','NINGUNA','','2024-12-01','2025-08-15','2025-11-30',0),</t>
  </si>
  <si>
    <t>(478,2,175,2,1,1,'50000309','NO FISCALIZADO','NINGUNA','','2024-12-01','2025-08-08','2025-08-31',0),</t>
  </si>
  <si>
    <t>(500,2,218,1,1,1,'50000328','FISCALIZADO','NINGUNA','','2025-01-01','2025-09-14','2025-09-30',0),</t>
  </si>
  <si>
    <t>(514,6,92,1,1,1,'50000411','FISCALIZADO','NINGUNA','','2025-01-01','2025-09-14','2025-09-30',0),</t>
  </si>
  <si>
    <t>(591,5,79,1,1,1,'50000407','FISCALIZADO','NINGUNA','','2025-01-06','2025-03-31','2025-04-30',0),</t>
  </si>
  <si>
    <t>(594,2,196,1,1,1,'50000414','FISCALIZADO','NINGUNA','','2025-01-13','2025-10-03','2026-01-31',0),</t>
  </si>
  <si>
    <t>(595,2,185,1,1,1,'50000415','FISCALIZADO','NINGUNA','','2025-01-13','2025-06-03','2025-10-31',0),</t>
  </si>
  <si>
    <t>(420,5,85,1,1,1,'50000416','FISCALIZADO','NINGUNA','','2025-01-20','2025-08-31','2025-10-31',0),</t>
  </si>
  <si>
    <t>(600,3,154,1,36,21,'50000419','FISCALIZADO','NINGUNA','','2025-01-23','2025-04-08','2025-04-30',0),</t>
  </si>
  <si>
    <t>(295,2,166,1,38,49,'50000428','FISCALIZADO','NINGUNA','Lunes a Viernes 8am a 6pm','2025-02-01','2025-10-31','2025-10-31',0),</t>
  </si>
  <si>
    <t>(441,2,203,1,1,1,'50000273','FISCALIZADO','NINGUNA','','2025-02-01','2025-04-30','2025-04-30',0),</t>
  </si>
  <si>
    <t>(605,2,161,1,38,49,'50000421','FISCALIZADO','NINGUNA','Lunes a Viernes 8am a 6pm','2025-02-03','2025-05-31','2025-05-31',0),</t>
  </si>
  <si>
    <t>(607,3,162,4,6,9,'50000430','FISCALIZADO','NINGUNA','','2025-02-07','2025-07-16','2025-08-31',0),</t>
  </si>
  <si>
    <t>(611,3,163,2,33,36,'50000431','FISCALIZADO','NINGUNA','','2025-02-12','2025-06-30','2025-06-30',0),</t>
  </si>
  <si>
    <t>(191,2,178,3,1,1,'50000433','FISCALIZADO','NINGUNA','Lunes a Viernes 8am a 6pm','2025-02-14','2025-05-31','2025-05-31',0),</t>
  </si>
  <si>
    <t>(300,5,85,2,1,1,'50000436','FISCALIZADO','NINGUNA','Lunes a Viernes 8am a 6pm','2025-02-17','2025-08-31','2025-08-31',0),</t>
  </si>
  <si>
    <t>(459,3,156,4,17,11,'50000440','FISCALIZADO','NINGUNA','','2025-02-24','2025-10-09','2025-11-30',0),</t>
  </si>
  <si>
    <t>(199,3,156,3,37,48,'50000252','FISCALIZADO','NINGUNA','','2025-03-03','2025-05-22','2025-06-30',0),</t>
  </si>
  <si>
    <t>(627,5,90,2,1,1,'50000445','FISCALIZADO','NINGUNA','Lunes a Viernes 8am a 6pm','2025-03-05','2025-06-30','2025-06-30',0),</t>
  </si>
  <si>
    <t>(629,2,175,2,1,1,'50000452','FISCALIZADO','NINGUNA','Lunes a Viernes 8am a 6pm','2025-03-07','2025-10-31','2025-12-31',0),</t>
  </si>
  <si>
    <t>(633,2,168,1,38,49,'50000449','FISCALIZADO','NINGUNA','Lunes a Viernes 8am a 6pm','2025-03-10','2025-06-30','2025-06-30',0),</t>
  </si>
  <si>
    <t>(634,2,168,2,38,49,'50000453','FISCALIZADO','NINGUNA','Lunes a Viernes 8am a 6pm','2025-03-10','2025-07-15','2025-07-31',0),</t>
  </si>
  <si>
    <t>(637,5,93,1,1,1,'50000454','FISCALIZADO','NINGUNA','Lunes a Viernes 8am a 6pm','2025-03-17','2025-11-16','2025-11-30',0),</t>
  </si>
  <si>
    <t>(639,2,168,1,38,49,'50000455','FISCALIZADO','NINGUNA','Lunes a Viernes 8am a 6pm','2025-03-17','2025-05-23','2025-06-30',0),</t>
  </si>
  <si>
    <t>(641,3,163,2,27,29,'50000457','FISCALIZADO','NINGUNA','','2025-03-24','2025-03-26','2025-06-30',0),</t>
  </si>
  <si>
    <t>(493,2,160,2,38,49,'50000464','FISCALIZADO','NINGUNA','Lunes a Viernes 8am a 6pm','2025-04-01','2025-09-18','2025-09-30',0),</t>
  </si>
  <si>
    <t>(645,2,183,2,1,1,'50000462','FISCALIZADO','NINGUNA','Lunes a Viernes 8am a 6pm','2025-04-01','2025-09-23','2025-12-31',0),</t>
  </si>
  <si>
    <t>(648,2,186,1,1,1,'50000459','FISCALIZADO','NINGUNA','Lunes a Viernes 8am a 6pm','2025-04-01','2025-06-27','2025-06-30',0),</t>
  </si>
  <si>
    <t>(649,2,166,1,38,49,'50000461','FISCALIZADO','NINGUNA','Lunes a Viernes 8am a 6pm','2025-04-01','2025-04-07','2025-06-30',0),</t>
  </si>
  <si>
    <t>(641,3,163,2,27,29,'50000457','FISCALIZADO','NINGUNA','','2025-04-14','2025-07-01','2025-07-31',0),</t>
  </si>
  <si>
    <t>(657,5,79,1,1,1,'50000466','FISCALIZADO','NINGUNA','Lunes a Viernes 8am a 6pm','2025-04-16','2025-07-17','2025-07-31',0),</t>
  </si>
  <si>
    <t>(659,3,163,4,34,44,'50000467','FISCALIZADO','NINGUNA','','2025-04-21','2025-07-10','2025-07-31',0),</t>
  </si>
  <si>
    <t>(665,2,256,1,1,1,'50000472','FISCALIZADO','NINGUNA','Lunes a Viernes 8am a 6pm','2025-04-28','2025-08-31','2025-10-31',0),</t>
  </si>
  <si>
    <t>(675,2,166,1,38,49,'50000476','FISCALIZADO','NINGUNA','Lunes a Viernes 8am a 6pm','2025-05-19','2025-10-11','2025-11-30',0),</t>
  </si>
  <si>
    <t>(479,2,203,3,1,1,'50000310','FISCALIZADO','NINGUNA','','2025-06-01','2025-09-05','2025-10-31',0),</t>
  </si>
  <si>
    <t>(434,2,161,1,38,49,'50000487','FISCALIZADO','NINGUNA','Lunes a Viernes 8am a 6pm','2025-06-01','2025-08-31','2025-08-31',0),</t>
  </si>
  <si>
    <t>(682,3,156,2,39,40,'50000478','FISCALIZADO','NINGUNA','','2025-06-02','2025-08-31','2025-08-31',0),</t>
  </si>
  <si>
    <t>(690,3,163,2,33,36,'50000496','FISCALIZADO','NINGUNA','','2025-06-16','2025-09-15','2025-09-30',0),</t>
  </si>
  <si>
    <t>(691,2,173,1,1,1,'50000499','FISCALIZADO','NINGUNA','Lunes a Viernes 8am a 6pm','2025-06-16','2025-08-15','2025-09-30',0),</t>
  </si>
  <si>
    <t>(701,2,186,1,1,1,'50000504','FISCALIZADO','NINGUNA','Lunes a Viernes 8am a 6pm','2025-07-14','2025-10-31','2025-10-31',0),</t>
  </si>
  <si>
    <t>(716,2,168,1,38,49,'50000521','FISCALIZADO','NINGUNA','6x1 (Lunes a Sábado)','2025-08-07','2025-11-21','2025-11-30',0),</t>
  </si>
  <si>
    <t>(725,2,168,1,38,49,'50000515','FISCALIZADO','NINGUNA','Lunes a Viernes 8am a 6pm','2025-08-13','2025-11-30','2025-11-30',0),</t>
  </si>
  <si>
    <t>(732,3,163,3,34,45,'50000531','FISCALIZADO','NINGUNA','14x7','2025-08-25','2025-10-14','2026-02-28',0),</t>
  </si>
  <si>
    <t>(734,3,156,4,34,35,'50000524','FISCALIZADO','NINGUNA','','2025-08-25','2025-08-25','2026-02-28',0),</t>
  </si>
  <si>
    <t>(737,2,134,1,1,1,'50000475','FISCALIZADO','NINGUNA','Lunes a Viernes 8am a 6pm','2025-05-14','2025-11-30','2025-11-30',0),</t>
  </si>
  <si>
    <t>(755,2,5,1,1,1,'50000541','NO FISCALIZADO','NINGUNA','Lunes a Viernes 8am a 6pm','2025-09-22','2025-11-07','2026-03-31',0),</t>
  </si>
  <si>
    <t>(762,2,5,1,1,1,'50000548','NO FISCALIZADO','NINGUNA','Lunes a Viernes 8am a 6pm','2025-10-09','2025-10-09','2026-04-30',0),</t>
  </si>
  <si>
    <t>(1,1,22,1,1,1,'50000020','NO FISCALIZADO','DIRECCION','Lunes a Viernes 8am a 6pm','2010-12-15',null,null,1),</t>
  </si>
  <si>
    <t>(2,1,17,1,1,1,'50000090','NO FISCALIZADO','DIRECCION','Lunes a Viernes 8am a 6pm','2010-12-15',null,null,1),</t>
  </si>
  <si>
    <t>(3,1,20,1,1,1,'','','','','2010-12-15','2022-08-31',null,0),</t>
  </si>
  <si>
    <t>(4,1,172,1,1,1,'50000076','FISCALIZADO','CONFIANZA','Lunes a Viernes 8am a 6pm','2011-02-15',null,null,1),</t>
  </si>
  <si>
    <t>(5,2,210,1,1,1,'50000152','FISCALIZADO','NINGUNA','Lunes a Viernes 8am a 6pm','2023-03-13',null,'2025-12-31',1),</t>
  </si>
  <si>
    <t>(6,2,210,1,1,1,'50000384','FISCALIZADO','NINGUNA','Lunes a Viernes 8am a 6pm','2024-10-28',null,'2026-04-30',1),</t>
  </si>
  <si>
    <t>(7,1,242,1,1,1,'50000024','FISCALIZADO','CONFIANZA','Lunes a Viernes 8am a 6pm','2011-04-01',null,null,1),</t>
  </si>
  <si>
    <t>(8,1,150,1,18,21,'','','','','2011-04-04','2023-06-12',null,0),</t>
  </si>
  <si>
    <t>(9,1,67,1,1,1,'50000143','FISCALIZADO','NINGUNA','Lunes a Viernes 8am a 6pm','2011-06-01',null,null,1),</t>
  </si>
  <si>
    <t>(10,2,210,1,1,1,'50000412','FISCALIZADO','NINGUNA','Lunes a Viernes 8am a 6pm','2025-01-09',null,'2026-04-30',1),</t>
  </si>
  <si>
    <t>(11,1,49,2,1,1,'50000145','NO FISCALIZADO','CONFIANZA','Lunes a Viernes 8am a 6pm','2011-11-01',null,null,1),</t>
  </si>
  <si>
    <t>(12,1,51,3,1,1,'50000049','NO FISCALIZADO','CONFIANZA','Lunes a Viernes 8am a 6pm','2011-11-29',null,null,1),</t>
  </si>
  <si>
    <t>(13,1,164,1,10,14,'50000079','FISCALIZADO','NINGUNA','14x7','2012-01-03',null,null,1),</t>
  </si>
  <si>
    <t>(14,1,133,1,1,1,'50000086','FISCALIZADO','CONFIANZA','Lunes a Viernes 8am a 6pm / Sabados 9am a 12m','2012-05-01',null,null,1),</t>
  </si>
  <si>
    <t>(15,3,7,4,21,11,'50000081','FISCALIZADO','NINGUNA','14X7','2023-01-04',null,'2025-11-30',1),</t>
  </si>
  <si>
    <t>(16,1,164,4,21,11,'50000059','FISCALIZADO','NINGUNA','14X7','2012-06-04',null,null,1),</t>
  </si>
  <si>
    <t>(17,1,171,4,38,49,'50000093','FISCALIZADO','NINGUNA','Lunes a Viernes 8am a 6pm','2012-07-05',null,null,1),</t>
  </si>
  <si>
    <t>(18,3,7,1,24,25,'50000293','FISCALIZADO','NINGUNA','21x9','2024-04-01',null,'2025-11-30',1),</t>
  </si>
  <si>
    <t>(19,1,44,1,1,1,'','','','','2012-10-01','2023-08-31',null,0),</t>
  </si>
  <si>
    <t>(20,1,170,2,34,35,'50000047','FISCALIZADO','NINGUNA','21X9','2012-11-01',null,null,1),</t>
  </si>
  <si>
    <t>(21,1,20,1,1,1,'50000064','NO FISCALIZADO','DIRECCION','Lunes a Viernes 8am a 6pm','2013-01-01',null,null,1),</t>
  </si>
  <si>
    <t>(22,1,34,1,1,1,'50000084','NO FISCALIZADO','CONFIANZA','Lunes a Viernes 8am a 6pm','2013-01-01',null,null,1),</t>
  </si>
  <si>
    <t>(23,1,149,1,38,49,'','','','','2013-05-16','2023-02-28',null,0),</t>
  </si>
  <si>
    <t>(24,1,134,1,1,1,'50000039','FISCALIZADO','NINGUNA','Jornada Atípica','2013-06-03','2025-05-02',null,0),</t>
  </si>
  <si>
    <t>(25,1,27,1,1,1,'','','','','2013-06-17','2023-05-08',null,0),</t>
  </si>
  <si>
    <t>(26,1,18,2,1,1,'50000118','FISCALIZADO','NINGUNA','Lunes a Viernes 8am a 6pm','2013-11-18','2025-02-04',null,0),</t>
  </si>
  <si>
    <t>(27,1,168,1,38,49,'50000085','FISCALIZADO','NINGUNA','Lunes a Viernes 8am a 6pm','2014-01-27','2025-08-15',null,0),</t>
  </si>
  <si>
    <t>(28,2,7,2,1,1,'50000473','FISCALIZADO','NINGUNA','6x1','2025-04-23',null,'2026-02-28',1),</t>
  </si>
  <si>
    <t>(29,1,18,3,1,1,'50000061','FISCALIZADO','NINGUNA','Lunes a Viernes 8am a 6pm','2012-05-16',null,null,1),</t>
  </si>
  <si>
    <t>(30,1,175,3,1,1,'50000092','NO FISCALIZADO','','Lunes a Viernes 8am a 6pm','2014-06-23','2024-12-13',null,0),</t>
  </si>
  <si>
    <t>(31,1,164,1,34,37,'50000055','FISCALIZADO','NINGUNA','21X9','2014-07-03',null,null,1),</t>
  </si>
  <si>
    <t>(32,1,150,2,34,35,'','','','','2014-09-03','2023-07-10',null,0),</t>
  </si>
  <si>
    <t>(33,1,3,1,1,1,'','','','','2014-09-03','2023-01-23',null,0),</t>
  </si>
  <si>
    <t>(34,1,150,2,34,35,'','','','','2014-11-04','2022-12-07',null,0),</t>
  </si>
  <si>
    <t>(35,1,168,4,38,49,'50000068','FISCALIZADO','NINGUNA','Lunes a Viernes 8am a 6pm','2014-11-10',null,null,1),</t>
  </si>
  <si>
    <t>(36,1,162,4,8,11,'50000033','FISCALIZADO','','Lunes a Viernes 8am a 6pm','2014-11-10','2024-09-30',null,0),</t>
  </si>
  <si>
    <t>(37,1,7,1,1,1,'50000041','FISCALIZADO','NINGUNA','Lunes a Viernes 8am a 6pm','2014-12-11','2025-08-10',null,0),</t>
  </si>
  <si>
    <t>(38,1,178,1,1,1,'50000062','FISCALIZADO','NINGUNA','Lunes a Viernes 8am a 6pm','2015-04-15',null,null,1),</t>
  </si>
  <si>
    <t>(39,1,259,1,1,1,'50000111','FISCALIZADO','NINGUNA','Lunes a Viernes 8am a 6pm','2015-05-18','2025-02-28',null,0),</t>
  </si>
  <si>
    <t>(40,1,52,4,1,1,'50000122','NO FISCALIZADO','CONFIANZA','Lunes a Viernes 8am a 6pm','2015-06-01',null,null,1),</t>
  </si>
  <si>
    <t>(41,1,18,1,1,1,'50000103','FISCALIZADO','NINGUNA','Jornada Atípica','2017-06-13',null,null,1),</t>
  </si>
  <si>
    <t>(42,1,37,1,1,1,'50000088','NO FISCALIZADO','CONFIANZA','Lunes a Viernes 8am a 6pm','2015-06-16',null,null,1),</t>
  </si>
  <si>
    <t>(43,1,168,1,38,49,'50000147','FISCALIZADO','NINGUNA','Lunes a Viernes 8am a 6pm','2016-01-04','2025-01-31',null,0),</t>
  </si>
  <si>
    <t>(44,1,199,1,1,1,'','','','','2016-01-12','2023-01-20',null,0),</t>
  </si>
  <si>
    <t>(45,1,28,1,1,1,'','','','','2016-09-05','2022-10-15',null,0),</t>
  </si>
  <si>
    <t>(46,1,5,1,1,1,'','','','','2017-02-06','2023-01-25',null,0),</t>
  </si>
  <si>
    <t>(47,1,9,1,1,1,'50000138','NO FISCALIZADO','NINGUNA','Lunes a Viernes 8am a 6pm','2017-05-04','2025-07-31',null,0),</t>
  </si>
  <si>
    <t>(48,2,18,1,1,1,'50000426','FISCALIZADO','NINGUNA','Lunes a Viernes 8am a 6pm','2025-02-01',null,'2026-01-31',1),</t>
  </si>
  <si>
    <t>(49,1,6,1,1,1,'50000099','FISCALIZADO','','Lunes a Viernes 8am a 6pm','2017-08-17','2024-07-31',null,0),</t>
  </si>
  <si>
    <t>(50,1,142,1,1,1,'50000028','NO FISCALIZADO','','Lunes a Viernes 8am a 6pm','2017-09-18','2024-09-30',null,0),</t>
  </si>
  <si>
    <t>(51,1,131,1,1,1,'50000142','NO FISCALIZADO','','Lunes a Viernes 8am a 6pm','2017-10-16','2024-03-08',null,0),</t>
  </si>
  <si>
    <t>(52,1,128,1,38,49,'50000077','FISCALIZADO','NINGUNA','Lunes a Viernes 8am a 6pm','2017-11-01',null,null,1),</t>
  </si>
  <si>
    <t>(54,2,29,1,1,1,'50000006','FISCALIZADO','NINGUNA','Lunes a Viernes 8am a 6pm','2021-01-26',null,'2026-01-25',1),</t>
  </si>
  <si>
    <t>(56,1,107,3,1,1,'50000046','FISCALIZADO','CONFIANZA','Lunes a Viernes 8am a 6pm / Sabados 9am a 12m','2018-04-01',null,null,1),</t>
  </si>
  <si>
    <t>(138,4,57,1,38,49,'','','','','2018-04-01','2023-08-31',null,0),</t>
  </si>
  <si>
    <t>(57,4,120,4,38,49,'','','','','2018-04-01','2022-05-16',null,0),</t>
  </si>
  <si>
    <t>(58,1,175,1,1,1,'','','','','2018-06-06','2023-07-31',null,0),</t>
  </si>
  <si>
    <t>(233,4,250,1,1,1,'','','','','2018-08-09','2022-08-31',null,0),</t>
  </si>
  <si>
    <t>(61,1,110,1,1,1,'50000060','FISCALIZADO','NINGUNA','Lunes a Viernes 8am a 6pm / Sabados 9am a 12m','2018-09-03',null,null,1),</t>
  </si>
  <si>
    <t>(62,1,164,1,34,38,'50000132','FISCALIZADO','NINGUNA','21X9','2018-10-03',null,null,1),</t>
  </si>
  <si>
    <t>(63,1,169,1,36,21,'50000094','FISCALIZADO','','Jornada Atípica','2018-11-05','2024-12-26',null,0),</t>
  </si>
  <si>
    <t>(225,4,69,1,38,49,'','','','','2019-01-15','2022-08-31',null,0),</t>
  </si>
  <si>
    <t>(64,1,168,3,38,49,'50000146','FISCALIZADO','NINGUNA','Lunes a Viernes 8am a 6pm','2019-04-22',null,null,1),</t>
  </si>
  <si>
    <t>(65,1,161,2,38,49,'50000037','FISCALIZADO','NINGUNA','Jornada Atípica','2019-04-22','2024-07-31',null,0),</t>
  </si>
  <si>
    <t>(66,4,57,1,38,49,'','','','','2019-05-02','2022-08-31',null,0),</t>
  </si>
  <si>
    <t>(67,1,19,1,1,1,'50000036','NO FISCALIZADO','DIRECCION','Lunes a Viernes 8am a 6pm','2019-06-19',null,null,1),</t>
  </si>
  <si>
    <t>(68,1,164,3,29,8,'50000127','FISCALIZADO','NINGUNA','14X7','2019-07-02',null,null,1),</t>
  </si>
  <si>
    <t>(69,1,154,4,34,35,'50000035','FISCALIZADO','NINGUNA','Jornada Atípica','2019-07-08','2025-07-16',null,0),</t>
  </si>
  <si>
    <t>(72,4,124,1,38,49,'60000009','FISCALIZADO','NINGUNA','Lunes a Viernes 8am a 6pm','2019-11-04',null,null,1),</t>
  </si>
  <si>
    <t>(73,1,18,1,1,1,'50000066','FISCALIZADO','NINGUNA','Lunes a Viernes 8am a 6pm','2019-11-06','2025-07-15',null,0),</t>
  </si>
  <si>
    <t>(74,4,24,1,1,1,'','NO FISCALIZADO','','Lunes a Viernes 8am a 6pm','2019-11-08','2024-08-31',null,0),</t>
  </si>
  <si>
    <t>(76,1,45,1,1,1,'50000125','NO FISCALIZADO','CONFIANZA','Lunes a Viernes 8am a 6pm','2020-01-17',null,null,1),</t>
  </si>
  <si>
    <t>(78,1,42,1,1,1,'50000019','NO FISCALIZADO','CONFIANZA','Lunes a Viernes 8am a 6pm','2020-02-20',null,null,1),</t>
  </si>
  <si>
    <t>(79,1,40,1,1,1,'50000135','NO FISCALIZADO','CONFIANZA','Lunes a Viernes 8am a 6pm','2020-03-02',null,null,1),</t>
  </si>
  <si>
    <t>(81,1,164,4,21,11,'50000091','FISCALIZADO','NINGUNA','14X7','2020-07-06',null,null,1),</t>
  </si>
  <si>
    <t>(283,4,214,1,1,1,'','','','','2020-07-07','2022-07-31',null,0),</t>
  </si>
  <si>
    <t>(83,4,120,1,38,49,'','','','','2020-07-14','2023-08-31',null,0),</t>
  </si>
  <si>
    <t>(86,1,164,4,21,11,'50000042','FISCALIZADO','NINGUNA','14X7','2020-08-21',null,null,1),</t>
  </si>
  <si>
    <t>(89,1,38,1,1,1,'50000016','NO FISCALIZADO','CONFIANZA','Lunes a Viernes 8am a 6pm','2020-10-12',null,null,1),</t>
  </si>
  <si>
    <t>(93,4,146,2,38,49,'','','','','2020-11-24','2022-05-27',null,0),</t>
  </si>
  <si>
    <t>(94,2,130,2,1,1,'50000058','NO FISCALIZADO','CONFIANZA','Lunes a Viernes 8am a 6pm','2020-12-01',null,'2025-11-30',1),</t>
  </si>
  <si>
    <t>(95,3,164,1,36,21,'50000104','FISCALIZADO','NINGUNA','14x7','2020-12-03',null,'2025-11-30',1),</t>
  </si>
  <si>
    <t>(96,3,164,4,21,11,'50000069','FISCALIZADO','NINGUNA','14X7','2020-12-03',null,'2025-12-31',1),</t>
  </si>
  <si>
    <t>(97,3,164,1,36,21,'50000089','FISCALIZADO','NINGUNA','14x7','2020-12-21',null,'2025-11-30',1),</t>
  </si>
  <si>
    <t>(99,2,144,1,1,1,'50000148','FISCALIZADO','CONFIANZA','Lunes a Viernes 8am a 6pm','2021-01-07',null,'2025-12-31',1),</t>
  </si>
  <si>
    <t>(101,2,136,1,1,1,'50000116','FISCALIZADO','NINGUNA','Lunes a Viernes 8am a 6pm','2021-01-17',null,'2025-12-31',1),</t>
  </si>
  <si>
    <t>(105,2,29,1,1,1,'50000123','FISCALIZADO','NINGUNA','Lunes a Viernes 8am a 6pm','2022-04-15',null,'2026-01-31',1),</t>
  </si>
  <si>
    <t>(107,2,35,1,1,1,'50000012','NO FISCALIZADO','CONFIANZA','Lunes a Viernes 8am a 6pm','2021-03-01',null,'2026-01-31',1),</t>
  </si>
  <si>
    <t>(108,3,164,1,36,21,'50000026','FISCALIZADO','NINGUNA','14x7','2021-03-04',null,'2025-11-30',1),</t>
  </si>
  <si>
    <t>(109,3,157,2,32,34,'50000131','FISCALIZADO','NINGUNA','6x1','2021-03-08',null,'2025-12-31',1),</t>
  </si>
  <si>
    <t>(111,4,65,1,1,1,'60000045','FISCALIZADO','NINGUNA','Lunes a Viernes 8am a 6pm','2021-04-07','2025-03-31',null,0),</t>
  </si>
  <si>
    <t>(112,4,250,1,1,1,'','','','','2021-04-12','2022-05-06',null,0),</t>
  </si>
  <si>
    <t>(115,2,174,1,1,1,'50000106','FISCALIZADO','CONFIANZA','Lunes a Viernes 8am a 6pm','2021-05-03',null,'2026-04-30',1),</t>
  </si>
  <si>
    <t>(116,4,146,1,38,49,'','','','','2021-05-04','2022-04-24',null,0),</t>
  </si>
  <si>
    <t>(117,4,249,1,38,49,'','','','','2021-05-04','2023-02-28',null,0),</t>
  </si>
  <si>
    <t>(118,4,123,1,38,49,'60000026','FISCALIZADO','','Lunes a Viernes 8am a 6pm','2021-05-05','2024-10-31',null,0),</t>
  </si>
  <si>
    <t>(121,4,248,4,38,49,'','','','','2021-05-17','2023-03-15',null,0),</t>
  </si>
  <si>
    <t>(122,4,143,1,38,49,'','','','','2021-06-16','2022-06-30',null,0),</t>
  </si>
  <si>
    <t>(125,3,157,1,10,14,'50000021','FISCALIZADO','NINGUNA','21x9','2021-07-08',null,'2025-11-30',1),</t>
  </si>
  <si>
    <t>(127,4,249,1,38,49,'','','','','2021-07-23','2023-08-31',null,0),</t>
  </si>
  <si>
    <t>(128,3,164,2,34,39,'50000071','FISCALIZADO','NINGUNA','21X9','2021-07-26',null,'2025-11-30',1),</t>
  </si>
  <si>
    <t>(129,4,122,1,38,49,'60000016','FISCALIZADO','NINGUNA','Lunes a Viernes 8am a 6pm','2021-07-30','2025-01-31',null,0),</t>
  </si>
  <si>
    <t>(130,3,164,3,9,13,'50000067','FISCALIZADO','NINGUNA','21X9','2021-08-03',null,'2025-12-31',1),</t>
  </si>
  <si>
    <t>(131,2,53,1,1,1,'50000018','FISCALIZADO','CONFIANZA','Lunes a Viernes 8am a 6pm','2021-08-09',null,'2025-11-30',1),</t>
  </si>
  <si>
    <t>(133,4,146,4,38,49,'','','','','2021-08-09','2023-06-30',null,0),</t>
  </si>
  <si>
    <t>(135,3,164,1,24,25,'50000044','FISCALIZADO','NINGUNA','21x9','2021-08-25',null,'2026-03-31',1),</t>
  </si>
  <si>
    <t>(136,2,125,1,38,49,'50000102','FISCALIZADO','NINGUNA','Lunes a Viernes 8am a 6pm','2021-09-01',null,'2025-12-31',1),</t>
  </si>
  <si>
    <t>(139,1,33,1,1,1,'50000101','NO FISCALIZADO','CONFIANZA','Lunes a Viernes 8am a 6pm','2021-09-08',null,null,1),</t>
  </si>
  <si>
    <t>(140,4,249,4,38,49,'','','','','2021-09-24','2023-09-30',null,0),</t>
  </si>
  <si>
    <t>(142,4,236,2,1,1,'','','','','2021-10-01','2022-06-30',null,0),</t>
  </si>
  <si>
    <t>(124,4,146,4,38,49,'','','','','2021-10-12','2022-09-30',null,0),</t>
  </si>
  <si>
    <t>(146,4,257,1,1,1,'60000137','FISCALIZADO','NINGUNA','Lunes a Viernes 8am a 6pm / Sabados 9am a 12m','2021-10-15',null,null,1),</t>
  </si>
  <si>
    <t>(357,4,249,2,38,49,'','','','','2021-10-25','2022-07-11',null,0),</t>
  </si>
  <si>
    <t>(148,4,148,4,38,49,'','','','','2021-10-28','2023-04-03',null,0),</t>
  </si>
  <si>
    <t>(149,4,249,1,38,49,'','','','','2021-11-02','2023-06-16',null,0),</t>
  </si>
  <si>
    <t>(150,4,249,1,38,49,'','','','','2021-11-02','2023-09-30',null,0),</t>
  </si>
  <si>
    <t>(151,4,249,4,38,49,'','','','','2021-11-15','2022-07-22',null,0),</t>
  </si>
  <si>
    <t>(152,3,156,1,10,14,'50000121','FISCALIZADO','NINGUNA','21x9','2021-11-15',null,'2026-03-31',1),</t>
  </si>
  <si>
    <t>(153,4,249,1,38,49,'','','','','2021-11-18','2023-05-31',null,0),</t>
  </si>
  <si>
    <t>(154,3,157,4,21,11,'50000038','FISCALIZADO','NINGUNA','14X7','2021-11-22',null,'2026-01-31',1),</t>
  </si>
  <si>
    <t>(155,4,249,3,38,49,'','','','','2021-12-01','2023-10-05',null,0),</t>
  </si>
  <si>
    <t>(261,4,176,1,1,1,'','','','','2021-12-01','2022-07-31',null,0),</t>
  </si>
  <si>
    <t>(156,4,249,3,38,49,'','','','','2021-12-01','2022-06-30',null,0),</t>
  </si>
  <si>
    <t>(232,4,193,1,1,1,'','','','','2021-12-06','2022-11-18',null,0),</t>
  </si>
  <si>
    <t>(159,4,246,1,1,1,'','FISCALIZADO','','Lunes a Viernes 8am a 6pm / Sabados 9am a 12m','2021-12-28','2024-05-22',null,0),</t>
  </si>
  <si>
    <t>(160,2,12,1,1,1,'50000017','FISCALIZADO','NINGUNA','Lunes a Viernes 8am a 6pm','2022-01-01',null,'2025-12-31',1),</t>
  </si>
  <si>
    <t>(161,2,190,1,1,1,'50000031','FISCALIZADO','NINGUNA','Lunes a Viernes 8am a 6pm / Sabados 9am a 12m','2022-01-01',null,'2025-12-31',1),</t>
  </si>
  <si>
    <t>(163,4,236,3,1,1,'','FISCALIZADO','','Lunes a Viernes 8am a 6pm / Sabados 9am a 12m','2022-01-03','2024-04-30',null,0),</t>
  </si>
  <si>
    <t>(165,4,249,4,38,49,'','','','','2022-01-10','2022-11-30',null,0),</t>
  </si>
  <si>
    <t>(166,4,249,4,38,49,'','FISCALIZADO','','Lunes a Viernes 8am a 6pm','2022-01-10','2023-11-10',null,0),</t>
  </si>
  <si>
    <t>(171,3,164,3,4,4,'50000065','FISCALIZADO','NINGUNA','14X7','2022-02-10',null,'2025-12-31',1),</t>
  </si>
  <si>
    <t>(173,4,249,2,38,49,'','','','','2022-02-21','2023-08-28',null,0),</t>
  </si>
  <si>
    <t>(174,4,168,1,38,49,'60000027','FISCALIZADO','NINGUNA','Lunes a Viernes 8am a 6pm','2022-02-21','2025-01-31',null,0),</t>
  </si>
  <si>
    <t>(48,4,168,1,38,49,'60000019','FISCALIZADO','NINGUNA','Lunes a Viernes 8am a 6pm','2022-02-23','2025-01-31',null,0),</t>
  </si>
  <si>
    <t>(175,2,46,1,1,1,'50000073','NO FISCALIZADO','CONFIANZA','Lunes a Viernes 8am a 6pm','2022-02-25',null,'2026-02-28',1),</t>
  </si>
  <si>
    <t>(176,4,146,1,38,49,'','','','','2022-02-25','2022-04-24',null,0),</t>
  </si>
  <si>
    <t>(177,4,249,1,38,49,'','','','','2022-03-01','2023-09-30',null,0),</t>
  </si>
  <si>
    <t>(178,4,246,1,1,1,'','','','','2022-03-04','2022-04-17',null,0),</t>
  </si>
  <si>
    <t>(179,4,246,4,1,1,'','','','','2022-03-04','2023-08-31',null,0),</t>
  </si>
  <si>
    <t>(217,4,149,1,38,49,'','','','','2022-03-21','2022-07-31',null,0),</t>
  </si>
  <si>
    <t>(185,4,249,1,38,49,'','','','','2022-04-04','2022-08-12',null,0),</t>
  </si>
  <si>
    <t>(186,4,148,1,38,49,'','','','','2022-04-04','2022-11-30',null,0),</t>
  </si>
  <si>
    <t>(187,3,192,1,36,21,'50000399','FISCALIZADO','NINGUNA','14x7','2024-11-25',null,'2025-11-30',1),</t>
  </si>
  <si>
    <t>(190,4,246,1,1,1,'','','','','2022-04-20','2023-02-23',null,0),</t>
  </si>
  <si>
    <t>(192,3,157,2,34,35,'50000029','FISCALIZADO','NINGUNA','21X9','2022-04-25',null,'2026-01-31',1),</t>
  </si>
  <si>
    <t>(195,3,157,1,36,21,'50000051','FISCALIZADO','NINGUNA','14x7','2022-05-01',null,'2025-12-31',1),</t>
  </si>
  <si>
    <t>(197,3,164,1,36,21,'50000048','FISCALIZADO','NINGUNA','14x7','2022-05-02',null,'2025-11-30',1),</t>
  </si>
  <si>
    <t>(200,7,175,4,1,1,'50000007','NO FISCALIZADO','NINGUNA','Lunes a Viernes 8am a 6pm','2022-05-10',null,'2025-11-30',1),</t>
  </si>
  <si>
    <t>(201,4,246,1,1,1,'','FISCALIZADO','','Lunes a Viernes 8am a 6pm / Sabados 9am a 12m','2022-05-12','2024-02-13',null,0),</t>
  </si>
  <si>
    <t>(202,4,217,1,1,1,'','','','','2022-05-16','2022-10-31',null,0),</t>
  </si>
  <si>
    <t>(203,4,120,1,38,49,'','','','','2022-05-17','2022-07-15',null,0),</t>
  </si>
  <si>
    <t>(207,3,157,2,23,24,'50000040','FISCALIZADO','NINGUNA','6x1','2022-06-01',null,'2025-11-30',1),</t>
  </si>
  <si>
    <t>(208,3,157,2,34,40,'50000074','FISCALIZADO','NINGUNA','6x1','2022-06-01',null,'2025-11-30',1),</t>
  </si>
  <si>
    <t>(212,2,193,1,1,1,'50000547','FISCALIZADO','NINGUNA','Lunes a Viernes 8am a 6pm','2025-10-13',null,'2026-01-31',1),</t>
  </si>
  <si>
    <t>(213,2,2,1,1,1,'50000095','FISCALIZADO','CONFIANZA','Lunes a Viernes 8am a 6pm / Sabados 9am a 12m','2022-06-15',null,'2026-06-30',1),</t>
  </si>
  <si>
    <t>(216,3,156,2,32,34,'50000087','FISCALIZADO','NINGUNA','6x1','2022-07-01',null,'2025-12-31',1),</t>
  </si>
  <si>
    <t>(219,4,249,3,38,49,'','','','','2022-07-07','2023-05-05',null,0),</t>
  </si>
  <si>
    <t>(357,3,157,2,32,35,'50000032','FISCALIZADO','NINGUNA','6x1','2022-07-12',null,'2026-04-30',1),</t>
  </si>
  <si>
    <t>(222,4,168,2,38,49,'60000024','FISCALIZADO','','Lunes a Viernes 8am a 6pm','2022-07-13','2024-07-31',null,0),</t>
  </si>
  <si>
    <t>(227,4,249,4,30,32,'','','','','2022-08-01','2023-10-02',null,0),</t>
  </si>
  <si>
    <t>(230,4,249,1,38,49,'','','','','2022-08-19','2022-10-05',null,0),</t>
  </si>
  <si>
    <t>(231,4,54,1,38,49,'','','','','2022-08-23','2022-09-21',null,0),</t>
  </si>
  <si>
    <t>(224,4,69,1,38,49,'','','','','2022-08-31','2022-08-31',null,0),</t>
  </si>
  <si>
    <t>(59,4,246,1,1,1,'','','','','2022-08-31','2022-08-31',null,0),</t>
  </si>
  <si>
    <t>(542,4,248,1,38,49,'','','','','2022-08-31','2022-08-31',null,0),</t>
  </si>
  <si>
    <t>(225,2,63,1,38,49,'50000056','FISCALIZADO','NINGUNA','Lunes a Viernes 8am a 6pm','2022-09-01',null,'2025-12-31',1),</t>
  </si>
  <si>
    <t>(236,4,149,1,38,49,'','','','','2022-09-01','2022-10-28',null,0),</t>
  </si>
  <si>
    <t>(241,4,160,1,38,49,'60000015','FISCALIZADO','NINGUNA','Lunes a Viernes 8am a 6pm','2022-09-05','2025-01-31',null,0),</t>
  </si>
  <si>
    <t>(242,4,125,1,38,49,'60000017','FISCALIZADO','','Lunes a Viernes 8am a 6pm','2022-09-05','2024-08-31',null,0),</t>
  </si>
  <si>
    <t>(243,4,176,1,1,1,'','','','','2022-09-07','2022-12-31',null,0),</t>
  </si>
  <si>
    <t>(244,2,142,1,1,1,'50000013','NO FISCALIZADO','CONFIANZA','Lunes a Viernes 8am a 6pm','2022-09-08',null,'2026-03-31',1),</t>
  </si>
  <si>
    <t>(245,4,249,3,38,49,'','FISCALIZADO','','Lunes a Viernes 8am a 6pm','2022-09-14','2024-02-11',null,0),</t>
  </si>
  <si>
    <t>(250,4,127,4,38,49,'60000025','FISCALIZADO','NINGUNA','Lunes a Viernes 8am a 6pm','2022-09-22','2025-05-31',null,0),</t>
  </si>
  <si>
    <t>(255,4,146,3,38,49,'','','','','2022-10-03','2022-12-28',null,0),</t>
  </si>
  <si>
    <t>(256,4,54,1,38,49,'','','','','2022-10-03','2023-01-06',null,0),</t>
  </si>
  <si>
    <t>(258,3,157,2,23,24,'50000109','FISCALIZADO','NINGUNA','6x1','2022-10-05',null,'2025-12-31',1),</t>
  </si>
  <si>
    <t>(234,4,161,1,38,49,'60000020','FISCALIZADO','NINGUNA','Lunes a Viernes 8am a 6pm','2022-10-25','2025-05-31',null,0),</t>
  </si>
  <si>
    <t>(262,4,217,1,30,32,'','','','','2022-11-02','2023-01-19',null,0),</t>
  </si>
  <si>
    <t>(264,2,9,1,1,1,'50000052','NO FISCALIZADO','NINGUNA','Lunes a Viernes 8am a 6pm','2022-11-14',null,'2025-12-31',1),</t>
  </si>
  <si>
    <t>(265,4,120,1,38,49,'','','','','2022-11-23','2022-11-25',null,0),</t>
  </si>
  <si>
    <t>(268,4,149,1,38,49,'','','','','2022-12-06','2023-08-31',null,0),</t>
  </si>
  <si>
    <t>(271,8,246,1,30,32,'','','','','2022-12-21','2023-10-01',null,0),</t>
  </si>
  <si>
    <t>(140,2,203,4,1,1,'50000218','FISCALIZADO','NINGUNA','Lunes a Viernes 8am a 6pm','2023-10-01',null,'2026-01-31',1),</t>
  </si>
  <si>
    <t>(273,4,217,1,1,1,'','','','','2023-01-02','2023-03-13',null,0),</t>
  </si>
  <si>
    <t>(277,3,203,2,23,24,'50000319','FISCALIZADO','NINGUNA','6x1','2024-06-03',null,'2025-12-31',1),</t>
  </si>
  <si>
    <t>(278,4,249,3,38,49,'','','','','2023-01-09','2023-01-20',null,0),</t>
  </si>
  <si>
    <t>(279,4,125,2,38,49,'60000021','FISCALIZADO','','Lunes a Viernes 8am a 6pm','2023-01-09','2024-07-31',null,0),</t>
  </si>
  <si>
    <t>(280,2,177,1,1,1,'50000050','FISCALIZADO','NINGUNA','Lunes a Viernes 8am a 6pm','2023-01-16',null,'2026-04-30',1),</t>
  </si>
  <si>
    <t>(281,4,54,1,30,32,'','','','','2023-01-16','2023-02-10',null,0),</t>
  </si>
  <si>
    <t>(282,4,208,1,38,49,'60000029','FISCALIZADO','NINGUNA','Lunes a Viernes 8am a 6pm','2023-01-16','2025-01-31',null,0),</t>
  </si>
  <si>
    <t>(287,4,246,1,1,1,'','FISCALIZADO','NINGUNA','Lunes a Viernes 8am a 6pm / Sabados 9am a 12m','2023-01-27','2025-05-31',null,0),</t>
  </si>
  <si>
    <t>(288,2,203,1,1,1,'50000470','FISCALIZADO','NINGUNA','Lunes a Viernes 8am a 6pm','2025-04-23',null,'2026-04-30',1),</t>
  </si>
  <si>
    <t>(291,4,148,1,38,49,'','','','','2023-02-03','2023-09-30',null,0),</t>
  </si>
  <si>
    <t>(295,4,166,1,38,49,'60000013','FISCALIZADO','NINGUNA','Lunes a Viernes 8am a 6pm','2023-02-20','2025-01-31',null,0),</t>
  </si>
  <si>
    <t>(296,4,168,2,38,49,'60000006','FISCALIZADO','','Lunes a Viernes 8am a 6pm','2023-03-01','2024-07-15',null,0),</t>
  </si>
  <si>
    <t>(298,4,249,1,38,49,'60000033','FISCALIZADO','','Lunes a Viernes 8am a 6pm','2023-03-02','2024-05-31',null,0),</t>
  </si>
  <si>
    <t>(300,2,203,2,1,1,'50000436','FISCALIZADO','NINGUNA','Lunes a Viernes 8am a 6pm','2025-09-01',null,'2025-11-30',1),</t>
  </si>
  <si>
    <t>(301,4,249,2,38,49,'','','','','2023-03-13','2023-09-04',null,0),</t>
  </si>
  <si>
    <t>(305,3,157,1,37,46,'50000155','FISCALIZADO','NINGUNA','21X9','2023-03-20',null,'2026-03-31',1),</t>
  </si>
  <si>
    <t>(306,4,54,1,38,49,'','','','','2023-03-21','2023-03-31',null,0),</t>
  </si>
  <si>
    <t>(307,4,249,1,38,49,'','','','','2023-03-27','2023-03-28',null,0),</t>
  </si>
  <si>
    <t>(308,4,248,4,38,49,'','','','','2023-03-27','2023-05-19',null,0),</t>
  </si>
  <si>
    <t>(309,2,26,1,1,1,'50000157','NO FISCALIZADO','NINGUNA','Lunes a Viernes 8am a 6pm','2023-04-03',null,'2026-03-31',1),</t>
  </si>
  <si>
    <t>(311,4,246,5,1,1,'','FISCALIZADO','','Lunes a Viernes 8am a 6pm / Sabados 9am a 12m','2023-04-03','2024-11-09',null,0),</t>
  </si>
  <si>
    <t>(262,4,217,1,30,32,'','','','','2023-04-11','2023-04-17',null,0),</t>
  </si>
  <si>
    <t>(314,2,240,1,1,1,'50000158','FISCALIZADO','NINGUNA','Lunes a Viernes 8am a 6pm','2023-04-14',null,'2026-04-30',1),</t>
  </si>
  <si>
    <t>(315,4,246,2,1,1,'60000138','FISCALIZADO','NINGUNA','Lunes a Viernes 8am a 6pm / Sabados 9am a 12m','2023-04-17',null,null,1),</t>
  </si>
  <si>
    <t>(316,4,249,1,38,49,'','','','','2023-04-17','2023-05-31',null,0),</t>
  </si>
  <si>
    <t>(320,4,146,4,38,49,'','','','','2023-04-24','2023-04-28',null,0),</t>
  </si>
  <si>
    <t>(122,4,58,1,38,49,'60000003','FISCALIZADO','NINGUNA','Lunes a Viernes 8am a 6pm','2023-04-29','2025-04-29',null,0),</t>
  </si>
  <si>
    <t>(273,4,217,1,1,1,'','','','','2023-05-01','2023-05-25',null,0),</t>
  </si>
  <si>
    <t>(321,3,164,1,24,25,'50000160','FISCALIZADO','NINGUNA','21x9','2023-05-02',null,'2025-12-31',1),</t>
  </si>
  <si>
    <t>(322,3,164,1,36,21,'50000161','FISCALIZADO','NINGUNA','14x7','2023-05-02',null,'2025-11-30',1),</t>
  </si>
  <si>
    <t>(323,4,166,4,38,49,'60000011','FISCALIZADO','','Lunes a Viernes 8am a 6pm','2023-05-02','2024-07-14',null,0),</t>
  </si>
  <si>
    <t>(325,2,5,3,1,1,'50000162','NO FISCALIZADO','NINGUNA','Lunes a Viernes 8am a 6pm','2023-05-08',null,'2026-04-30',1),</t>
  </si>
  <si>
    <t>(327,4,246,1,1,1,'','FISCALIZADO','NINGUNA','Lunes a Viernes 8am a 6pm / Sabados 9am a 12m','2023-05-15','2025-05-31',null,0),</t>
  </si>
  <si>
    <t>(330,2,102,1,1,1,'50000168','FISCALIZADO','CONFIANZA','Lunes a Viernes 8am a 6pm','2023-05-22',null,'2026-02-28',1),</t>
  </si>
  <si>
    <t>(331,4,217,1,1,1,'','','','','2023-05-24','2023-10-06',null,0),</t>
  </si>
  <si>
    <t>(333,4,247,4,38,49,'','','','','2023-06-01','2023-06-30',null,0),</t>
  </si>
  <si>
    <t>(335,4,217,1,1,1,'','','','','2023-06-01','2023-06-30',null,0),</t>
  </si>
  <si>
    <t>(121,4,122,4,38,49,'60000007','FISCALIZADO','','Lunes a Viernes 8am a 6pm','2023-06-05','2024-10-27',null,0),</t>
  </si>
  <si>
    <t>(338,2,203,3,1,1,'50000533','FISCALIZADO','NINGUNA','Lunes a Viernes 8am a 6pm','2025-09-10',null,'2025-12-31',1),</t>
  </si>
  <si>
    <t>(340,3,164,2,23,24,'50000176','FISCALIZADO','NINGUNA','6x1','2023-06-13',null,'2025-12-31',1),</t>
  </si>
  <si>
    <t>(342,4,161,1,38,49,'60000012','FISCALIZADO','','Lunes a Viernes 8am a 6pm','2023-06-19','2024-07-04',null,0),</t>
  </si>
  <si>
    <t>(344,4,146,4,38,49,'','','','','2023-06-21','2023-08-01',null,0),</t>
  </si>
  <si>
    <t>(346,2,5,2,1,1,'50000179','NO FISCALIZADO','NINGUNA','Lunes a Viernes 8am a 6pm','2023-06-26',null,'2025-12-31',1),</t>
  </si>
  <si>
    <t>(348,4,249,1,38,49,'60000030','FISCALIZADO','','Lunes a Viernes 8am a 6pm','2023-06-26','2024-05-28',null,0),</t>
  </si>
  <si>
    <t>(349,4,249,1,38,49,'','FISCALIZADO','','Lunes a Viernes 8am a 6pm','2023-06-26','2023-12-12',null,0),</t>
  </si>
  <si>
    <t>(353,3,157,4,34,35,'50000183','FISCALIZADO','NINGUNA','14X7','2023-07-01',null,'2026-03-31',1),</t>
  </si>
  <si>
    <t>(365,4,146,2,38,49,'60000034','FISCALIZADO','NINGUNA','Lunes a Viernes 8am a 6pm','2023-08-01','2024-05-10',null,0),</t>
  </si>
  <si>
    <t>(366,9,150,3,37,48,'','FISCALIZADO','','Jornada Atípica','2023-08-02','2023-11-30',null,0),</t>
  </si>
  <si>
    <t>(369,3,157,1,24,25,'50000195','FISCALIZADO','NINGUNA','21x9','2023-08-09',null,'2026-01-31',1),</t>
  </si>
  <si>
    <t>(199,9,150,3,37,48,'','FISCALIZADO','','Jornada Atípica','2023-08-18','2023-11-30',null,0),</t>
  </si>
  <si>
    <t>(375,2,31,1,1,1,'50000199','NO FISCALIZADO','CONFIANZA','Lunes a Viernes 8am a 6pm','2023-08-28',null,'2026-02-28',1),</t>
  </si>
  <si>
    <t>(138,2,62,1,38,49,'50000202','FISCALIZADO','NINGUNA','Lunes a Viernes 8am a 6pm','2023-09-01',null,'2026-02-28',1),</t>
  </si>
  <si>
    <t>(83,2,127,1,38,49,'50000205','FISCALIZADO','NINGUNA','Lunes a Viernes 8am a 6pm','2023-09-01',null,'2026-02-28',1),</t>
  </si>
  <si>
    <t>(378,3,157,2,23,24,'50000206','FISCALIZADO','NINGUNA','6x1','2023-09-01',null,'2025-11-30',1),</t>
  </si>
  <si>
    <t>(157,2,163,3,4,4,'50000209','FISCALIZADO','NINGUNA','14X7','2023-09-11',null,'2025-12-31',1),</t>
  </si>
  <si>
    <t>(382,3,157,1,34,42,'50000208','FISCALIZADO','NINGUNA','6X1','2023-09-11',null,'2025-12-31',1),</t>
  </si>
  <si>
    <t>(383,4,161,4,38,49,'60000005','FISCALIZADO','NINGUNA','Lunes a Viernes 8am a 6pm','2023-09-13','2025-06-30',null,0),</t>
  </si>
  <si>
    <t>(385,3,157,2,34,39,'50000211','FISCALIZADO','NINGUNA','21X9','2023-09-21',null,'2025-11-30',1),</t>
  </si>
  <si>
    <t>(386,4,65,4,1,1,'','FISCALIZADO','','Lunes a Viernes 8am a 6pm','2023-09-25','2024-05-26',null,0),</t>
  </si>
  <si>
    <t>(177,2,204,1,1,1,'50000220','FISCALIZADO','NINGUNA','Lunes a Viernes 8am a 6pm','2023-10-01',null,'2026-03-31',1),</t>
  </si>
  <si>
    <t>(254,2,68,1,1,1,'50000223','FISCALIZADO','NINGUNA','Lunes a Viernes 8am a 6pm','2023-10-01',null,'2025-12-31',1),</t>
  </si>
  <si>
    <t>(150,2,168,1,38,49,'50000219','FISCALIZADO','NINGUNA','Lunes a Viernes 8am a 6pm','2023-10-01',null,'2025-12-31',1),</t>
  </si>
  <si>
    <t>(387,2,204,4,1,1,'50000495','FISCALIZADO','NINGUNA','Lunes a Viernes 8am a 6pm','2025-06-09',null,'2026-03-31',1),</t>
  </si>
  <si>
    <t>(388,4,246,4,1,1,'60000139','FISCALIZADO','NINGUNA','Lunes a Viernes 8am a 6pm','2023-12-01',null,null,1),</t>
  </si>
  <si>
    <t>(389,3,157,1,36,21,'50000215','FISCALIZADO','NINGUNA','14x7','2023-10-02',null,'2025-12-31',1),</t>
  </si>
  <si>
    <t>(395,4,64,1,1,1,'','','','','2023-10-12','2023-10-12',null,0),</t>
  </si>
  <si>
    <t>(397,3,157,3,5,8,'50000229','FISCALIZADO','NINGUNA','14X7','2023-10-16',null,'2026-01-31',1),</t>
  </si>
  <si>
    <t>(398,4,161,1,38,49,'60000001','FISCALIZADO','NINGUNA','Lunes a Viernes 8am a 6pm','2023-10-16','2025-05-31',null,0),</t>
  </si>
  <si>
    <t>(400,4,66,1,1,1,'','FISCALIZADO','','Lunes a Viernes 8am a 6pm','2023-10-16','2024-01-10',null,0),</t>
  </si>
  <si>
    <t>(402,4,146,2,38,49,'','FISCALIZADO','','Lunes a Viernes 8am a 6pm','2023-10-17','2023-11-30',null,0),</t>
  </si>
  <si>
    <t>(404,4,246,4,1,1,'','FISCALIZADO','','Lunes a Viernes 8am a 6pm / Sabados 9am a 12m','2023-10-19','2023-11-14',null,0),</t>
  </si>
  <si>
    <t>(407,2,254,1,1,1,'50000232','FISCALIZADO','NINGUNA','Lunes a Viernes 8am a 6pm / Sabados 9am a 12m','2023-11-01',null,'2026-02-28',1),</t>
  </si>
  <si>
    <t>(410,2,175,1,1,1,'50000241','NO FISCALIZADO','NINGUNA','Lunes a Viernes 8am a 6pm','2023-11-02',null,'2026-02-28',1),</t>
  </si>
  <si>
    <t>(411,4,161,1,38,49,'60000014','FISCALIZADO','NINGUNA','','2023-11-06','2025-07-04',null,0),</t>
  </si>
  <si>
    <t>(412,2,113,1,1,1,'50000242','FISCALIZADO','NINGUNA','Lunes a Viernes 8am a 6pm','2023-11-09',null,'2026-08-31',1),</t>
  </si>
  <si>
    <t>(417,4,246,4,1,1,'','FISCALIZADO','','','2023-11-21','2024-10-31',null,0),</t>
  </si>
  <si>
    <t>(420,2,211,1,1,1,'50000416','FISCALIZADO','NINGUNA','Lunes a Viernes 8am a 6pm','2025-09-01',null,'2025-11-30',1),</t>
  </si>
  <si>
    <t>(421,4,246,1,1,1,'60000140','FISCALIZADO','NINGUNA','Lunes a Viernes 8am a 6pm','2024-05-22',null,null,1),</t>
  </si>
  <si>
    <t>(366,3,164,3,4,4,'50000250','FISCALIZADO','NINGUNA','14X7','2023-12-01',null,'2025-12-31',1),</t>
  </si>
  <si>
    <t>(422,4,249,1,38,49,'60000031','FISCALIZADO','','','2023-12-01','2024-05-31',null,0),</t>
  </si>
  <si>
    <t>(424,2,212,1,1,1,'50000249','FISCALIZADO','NINGUNA','Lunes a Viernes 8am a 6pm','2023-11-27',null,'2025-11-30',1),</t>
  </si>
  <si>
    <t>(82,4,64,1,1,1,'','FISCALIZADO','','','2023-12-11','2024-06-30',null,0),</t>
  </si>
  <si>
    <t>(426,2,239,1,1,1,'50000254','FISCALIZADO','NINGUNA','Lunes a Viernes 8am a 6pm','2023-12-12',null,'2026-03-31',1),</t>
  </si>
  <si>
    <t>(223,2,240,1,1,1,'50000082','FISCALIZADO','NINGUNA','Lunes a Viernes 8am a 6pm','2024-01-01',null,'2025-12-31',1),</t>
  </si>
  <si>
    <t>(431,4,64,1,1,1,'','FISCALIZADO','','','2024-01-03','2024-08-05',null,0),</t>
  </si>
  <si>
    <t>(432,2,107,1,1,1,'50000256','FISCALIZADO','CONFIANZA','Lunes a Viernes 8am a 6pm','2024-01-04',null,'2026-04-30',1),</t>
  </si>
  <si>
    <t>(433,4,160,2,38,49,'60000002','FISCALIZADO','NINGUNA','','2024-01-08','2024-08-31',null,0),</t>
  </si>
  <si>
    <t>(434,4,161,1,38,49,'60000004','FISCALIZADO','NINGUNA','','2024-01-08','2025-05-31',null,0),</t>
  </si>
  <si>
    <t>(435,4,161,2,38,49,'60000023','FISCALIZADO','NINGUNA','','2024-01-08','2024-08-31',null,0),</t>
  </si>
  <si>
    <t>(368,3,212,1,36,21,'50000194','FISCALIZADO','NINGUNA','14x7','2024-02-01',null,'2026-02-28',1),</t>
  </si>
  <si>
    <t>(440,4,161,1,38,49,'60000018','FISCALIZADO','','','2024-02-01','2024-08-21',null,0),</t>
  </si>
  <si>
    <t>(443,2,237,1,1,1,'50000260','FISCALIZADO','NINGUNA','Lunes a Viernes 8am a 6pm','2024-02-05',null,'2025-12-31',1),</t>
  </si>
  <si>
    <t>(444,4,161,1,38,49,'60000008','FISCALIZADO','','','2024-02-05','2024-09-27',null,0),</t>
  </si>
  <si>
    <t>(445,4,161,1,38,49,'60000028','FISCALIZADO','NINGUNA','','2024-02-05','2025-05-31',null,0),</t>
  </si>
  <si>
    <t>(447,4,249,3,38,49,'','FISCALIZADO','','','2024-02-12','2024-04-22',null,0),</t>
  </si>
  <si>
    <t>(449,3,157,2,23,24,'50000265','FISCALIZADO','NINGUNA','6x1','2024-02-15',null,'2025-11-30',1),</t>
  </si>
  <si>
    <t>(450,2,197,1,1,1,'50000266','FISCALIZADO','NINGUNA','Lunes a Viernes 8am a 6pm','2024-02-15',null,'2025-11-30',1),</t>
  </si>
  <si>
    <t>(452,4,161,2,38,49,'60000022','FISCALIZADO','NINGUNA','','2024-02-15','2024-08-31',null,0),</t>
  </si>
  <si>
    <t>(299,2,206,1,1,1,'50000151','FISCALIZADO','NINGUNA','Lunes a Viernes 8am a 6pm','2024-03-06',null,'2026-02-28',1),</t>
  </si>
  <si>
    <t>(453,3,164,1,36,21,'50000285','FISCALIZADO','NINGUNA','14x7','2024-03-11',null,'2025-12-31',1),</t>
  </si>
  <si>
    <t>(457,2,175,3,1,1,'50000286','NO FISCALIZADO','NINGUNA','Lunes a Viernes 8am a 6pm','2024-03-25',null,'2026-01-31',1),</t>
  </si>
  <si>
    <t>(459,4,161,4,38,49,'60000010','FISCALIZADO','NINGUNA','','2024-04-01','2025-02-21',null,0),</t>
  </si>
  <si>
    <t>(465,3,164,1,36,21,'50000295','FISCALIZADO','NINGUNA','14x7','2024-04-16',null,'2025-12-31',1),</t>
  </si>
  <si>
    <t>(466,3,212,1,36,21,'50000456','FISCALIZADO','NINGUNA','14x7','2025-03-19',null,'2026-01-31',1),</t>
  </si>
  <si>
    <t>(163,2,107,4,1,1,'50000305','FISCALIZADO','CONFIANZA','Lunes a Viernes 8am a 6pm','2024-05-01',null,'2026-01-31',1),</t>
  </si>
  <si>
    <t>(226,3,157,1,24,25,'50000306','FISCALIZADO','NINGUNA','21X9','2024-05-02',null,'2025-12-31',1),</t>
  </si>
  <si>
    <t>(468,2,219,1,1,1,'50000298','FISCALIZADO','NINGUNA','Lunes a Viernes 8am a 6pm','2024-05-02',null,'2026-01-31',1),</t>
  </si>
  <si>
    <t>(469,3,164,2,34,35,'50000300','FISCALIZADO','NINGUNA','21X9','2024-05-06',null,'2025-11-30',1),</t>
  </si>
  <si>
    <t>(441,2,212,1,1,1,'50000273','FISCALIZADO','NINGUNA','Lunes a Viernes 8am a 6pm','2025-10-24',null,'2026-04-30',1),</t>
  </si>
  <si>
    <t>(470,3,157,1,36,21,'50000301','FISCALIZADO','NINGUNA','14x7','2024-05-06',null,'2025-12-31',1),</t>
  </si>
  <si>
    <t>(473,3,156,1,10,14,'50000302','FISCALIZADO','NINGUNA','21X9','2024-05-06',null,'2025-11-30',1),</t>
  </si>
  <si>
    <t>(474,3,157,1,36,21,'50000308','FISCALIZADO','NINGUNA','14x7','2024-05-13',null,'2025-12-31',1),</t>
  </si>
  <si>
    <t>(480,4,246,4,1,1,'60000141','FISCALIZADO','NINGUNA','Lunes a Viernes 8am a 6pm','2024-06-24',null,null,1),</t>
  </si>
  <si>
    <t>(481,4,246,1,1,1,'','FISCALIZADO','','','2024-05-22','2024-09-05',null,0),</t>
  </si>
  <si>
    <t>(238,4,246,1,1,1,'','FISCALIZADO','NINGUNA','','2024-05-22','2025-05-31',null,0),</t>
  </si>
  <si>
    <t>(484,4,246,1,1,1,'','FISCALIZADO','','','2024-05-22','2024-10-31',null,0),</t>
  </si>
  <si>
    <t>(159,2,107,1,1,1,'50000316','FISCALIZADO','CONFIANZA','Lunes a Viernes 8am a 6pm','2024-05-23',null,'2026-02-28',1),</t>
  </si>
  <si>
    <t>(680,2,213,2,1,1,'50000083','FISCALIZADO','NINGUNA','Lunes a Viernes 8am a 6pm','2023-01-02',null,'2025-12-31',1),</t>
  </si>
  <si>
    <t>(492,4,161,3,38,49,'60000039','FISCALIZADO','NINGUNA','','2024-06-11','2025-05-31',null,0),</t>
  </si>
  <si>
    <t>(493,4,160,2,38,49,'60000040','FISCALIZADO','NINGUNA','','2024-06-11','2025-03-31',null,0),</t>
  </si>
  <si>
    <t>(494,4,161,2,38,49,'60000036','FISCALIZADO','NINGUNA','','2024-06-11','2025-01-31',null,0),</t>
  </si>
  <si>
    <t>(495,4,161,3,38,49,'60000037','FISCALIZADO','NINGUNA','','2024-06-11','2025-05-31',null,0),</t>
  </si>
  <si>
    <t>(496,4,161,1,38,49,'60000038','FISCALIZADO','NINGUNA','','2024-06-11','2025-05-14',null,0),</t>
  </si>
  <si>
    <t>(497,4,161,1,38,49,'60000041','FISCALIZADO','NINGUNA','','2024-06-13','2025-05-26',null,0),</t>
  </si>
  <si>
    <t>(498,4,190,3,1,1,'','FISCALIZADO','NINGUNA','','2024-06-13','2025-05-31',null,0),</t>
  </si>
  <si>
    <t>(499,2,16,1,1,1,'50000324','FISCALIZADO','NINGUNA','Lunes a Viernes 8am a 6pm','2024-06-18',null,'2025-12-31',1),</t>
  </si>
  <si>
    <t>(501,2,179,1,1,1,'50000326','FISCALIZADO','NINGUNA','Lunes a Viernes 8am a 6pm','2024-06-21',null,'2026-03-31',1),</t>
  </si>
  <si>
    <t>(386,4,66,4,1,1,'60000142','FISCALIZADO','NINGUNA','Lunes a Viernes 8am a 6pm','2024-07-03',null,null,1),</t>
  </si>
  <si>
    <t>(503,2,213,1,1,1,'50000351','FISCALIZADO','NINGUNA','Lunes a Viernes 8am a 6pm','2024-08-05',null,'2025-11-30',1),</t>
  </si>
  <si>
    <t>(504,4,121,1,38,49,'60000042','FISCALIZADO','NINGUNA','','2024-06-25','2025-05-31',null,0),</t>
  </si>
  <si>
    <t>(505,4,246,1,1,1,'','FISCALIZADO','NINGUNA','','2024-07-01','2025-08-31',null,0),</t>
  </si>
  <si>
    <t>(506,2,254,2,1,1,'50000331','FISCALIZADO','NINGUNA','Lunes a Viernes 8am a 6pm','2024-07-01',null,'2026-02-28',1),</t>
  </si>
  <si>
    <t>(508,4,161,1,38,49,'60000044','FISCALIZADO','NINGUNA','Lunes a Viernes 8am a 6pm','2024-08-22','2025-11-13',null,0),</t>
  </si>
  <si>
    <t>(510,2,253,1,1,1,'50000334','FISCALIZADO','NINGUNA','Lunes a Viernes 8am a 6pm','2024-07-10',null,'2026-04-30',1),</t>
  </si>
  <si>
    <t>(511,2,207,1,1,1,'50000332','FISCALIZADO','NINGUNA','Lunes a Viernes 8am a 6pm','2024-07-11',null,'2026-04-30',1),</t>
  </si>
  <si>
    <t>(512,4,121,1,38,49,'60000043','FISCALIZADO','NINGUNA','','2024-07-11','2025-08-07',null,0),</t>
  </si>
  <si>
    <t>(199,9,150,3,37,48,'','FISCALIZADO','','','2024-07-12','2024-10-31',null,0),</t>
  </si>
  <si>
    <t>(514,4,187,1,1,1,'','FISCALIZADO','','','2024-07-22','2024-12-31',null,0),</t>
  </si>
  <si>
    <t>(516,4,65,1,1,1,'60000046','FISCALIZADO','NINGUNA','','2024-07-26','2025-08-31',null,0),</t>
  </si>
  <si>
    <t>(363,2,235,1,1,1,'50000191','FISCALIZADO','NINGUNA','Lunes a Viernes 8am a 6pm','2024-08-01',null,'2025-12-31',1),</t>
  </si>
  <si>
    <t>(279,2,125,2,38,49,'50000350','FISCALIZADO','NINGUNA','Lunes a Viernes 8am a 6pm','2024-08-01',null,'2026-01-31',1),</t>
  </si>
  <si>
    <t>(222,2,168,2,38,49,'50000349','FISCALIZADO','NINGUNA','Lunes a Viernes 8am a 6pm','2024-08-01',null,'2026-01-31',1),</t>
  </si>
  <si>
    <t>(518,2,112,1,1,1,'50000347','FISCALIZADO','CONFIANZA','Lunes a Viernes 8am a 6pm','2024-08-01',null,'2026-04-30',1),</t>
  </si>
  <si>
    <t>(282,2,214,1,1,1,'50000427','FISCALIZADO','NINGUNA','Lunes a Viernes 8am a 6pm','2025-02-01',null,'2026-04-30',1),</t>
  </si>
  <si>
    <t>(193,3,157,1,2,2,'50000339','FISCALIZADO','NINGUNA','21X9','2024-08-07',null,'2026-01-31',1),</t>
  </si>
  <si>
    <t>(523,9,154,3,37,48,'','FISCALIZADO','','','2024-08-09','2024-10-31',null,0),</t>
  </si>
  <si>
    <t>(380,4,246,1,1,1,'','FISCALIZADO','NINGUNA','','2024-08-15','2025-05-31',null,0),</t>
  </si>
  <si>
    <t>(525,2,260,1,1,1,'50000342','NO FISCALIZADO','NINGUNA','Lunes a Viernes 8am a 6pm','2024-08-16',null,'2026-08-31',1),</t>
  </si>
  <si>
    <t>(82,4,64,1,1,1,'60000047','FISCALIZADO','NINGUNA','','2024-08-19','2025-05-31',null,0),</t>
  </si>
  <si>
    <t>(526,2,39,1,1,1,'50000344','FISCALIZADO','NINGUNA','Lunes a Viernes 8am a 6pm','2024-08-21',null,'2026-02-28',1),</t>
  </si>
  <si>
    <t>(528,4,122,4,38,49,'60000055','FISCALIZADO','NINGUNA','Lunes a Viernes 8am a 6pm','2024-11-04',null,null,1),</t>
  </si>
  <si>
    <t>(433,2,160,2,38,49,'50000363','FISCALIZADO','NINGUNA','Lunes a Viernes 8am a 6pm','2024-09-01',null,'2025-12-31',1),</t>
  </si>
  <si>
    <t>(74,2,23,1,1,1,'50000367','FISCALIZADO','NINGUNA','Lunes a Viernes 8am a 6pm','2024-09-01',null,'2025-11-30',1),</t>
  </si>
  <si>
    <t>(435,2,161,2,38,49,'50000368','FISCALIZADO','NINGUNA','Lunes a Viernes 8am a 6pm','2024-09-01',null,'2025-12-31',1),</t>
  </si>
  <si>
    <t>(371,2,254,4,1,1,'50000197','FISCALIZADO','NINGUNA','Lunes a Viernes 8am a 6pm / Sabados 9am a 12m','2024-09-01',null,'2026-02-28',1),</t>
  </si>
  <si>
    <t>(533,4,65,2,1,1,'','FISCALIZADO','NINGUNA','','2024-09-02','2025-05-31',null,0),</t>
  </si>
  <si>
    <t>(535,3,161,4,38,49,'50000357','FISCALIZADO','NINGUNA','Lunes a Viernes 8am a 6pm','2024-09-05',null,'2026-03-31',1),</t>
  </si>
  <si>
    <t>(539,4,122,1,38,49,'60000048','FISCALIZADO','NINGUNA','','2024-09-11','2025-02-28',null,0),</t>
  </si>
  <si>
    <t>(541,1,116,1,1,1,'50000366','FISCALIZADO','CONFIANZA','Lunes a Viernes 8am a 6pm','2024-09-16','2025-06-04',null,0),</t>
  </si>
  <si>
    <t>(543,4,60,1,38,49,'60000049','FISCALIZADO','NINGUNA','','2024-09-20','2024-11-30',null,0),</t>
  </si>
  <si>
    <t>(545,4,168,1,38,49,'60000050','FISCALIZADO','NINGUNA','','2024-09-23','2025-05-30',null,0),</t>
  </si>
  <si>
    <t>(548,4,161,2,38,49,'60000051','FISCALIZADO','NINGUNA','','2024-09-25','2024-11-30',null,0),</t>
  </si>
  <si>
    <t>(550,2,178,4,1,1,'50000373','FISCALIZADO','NINGUNA','Lunes a Viernes 8am a 6pm','2024-10-01',null,'2025-11-30',1),</t>
  </si>
  <si>
    <t>(551,4,161,1,38,49,'60000053','FISCALIZADO','NINGUNA','Lunes a Viernes 8am a 6pm','2024-10-01','2025-10-15',null,0),</t>
  </si>
  <si>
    <t>(553,4,161,1,38,49,'60000052','FISCALIZADO','NINGUNA','Lunes a Viernes 8am a 6pm','2024-10-01','2025-09-30',null,0),</t>
  </si>
  <si>
    <t>(557,2,187,1,1,1,'50000376','FISCALIZADO','NINGUNA','Lunes a Viernes 8am a 6pm','2024-10-16',null,'2026-01-31',1),</t>
  </si>
  <si>
    <t>(558,2,5,1,1,1,'50000377','NO FISCALIZADO','NINGUNA','Lunes a Viernes 8am a 6pm','2024-10-16',null,'2026-07-31',1),</t>
  </si>
  <si>
    <t>(559,2,107,2,1,1,'50000380','FISCALIZADO','CONFIANZA','Lunes a Viernes 8am a 6pm','2024-10-17',null,'2026-01-31',1),</t>
  </si>
  <si>
    <t>(560,2,41,1,1,1,'50000379','FISCALIZADO','NINGUNA','Lunes a Viernes 8am a 6pm','2024-10-21',null,'2026-02-28',1),</t>
  </si>
  <si>
    <t>(481,4,189,1,1,1,'','FISCALIZADO','NINGUNA','','2024-10-21','2025-01-16',null,0),</t>
  </si>
  <si>
    <t>(562,3,157,2,32,34,'50000378','FISCALIZADO','NINGUNA','6x1','2024-10-21',null,'2026-02-28',1),</t>
  </si>
  <si>
    <t>(563,4,161,2,38,49,'60000054','FISCALIZADO','NINGUNA','','2024-10-24','2025-01-31',null,0),</t>
  </si>
  <si>
    <t>(564,1,261,1,1,1,'50000128','FISCALIZADO','CONFIANZA','Lunes a Viernes 8am a 6pm','2015-06-15',null,null,1),</t>
  </si>
  <si>
    <t>(484,2,255,1,1,1,'50000385','FISCALIZADO','NINGUNA','Lunes a Viernes 8am a 6pm','2024-11-01',null,'2026-02-28',1),</t>
  </si>
  <si>
    <t>(118,2,123,1,38,49,'50000393','FISCALIZADO','NINGUNA','Lunes a Viernes 8am a 6pm','2024-11-01',null,'2026-04-30',1),</t>
  </si>
  <si>
    <t>(534,4,191,2,1,1,'','FISCALIZADO','NINGUNA','','2024-11-01','2025-08-31',null,0),</t>
  </si>
  <si>
    <t>(98,3,164,1,34,37,'50000078','FISCALIZADO','NINGUNA','21X9','2024-11-04',null,'2025-11-30',1),</t>
  </si>
  <si>
    <t>(566,3,157,1,36,21,'50000386','FISCALIZADO','NINGUNA','14x7','2024-11-04',null,'2025-11-30',1),</t>
  </si>
  <si>
    <t>(567,4,246,1,1,1,'60000143','FISCALIZADO','NINGUNA','Lunes a Viernes 8am a 6pm','2024-11-11',null,null,1),</t>
  </si>
  <si>
    <t>(568,2,11,1,1,1,'50000329','FISCALIZADO','NINGUNA','Lunes a Viernes 8am a 6pm','2024-06-24',null,'2026-04-30',1),</t>
  </si>
  <si>
    <t>(572,3,157,1,24,25,'50000396','FISCALIZADO','NINGUNA','21x9','2024-11-11',null,'2026-01-31',1),</t>
  </si>
  <si>
    <t>(573,4,257,1,1,1,'60000136','FISCALIZADO','NINGUNA','Lunes a Viernes 8am a 6pm / Sabados 9am a 12m','2024-11-18',null,null,1),</t>
  </si>
  <si>
    <t>(577,4,161,1,38,49,'60000056','FISCALIZADO','NINGUNA','','2024-11-13','2025-02-24',null,0),</t>
  </si>
  <si>
    <t>(578,4,61,1,38,49,'60000057','FISCALIZADO','NINGUNA','Lunes a Viernes 8am a 6pm','2024-11-20',null,null,1),</t>
  </si>
  <si>
    <t>(579,2,252,1,1,1,'50000397','FISCALIZADO','NINGUNA','Lunes a Viernes 8am a 6pm','2024-11-18',null,'2026-02-28',1),</t>
  </si>
  <si>
    <t>(582,4,161,1,38,49,'60000058','FISCALIZADO','NINGUNA','Lunes a Viernes 8am a 6pm','2024-11-25',null,null,1),</t>
  </si>
  <si>
    <t>(583,2,168,4,38,49,'50000401','FISCALIZADO','NINGUNA','Lunes a Viernes 8am a 6pm','2024-11-25',null,'2025-11-30',1),</t>
  </si>
  <si>
    <t>(584,1,13,1,1,1,'50000108','FISCALIZADO','NINGUNA','Lunes a Viernes 8am a 6pm','2011-10-17',null,null,1),</t>
  </si>
  <si>
    <t>(585,3,157,1,36,21,'50000400','FISCALIZADO','NINGUNA','14x7','2024-11-25',null,'2025-11-30',1),</t>
  </si>
  <si>
    <t>(586,4,161,1,38,49,'60000063','FISCALIZADO','NINGUNA','Lunes a Viernes 8am a 6pm','2025-01-13','2025-11-30',null,0),</t>
  </si>
  <si>
    <t>(147,2,14,1,1,1,'50000361','FISCALIZADO','NINGUNA','Lunes a Viernes 8am a 6pm','2025-07-21',null,'2026-04-30',1),</t>
  </si>
  <si>
    <t>(587,2,104,1,1,1,'50000403','FISCALIZADO','NINGUNA','Lunes a Viernes 8am a 6pm','2024-12-05',null,'2026-03-31',1),</t>
  </si>
  <si>
    <t>(588,2,234,1,1,1,'50000406','FISCALIZADO','NINGUNA','Lunes a Viernes 8am a 6pm','2024-12-16',null,'2026-04-30',1),</t>
  </si>
  <si>
    <t>(589,4,60,1,38,49,'60000059','FISCALIZADO','NINGUNA','','2024-12-16','2025-05-31',null,0),</t>
  </si>
  <si>
    <t>(8,3,157,1,36,21,'50000409','FISCALIZADO','NINGUNA','14x7','2025-01-06',null,'2026-02-28',1),</t>
  </si>
  <si>
    <t>(590,2,205,1,1,1,'50000405','FISCALIZADO','NINGUNA','Lunes a Viernes 8am a 6pm','2025-01-06',null,'2025-12-31',1),</t>
  </si>
  <si>
    <t>(387,4,161,4,38,49,'60000062','FISCALIZADO','NINGUNA','','2025-01-08','2025-06-08',null,0),</t>
  </si>
  <si>
    <t>(592,2,15,1,1,1,'50000299','FISCALIZADO','NINGUNA','Lunes a Viernes 8am a 6pm','2024-05-06',null,'2025-12-31',1),</t>
  </si>
  <si>
    <t>(593,4,161,4,38,49,'60000064','FISCALIZADO','NINGUNA','Lunes a Viernes 8am a 6pm','2025-02-03',null,null,1),</t>
  </si>
  <si>
    <t>(272,2,5,4,1,1,'50000408','NO FISCALIZADO','NINGUNA','Lunes a Viernes 8am a 6pm','2025-01-13',null,'2026-04-30',1),</t>
  </si>
  <si>
    <t>(596,3,157,1,36,21,'50000418','FISCALIZADO','NINGUNA','14x7','2025-01-20',null,'2026-01-31',1),</t>
  </si>
  <si>
    <t>(597,2,63,1,38,49,'50000413','FISCALIZADO','NINGUNA','Lunes a Viernes 8am a 6pm','2025-01-20',null,'2026-01-31',1),</t>
  </si>
  <si>
    <t>(489,3,157,1,36,21,'50000417','FISCALIZADO','NINGUNA','14x7','2025-01-20',null,'2025-12-31',1),</t>
  </si>
  <si>
    <t>(598,4,161,2,38,49,'60000060','FISCALIZADO','NINGUNA','Lunes a Viernes 8am a 6pm','2025-01-20','2025-09-30',null,0),</t>
  </si>
  <si>
    <t>(599,4,161,2,38,49,'60000061','FISCALIZADO','NINGUNA','','2025-01-21','2025-03-31',null,0),</t>
  </si>
  <si>
    <t>(292,3,157,2,34,35,'50000420','FISCALIZADO','NINGUNA','21X9','2025-01-23',null,'2026-02-28',1),</t>
  </si>
  <si>
    <t>(601,4,161,1,38,49,'','FISCALIZADO','NINGUNA','','2025-01-24','2025-01-24',null,0),</t>
  </si>
  <si>
    <t>(494,2,161,2,38,49,'50000423','FISCALIZADO','NINGUNA','Lunes a Viernes 8am a 6pm','2025-02-01',null,'2026-01-31',1),</t>
  </si>
  <si>
    <t>(241,2,160,1,38,49,'50000424','FISCALIZADO','NINGUNA','Lunes a Viernes 8am a 6pm','2025-02-01',null,'2026-01-31',1),</t>
  </si>
  <si>
    <t>(129,2,122,1,38,49,'50000425','FISCALIZADO','NINGUNA','Lunes a Viernes 8am a 6pm','2025-02-01',null,'2026-01-31',1),</t>
  </si>
  <si>
    <t>(602,1,21,1,1,1,'50000520','NO FISCALIZADO','DIRECCION','Lunes a Viernes 8am a 6pm','2025-08-18',null,null,1),</t>
  </si>
  <si>
    <t>(174,2,168,1,38,49,'50000422','FISCALIZADO','NINGUNA','Lunes a Viernes 8am a 6pm','2025-02-01',null,'2026-01-31',1),</t>
  </si>
  <si>
    <t>(442,2,185,4,1,1,'50000272','FISCALIZADO','NINGUNA','Lunes a Viernes 8am a 6pm','2025-02-01',null,'2026-04-30',1),</t>
  </si>
  <si>
    <t>(603,2,27,1,1,1,'50000174','FISCALIZADO','NINGUNA','Lunes a Viernes 8am a 6pm','2023-06-12',null,'2026-05-31',1),</t>
  </si>
  <si>
    <t>(604,4,257,1,1,1,'60000131','FISCALIZADO','NINGUNA','Lunes a Viernes 8am a 6pm','2025-02-11',null,null,1),</t>
  </si>
  <si>
    <t>(416,3,157,4,19,23,'50000246','FISCALIZADO','NINGUNA','14X7','2025-02-03',null,'2025-11-30',1),</t>
  </si>
  <si>
    <t>(606,2,30,1,1,1,'50000133','FISCALIZADO','NINGUNA','Lunes a Viernes 8am a 6pm','2023-02-01',null,'2026-04-30',1),</t>
  </si>
  <si>
    <t>(608,4,161,1,38,49,'60000066','FISCALIZADO','NINGUNA','Lunes a Viernes 8am a 6pm','2025-02-21',null,null,1),</t>
  </si>
  <si>
    <t>(609,2,254,1,1,1,'50000434','FISCALIZADO','NINGUNA','Lunes a Viernes 8am a 6pm','2025-02-12',null,'2025-11-30',1),</t>
  </si>
  <si>
    <t>(610,2,178,1,1,1,'50000432','FISCALIZADO','NINGUNA','Lunes a Viernes 8am a 6pm','2025-02-12',null,'2025-12-31',1),</t>
  </si>
  <si>
    <t>(612,4,161,1,38,49,'','FISCALIZADO','NINGUNA','Lunes a Viernes 8am a 6pm','2025-02-17','2025-02-17',null,0),</t>
  </si>
  <si>
    <t>(613,4,59,2,38,49,'60000065','FISCALIZADO','NINGUNA','Lunes a Viernes 8am a 6pm','2025-02-17','2025-09-30',null,0),</t>
  </si>
  <si>
    <t>(614,2,168,1,38,49,'50000438','FISCALIZADO','NINGUNA','Lunes a Viernes 8am a 6pm','2025-02-21',null,'2025-11-30',1),</t>
  </si>
  <si>
    <t>(615,4,161,1,38,49,'60000067','FISCALIZADO','NINGUNA','Lunes a Viernes 8am a 6pm','2025-02-24',null,null,1),</t>
  </si>
  <si>
    <t>(616,3,156,2,23,24,'50000439','FISCALIZADO','NINGUNA','21x9','2025-02-24',null,'2025-11-30',1),</t>
  </si>
  <si>
    <t>(617,2,254,1,1,1,'50000442','FISCALIZADO','NINGUNA','Lunes a Viernes 8am a 6pm','2025-02-24',null,'2025-11-30',1),</t>
  </si>
  <si>
    <t>(618,2,254,1,1,1,'50000441','FISCALIZADO','NINGUNA','Lunes a Viernes 8am a 6pm','2025-02-24',null,'2025-11-30',1),</t>
  </si>
  <si>
    <t>(619,4,161,1,38,49,'60000069','FISCALIZADO','NINGUNA','Lunes a Viernes 8am a 6pm','2025-02-27',null,null,1),</t>
  </si>
  <si>
    <t>(620,4,161,1,38,49,'60000068','FISCALIZADO','NINGUNA','Lunes a Viernes 8am a 6pm','2025-02-24','2025-05-09',null,0),</t>
  </si>
  <si>
    <t>(621,4,208,1,1,1,'60000070','FISCALIZADO','NINGUNA','Lunes a Viernes 8am a 6pm','2025-03-03',null,null,1),</t>
  </si>
  <si>
    <t>(622,2,32,1,1,1,'50000212','NO FISCALIZADO','CONFIANZA','Lunes a Viernes 8am a 6pm','2023-10-02',null,'2026-03-31',1),</t>
  </si>
  <si>
    <t>(623,2,56,1,1,1,'50000444','FISCALIZADO','NINGUNA','Lunes a Viernes 8am a 6pm','2025-03-03',null,'2025-12-31',1),</t>
  </si>
  <si>
    <t>(624,2,5,2,1,1,'50000435','NO FISCALIZADO','NINGUNA','Lunes a Viernes 8am a 6pm','2025-03-03',null,'2025-12-31',1),</t>
  </si>
  <si>
    <t>(625,1,36,1,1,1,'50000080','NO FISCALIZADO','CONFIANZA','Lunes a Viernes 8am a 6pm','2011-03-01',null,null,1),</t>
  </si>
  <si>
    <t>(626,1,36,1,1,1,'50000139','NO FISCALIZADO','CONFIANZA','Lunes a Viernes 8am a 6pm','2014-06-10',null,null,1),</t>
  </si>
  <si>
    <t>(628,4,257,4,1,1,'60000130','FISCALIZADO','NINGUNA','Lunes a Viernes 8am a 6pm','2025-03-06',null,null,1),</t>
  </si>
  <si>
    <t>(630,2,168,1,38,49,'50000451','FISCALIZADO','NINGUNA','Lunes a Viernes 8am a 6pm','2025-03-10',null,'2025-12-31',1),</t>
  </si>
  <si>
    <t>(631,4,159,1,38,49,'60000071','FISCALIZADO','NINGUNA','Lunes a Viernes 8am a 6pm','2025-03-10',null,null,1),</t>
  </si>
  <si>
    <t>(632,4,161,1,38,49,'60000072','FISCALIZADO','NINGUNA','Lunes a Viernes 8am a 6pm','2025-03-10','2025-11-30',null,0),</t>
  </si>
  <si>
    <t>(635,4,161,2,38,49,'60000074','FISCALIZADO','NINGUNA','','2025-03-11','2025-09-12',null,0),</t>
  </si>
  <si>
    <t>(636,4,60,1,38,49,'60000073','FISCALIZADO','NINGUNA','Lunes a Viernes 8am a 6pm','2025-03-11','2025-03-28',null,0),</t>
  </si>
  <si>
    <t>(638,4,121,1,38,49,'60000075','FISCALIZADO','NINGUNA','Lunes a Viernes 8am a 6pm','2025-03-17','2025-11-11',null,0),</t>
  </si>
  <si>
    <t>(640,1,48,1,1,1,'50000096','NO FISCALIZADO','CONFIANZA','Lunes a Viernes 8am a 6pm','2018-02-23',null,null,1),</t>
  </si>
  <si>
    <t>(642,4,161,1,38,49,'60000076','FISCALIZADO','NINGUNA','Lunes a Viernes 8am a 6pm','2025-03-27','2025-08-31',null,0),</t>
  </si>
  <si>
    <t>(643,2,43,1,1,1,'50000458','NO FISCALIZADO','CONFIANZA','Lunes a Viernes 8am a 6pm','2025-04-01',null,'2026-03-31',1),</t>
  </si>
  <si>
    <t>(644,3,156,3,4,4,'50000460','FISCALIZADO','NINGUNA','14X7','2025-04-01',null,'2025-12-31',1),</t>
  </si>
  <si>
    <t>(538,2,200,1,1,1,'50000359','FISCALIZADO','NINGUNA','Lunes a Viernes 8am a 6pm','2025-04-01',null,'2026-03-31',1),</t>
  </si>
  <si>
    <t>(591,2,225,1,1,1,'50000407','FISCALIZADO','NINGUNA','Lunes a Viernes 8am a 6pm','2025-04-01',null,'2025-12-31',1),</t>
  </si>
  <si>
    <t>(646,4,161,1,38,49,'60000077','FISCALIZADO','NINGUNA','Lunes a Viernes 8am a 6pm','2025-04-01',null,null,1),</t>
  </si>
  <si>
    <t>(111,2,66,1,1,1,'50000465','FISCALIZADO','NINGUNA','Lunes a Viernes 8am a 6pm','2025-04-01',null,'2025-12-31',1),</t>
  </si>
  <si>
    <t>(647,4,161,1,38,49,'60000078','FISCALIZADO','NINGUNA','Lunes a Viernes 8am a 6pm','2025-04-01','2025-08-18',null,0),</t>
  </si>
  <si>
    <t>(650,3,156,2,23,24,'50000474','FISCALIZADO','NINGUNA','6x1','2025-04-03',null,'2025-12-31',1),</t>
  </si>
  <si>
    <t>(651,4,168,2,38,49,'60000079','FISCALIZADO','NINGUNA','Lunes a Viernes 8am a 6pm','2025-04-07','2025-08-04',null,0),</t>
  </si>
  <si>
    <t>(652,4,161,1,38,49,'60000080','FISCALIZADO','NINGUNA','Lunes a Viernes 8am a 6pm','2025-04-09','2025-05-16',null,0),</t>
  </si>
  <si>
    <t>(653,4,60,2,38,49,'60000083','FISCALIZADO','NINGUNA','Lunes a Viernes 8am a 6pm','2025-04-14',null,null,1),</t>
  </si>
  <si>
    <t>(654,4,161,2,38,49,'60000081','FISCALIZADO','NINGUNA','Lunes a Viernes 8am a 6pm','2025-04-14',null,null,1),</t>
  </si>
  <si>
    <t>(655,4,168,1,38,49,'60000082','FISCALIZADO','NINGUNA','Lunes a Viernes 8am a 6pm','2025-04-14','2025-07-02',null,0),</t>
  </si>
  <si>
    <t>(656,4,121,1,38,49,'60000084','FISCALIZADO','NINGUNA','Lunes a Viernes 8am a 6pm','2025-04-16',null,null,1),</t>
  </si>
  <si>
    <t>(658,2,233,1,1,1,'50000468','FISCALIZADO','NINGUNA','Lunes a Viernes 8am a 6pm','2025-04-21',null,'2026-01-31',1),</t>
  </si>
  <si>
    <t>(660,5,85,2,23,24,'50000507','FISCALIZADO','NINGUNA','Lunes a Viernes 8am a 6pm','2025-07-16',null,'2026-01-31',1),</t>
  </si>
  <si>
    <t>(661,5,89,1,1,1,'50000523','FISCALIZADO','NINGUNA','Lunes a Viernes 8am a 6pm','2025-08-05',null,'2025-11-30',1),</t>
  </si>
  <si>
    <t>(662,5,89,1,1,1,'50000568','FISCALIZADO','NINGUNA','Lunes a Viernes 8am a 6pm','2025-11-03',null,'2026-05-31',1),</t>
  </si>
  <si>
    <t>(663,4,66,1,1,1,'60000085','FISCALIZADO','NINGUNA','Lunes a Viernes 8am a 6pm','2025-04-23',null,null,1),</t>
  </si>
  <si>
    <t>(173,2,168,2,38,49,'50000471','FISCALIZADO','NINGUNA','Lunes a Viernes 8am a 6pm','2025-04-24',null,'2025-12-31',1),</t>
  </si>
  <si>
    <t>(664,4,161,2,38,49,'60000086','FISCALIZADO','NINGUNA','Lunes a Viernes 8am a 6pm','2025-04-24','2025-05-09',null,0),</t>
  </si>
  <si>
    <t>(666,4,161,1,38,49,'60000087','FISCALIZADO','NINGUNA','Lunes a Viernes 8am a 6pm','2025-04-28',null,null,1),</t>
  </si>
  <si>
    <t>(667,4,161,1,38,49,'60000092','FISCALIZADO','NINGUNA','Lunes a Viernes 8am a 6pm','2025-05-05',null,null,1),</t>
  </si>
  <si>
    <t>(668,4,60,1,38,49,'60000088','FISCALIZADO','NINGUNA','Lunes a Viernes 8am a 6pm','2025-05-05','2025-08-31',null,0),</t>
  </si>
  <si>
    <t>(669,4,161,1,38,49,'60000091','FISCALIZADO','NINGUNA','Lunes a Viernes 8am a 6pm','2025-05-05','2025-11-20',null,0),</t>
  </si>
  <si>
    <t>(670,4,159,1,38,49,'60000090','FISCALIZADO','NINGUNA','Lunes a Viernes 8am a 6pm','2025-05-05','2025-07-31',null,0),</t>
  </si>
  <si>
    <t>(671,4,58,1,38,49,'60000089','FISCALIZADO','NINGUNA','Lunes a Viernes 8am a 6pm','2025-05-05','2025-05-31',null,0),</t>
  </si>
  <si>
    <t>(672,4,161,2,38,49,'60000093','FISCALIZADO','NINGUNA','','2025-05-13','2025-09-12',null,0),</t>
  </si>
  <si>
    <t>(673,5,90,2,1,1,'50000506','FISCALIZADO','NINGUNA','Lunes a Viernes 8am a 6pm','2025-07-16',null,'2026-01-31',1),</t>
  </si>
  <si>
    <t>(674,4,168,1,38,49,'60000094','FISCALIZADO','NINGUNA','Lunes a Viernes 8am a 6pm','2025-05-15','2025-07-15',null,0),</t>
  </si>
  <si>
    <t>(676,4,161,2,38,49,'60000095','FISCALIZADO','NINGUNA','Lunes a Viernes 8am a 6pm','2025-05-19',null,null,1),</t>
  </si>
  <si>
    <t>(677,4,161,2,38,49,'60000096','FISCALIZADO','NINGUNA','Lunes a Viernes 8am a 6pm','2025-05-21','2025-07-01',null,0),</t>
  </si>
  <si>
    <t>(199,11,156,3,37,48,'50000252','FISCALIZADO','NINGUNA','14x7','2025-05-23',null,'2025-12-31',1),</t>
  </si>
  <si>
    <t>(678,4,60,1,38,49,'60000097','FISCALIZADO','NINGUNA','Lunes a Viernes 8am a 6pm','2025-05-26',null,null,1),</t>
  </si>
  <si>
    <t>(398,2,161,1,38,49,'50000492','FISCALIZADO','NINGUNA','Lunes a Viernes 8am a 6pm','2025-06-01',null,'2025-11-30',1),</t>
  </si>
  <si>
    <t>(82,2,66,1,1,1,'50000481','FISCALIZADO','NINGUNA','Lunes a Viernes 8am a 6pm','2025-06-01',null,'2026-02-28',1),</t>
  </si>
  <si>
    <t>(380,2,246,1,1,1,'50000485','FISCALIZADO','NINGUNA','Lunes a Viernes 8am a 6pm','2025-06-01',null,'2025-11-30',1),</t>
  </si>
  <si>
    <t>(492,2,161,3,38,49,'50000494','FISCALIZADO','NINGUNA','Lunes a Viernes 8am a 6pm','2025-06-01',null,'2025-11-30',1),</t>
  </si>
  <si>
    <t>(533,2,66,2,1,1,'50000480','FISCALIZADO','NINGUNA','Lunes a Viernes 8am a 6pm','2025-06-01',null,'2026-02-28',1),</t>
  </si>
  <si>
    <t>(495,2,161,3,38,49,'50000484','FISCALIZADO','NINGUNA','Lunes a Viernes 8am a 6pm','2025-06-01',null,'2025-11-30',1),</t>
  </si>
  <si>
    <t>(238,2,246,1,1,1,'50000483','FISCALIZADO','NINGUNA','Lunes a Viernes 8am a 6pm','2025-06-01',null,'2025-11-30',1),</t>
  </si>
  <si>
    <t>(498,2,190,3,1,1,'50000486','FISCALIZADO','NINGUNA','Lunes a Viernes 8am a 6pm','2025-06-01',null,'2026-02-28',1),</t>
  </si>
  <si>
    <t>(555,2,50,1,1,1,'50000375','FISCALIZADO','NINGUNA','Lunes a Viernes 8am a 6pm','2025-06-01',null,'2025-11-30',1),</t>
  </si>
  <si>
    <t>(327,2,246,1,1,1,'50000482','FISCALIZADO','NINGUNA','Lunes a Viernes 8am a 6pm','2025-06-01',null,'2026-02-28',1),</t>
  </si>
  <si>
    <t>(234,2,161,1,38,49,'50000493','FISCALIZADO','NINGUNA','Lunes a Viernes 8am a 6pm','2025-06-01',null,'2025-11-30',1),</t>
  </si>
  <si>
    <t>(287,2,238,1,1,1,'50000479','FISCALIZADO','NINGUNA','Lunes a Viernes 8am a 6pm','2025-06-01',null,'2026-02-28',1),</t>
  </si>
  <si>
    <t>(250,2,127,4,38,49,'50000490','FISCALIZADO','NINGUNA','Lunes a Viernes 8am a 6pm','2025-06-01',null,'2025-11-30',1),</t>
  </si>
  <si>
    <t>(445,2,161,1,38,49,'50000488','FISCALIZADO','NINGUNA','Lunes a Viernes 8am a 6pm','2025-06-01',null,'2025-11-30',1),</t>
  </si>
  <si>
    <t>(589,2,60,1,38,49,'50000489','FISCALIZADO','NINGUNA','Lunes a Viernes 8am a 6pm','2025-06-01',null,'2025-11-30',1),</t>
  </si>
  <si>
    <t>(681,2,175,1,1,1,'50000477','NO FISCALIZADO','NINGUNA','Lunes a Viernes 8am a 6pm','2025-06-02',null,'2025-11-30',1),</t>
  </si>
  <si>
    <t>(683,4,168,1,38,49,'60000098','FISCALIZADO','NINGUNA','Lunes a Viernes 8am a 6pm','2025-06-02','2025-11-30',null,0),</t>
  </si>
  <si>
    <t>(684,4,168,1,38,49,'60000099','FISCALIZADO','NINGUNA','Lunes a Viernes 8am a 6pm','2025-06-02','2025-07-15',null,0),</t>
  </si>
  <si>
    <t>(685,4,121,1,38,49,'60000106','FISCALIZADO','NINGUNA','Lunes a Viernes 8am a 6pm','2025-06-04','2025-07-23',null,0),</t>
  </si>
  <si>
    <t>(686,2,108,1,1,1,'50000253','FISCALIZADO','NINGUNA','Lunes a Viernes 8am a 6pm','2023-12-04',null,'2025-12-31',1),</t>
  </si>
  <si>
    <t>(687,4,161,1,38,49,'60000102','FISCALIZADO','NINGUNA','Lunes a Viernes 8am a 6pm','2025-06-09',null,null,1),</t>
  </si>
  <si>
    <t>(688,2,165,1,38,49,'50000491','FISCALIZADO','NINGUNA','Lunes a Viernes 8am a 6pm','2025-06-09',null,'2025-12-31',1),</t>
  </si>
  <si>
    <t>(689,4,161,1,38,49,'60000101','FISCALIZADO','NINGUNA','Lunes a Viernes 8am a 6pm','2025-06-09',null,null,1),</t>
  </si>
  <si>
    <t>(252,11,156,3,37,48,'50000072','FISCALIZADO','NINGUNA','14x7','2025-06-13',null,'2025-12-31',1),</t>
  </si>
  <si>
    <t>(692,4,161,1,38,49,'60000103','FISCALIZADO','NINGUNA','Lunes a Viernes 8am a 6pm','2025-06-16',null,null,1),</t>
  </si>
  <si>
    <t>(693,2,243,1,1,1,'50000498','FISCALIZADO','NINGUNA','Lunes a Viernes 8am a 6pm','2025-06-18',null,'2026-03-31',1),</t>
  </si>
  <si>
    <t>(694,2,5,1,1,1,'50000497','NO FISCALIZADO','NINGUNA','Lunes a Viernes 8am a 6pm','2025-06-18',null,'2025-12-31',1),</t>
  </si>
  <si>
    <t>(695,4,168,1,38,49,'60000104','FISCALIZADO','NINGUNA','Lunes a Viernes 8am a 6pm','2025-06-18','2025-06-30',null,0),</t>
  </si>
  <si>
    <t>(696,4,161,4,38,49,'60000105','FISCALIZADO','NINGUNA','Lunes a Viernes 8am a 6pm','2025-06-20',null,null,1),</t>
  </si>
  <si>
    <t>(697,1,4,1,1,1,'50000501','FISCALIZADO','NINGUNA','Lunes a Viernes 8am a 6pm','2025-07-01',null,null,1),</t>
  </si>
  <si>
    <t>(383,2,161,4,38,49,'50000502','FISCALIZADO','NINGUNA','Lunes a Viernes 8am a 6pm','2025-07-01',null,'2025-11-30',1),</t>
  </si>
  <si>
    <t>(698,2,196,1,1,1,'50000500','FISCALIZADO','CONFIANZA','Lunes a Viernes 8am a 6pm','2025-07-01',null,'2025-12-31',1),</t>
  </si>
  <si>
    <t>(677,3,156,2,23,24,'50000503','FISCALIZADO','NINGUNA','6x1','2025-07-02',null,'2025-12-31',1),</t>
  </si>
  <si>
    <t>(699,4,168,1,38,49,'60000108','FISCALIZADO','NINGUNA','Lunes a Viernes 8am a 6pm','2025-07-07',null,null,1),</t>
  </si>
  <si>
    <t>(700,2,181,1,1,1,'50000508','FISCALIZADO','NINGUNA','Lunes a Viernes 8am a 6pm','2025-07-14',null,'2026-04-30',1),</t>
  </si>
  <si>
    <t>(702,1,129,1,1,1,'50000141','NO FISCALIZADO','DIRECCION','Lunes a Viernes 8am a 6pm','2011-03-07',null,null,1),</t>
  </si>
  <si>
    <t>(703,5,87,1,1,1,'50000505','FISCALIZADO','NINGUNA','Lunes a Viernes 8am a 6pm','2025-07-16',null,'2026-01-31',1),</t>
  </si>
  <si>
    <t>(704,3,163,1,34,42,'50000509','FISCALIZADO','NINGUNA','6X1','2025-07-16',null,'2026-01-31',1),</t>
  </si>
  <si>
    <t>(705,2,134,2,1,1,'50000134','FISCALIZADO','NINGUNA','Lunes a Viernes 8am a 6pm','2022-06-06',null,'2026-03-31',1),</t>
  </si>
  <si>
    <t>(706,3,134,1,36,21,'50000296','FISCALIZADO','NINGUNA','14x7','2024-04-16',null,'2026-01-31',1),</t>
  </si>
  <si>
    <t>(707,2,140,1,1,1,'50000510','FISCALIZADO','NINGUNA','Lunes a Viernes 8am a 6pm','2025-07-24',null,'2026-01-31',1),</t>
  </si>
  <si>
    <t>(708,4,161,2,38,49,'60000109','FISCALIZADO','NINGUNA','Lunes a Viernes 8am a 6pm','2025-07-24',null,null,1),</t>
  </si>
  <si>
    <t>(709,4,58,1,38,49,'60000115','FISCALIZADO','NINGUNA','Lunes a Viernes 8am a 6pm','2025-08-01',null,null,1),</t>
  </si>
  <si>
    <t>(710,4,168,1,38,49,'60000111','FISCALIZADO','NINGUNA','Lunes a Viernes 8am a 6pm','2025-08-01',null,null,1),</t>
  </si>
  <si>
    <t>(711,4,168,1,38,49,'60000112','FISCALIZADO','NINGUNA','Lunes a Viernes 8am a 6pm','2025-08-01',null,null,1),</t>
  </si>
  <si>
    <t>(712,4,168,1,38,49,'60000114','FISCALIZADO','NINGUNA','Lunes a Viernes 8am a 6pm','2025-08-01','2025-11-30',null,0),</t>
  </si>
  <si>
    <t>(713,4,161,1,38,49,'60000110','FISCALIZADO','NINGUNA','Lunes a Viernes 8am a 6pm','2025-08-01','2025-11-22',null,0),</t>
  </si>
  <si>
    <t>(714,3,156,1,10,14,'50000511','FISCALIZADO','NINGUNA','21X9','2025-08-04',null,'2025-11-30',1),</t>
  </si>
  <si>
    <t>(217,2,168,1,38,49,'50000529','FISCALIZADO','NINGUNA','Lunes a Viernes 8am a 6pm','2025-08-04',null,'2025-11-30',1),</t>
  </si>
  <si>
    <t>(715,3,134,1,36,21,'50000387','FISCALIZADO','NINGUNA','14x7','2024-11-04',null,'2026-01-31',1),</t>
  </si>
  <si>
    <t>(717,4,121,1,38,49,'60000116','FISCALIZADO','NINGUNA','Lunes a Viernes 8am a 6pm','2025-08-08',null,null,1),</t>
  </si>
  <si>
    <t>(718,3,156,2,3,3,'50000514','FISCALIZADO','NINGUNA','6X1','2025-08-11',null,'2025-11-30',1),</t>
  </si>
  <si>
    <t>(719,3,163,2,32,35,'50000512','FISCALIZADO','NINGUNA','6x1','2025-08-11',null,'2025-11-30',1),</t>
  </si>
  <si>
    <t>(720,3,163,2,23,24,'50000513','FISCALIZADO','NINGUNA','21x10','2025-08-11',null,'2025-11-30',1),</t>
  </si>
  <si>
    <t>(545,2,168,1,38,49,'50000530','FISCALIZADO','NINGUNA','Lunes a Viernes 8am a 6pm','2025-08-11',null,'2025-11-30',1),</t>
  </si>
  <si>
    <t>(721,4,60,1,38,49,'60000119','FISCALIZADO','NINGUNA','Lunes a Viernes 8am a 6pm','2025-08-11',null,null,1),</t>
  </si>
  <si>
    <t>(722,4,161,2,38,49,'60000117','FISCALIZADO','NINGUNA','Lunes a Viernes 8am a 6pm','2025-08-13',null,null,1),</t>
  </si>
  <si>
    <t>(723,4,161,2,38,49,'60000118','FISCALIZADO','NINGUNA','Lunes a Viernes 8am a 6pm','2025-08-13',null,null,1),</t>
  </si>
  <si>
    <t>(724,5,79,1,1,1,'50000516','FISCALIZADO','NINGUNA','Lunes a Viernes 8am a 6pm','2025-08-13',null,'2026-02-28',1),</t>
  </si>
  <si>
    <t>(726,4,66,1,1,1,'60000120','FISCALIZADO','NINGUNA','Lunes a Viernes 8am a 6pm','2025-08-13',null,null,1),</t>
  </si>
  <si>
    <t>(727,3,134,1,36,21,'50000402','FISCALIZADO','NINGUNA','14x7','2024-12-02',null,'2026-01-31',1),</t>
  </si>
  <si>
    <t>(728,2,231,1,1,1,'50000518','FISCALIZADO','NINGUNA','Lunes a Viernes 8am a 6pm','2025-08-18',null,'2025-11-30',1),</t>
  </si>
  <si>
    <t>(106,1,134,3,1,1,'50000447','FISCALIZADO','NINGUNA','Lunes a Viernes 8am a 6pm','2025-03-03',null,null,1),</t>
  </si>
  <si>
    <t>(729,2,245,1,1,1,'50000519','FISCALIZADO','NINGUNA','Lunes a Viernes 8am a 6pm','2025-08-20',null,'2026-02-28',1),</t>
  </si>
  <si>
    <t>(730,2,173,1,1,1,'50000528','FISCALIZADO','NINGUNA','Lunes a Viernes 8am a 6pm','2025-08-20',null,'2026-02-28',1),</t>
  </si>
  <si>
    <t>(731,3,156,4,34,35,'50000522','FISCALIZADO','NINGUNA','14X7','2025-08-25',null,'2026-02-28',1),</t>
  </si>
  <si>
    <t>(733,3,156,4,34,35,'50000525','FISCALIZADO','NINGUNA','14X7','2025-08-25',null,'2026-02-28',1),</t>
  </si>
  <si>
    <t>(735,2,194,1,1,1,'50000527','FISCALIZADO','NINGUNA','Lunes a Viernes 8am a 6pm','2025-08-25',null,'2025-11-30',1),</t>
  </si>
  <si>
    <t>(736,2,134,4,1,1,'50000469','FISCALIZADO','NINGUNA','Lunes a Viernes 8am a 6pm','2025-04-23',null,'2026-04-30',1),</t>
  </si>
  <si>
    <t>(738,2,134,2,1,1,'50000517','FISCALIZADO','NINGUNA','Lunes a Viernes 8am a 6pm','2025-08-18',null,'2025-11-30',1),</t>
  </si>
  <si>
    <t>(739,4,159,1,38,49,'60000122','FISCALIZADO','NINGUNA','','2025-09-01','2025-09-05',null,0),</t>
  </si>
  <si>
    <t>(740,3,163,3,34,45,'50000526','FISCALIZADO','NINGUNA','14x7','2025-09-01',null,'2026-02-28',1),</t>
  </si>
  <si>
    <t>(741,4,246,1,1,1,'60000121','FISCALIZADO','NINGUNA','Lunes a Viernes 8am a 6pm','2025-09-01',null,null,1),</t>
  </si>
  <si>
    <t>(742,4,145,1,1,1,'60000123','FISCALIZADO','NINGUNA','Lunes a Viernes 8am a 6pm','2025-09-01',null,null,1),</t>
  </si>
  <si>
    <t>(534,2,190,2,1,1,'50000356','FISCALIZADO','NINGUNA','Lunes a Viernes 8am a 6pm','2025-09-01',null,'2025-11-30',1),</t>
  </si>
  <si>
    <t>(743,4,160,1,38,49,'60000124','FISCALIZADO','NINGUNA','Lunes a Viernes 8am a 6pm','2025-09-03',null,null,1),</t>
  </si>
  <si>
    <t>(744,4,161,1,38,49,'60000125','FISCALIZADO','NINGUNA','Lunes a Viernes 8am a 6pm','2025-09-03',null,null,1),</t>
  </si>
  <si>
    <t>(745,3,163,1,10,14,'50000534','FISCALIZADO','NINGUNA','21x9','2025-09-08',null,'2025-12-31',1),</t>
  </si>
  <si>
    <t>(746,3,156,4,34,35,'50000535','FISCALIZADO','NINGUNA','14X7','2025-09-08',null,'2025-12-31',1),</t>
  </si>
  <si>
    <t>(747,2,167,1,38,49,'50000532','FISCALIZADO','NINGUNA','Lunes a Viernes 8am a 6pm','2025-09-10',null,'2026-03-31',1),</t>
  </si>
  <si>
    <t>(24,1,134,1,1,1,'50000039','FISCALIZADO','NINGUNA','Lunes a Viernes 8am a 6pm','2025-09-01',null,null,1),</t>
  </si>
  <si>
    <t>(748,2,256,1,1,1,'50000538','FISCALIZADO','NINGUNA','Lunes a Viernes 8am a 6pm','2025-09-16',null,'2025-12-31',1),</t>
  </si>
  <si>
    <t>(749,4,121,1,38,49,'60000126','FISCALIZADO','NINGUNA','Lunes a Viernes 8am a 6pm','2025-09-17','2025-11-07',null,0),</t>
  </si>
  <si>
    <t>(750,2,5,1,1,1,'50000536','NO FISCALIZADO','NINGUNA','Lunes a Viernes 8am a 6pm','2025-09-17',null,'2025-12-31',1),</t>
  </si>
  <si>
    <t>(751,4,161,2,38,49,'60000127','FISCALIZADO','NINGUNA','Lunes a Viernes 8am a 6pm','2025-09-18',null,null,1),</t>
  </si>
  <si>
    <t>(752,2,111,1,1,1,'50000539','FISCALIZADO','NINGUNA','Lunes a Viernes 8am a 6pm','2025-09-18',null,'2026-03-31',1),</t>
  </si>
  <si>
    <t>(753,3,163,1,2,2,'50000540','FISCALIZADO','NINGUNA','6X1','2025-09-22',null,'2025-12-31',1),</t>
  </si>
  <si>
    <t>(754,2,168,2,38,49,'50000537','FISCALIZADO','NINGUNA','Lunes a Viernes 8am a 6pm','2025-09-22',null,'2025-12-31',1),</t>
  </si>
  <si>
    <t>(756,2,5,1,1,1,'50000542','NO FISCALIZADO','NINGUNA','Lunes a Viernes 8am a 6pm','2025-09-24',null,'2026-03-31',1),</t>
  </si>
  <si>
    <t>(757,3,155,2,34,40,'50000565','FISCALIZADO','NINGUNA','6x1','2025-10-01',null,'2025-12-31',1),</t>
  </si>
  <si>
    <t>(758,2,91,1,1,1,'50000545','FISCALIZADO','NINGUNA','Lunes a Viernes 8am a 6pm','2025-10-01',null,'2026-03-31',1),</t>
  </si>
  <si>
    <t>(759,2,223,1,1,1,'50000544','FISCALIZADO','NINGUNA','Lunes a Viernes 8am a 6pm','2025-10-01',null,'2026-03-31',1),</t>
  </si>
  <si>
    <t>(598,2,161,2,38,49,'50000550','FISCALIZADO','NINGUNA','Lunes a Viernes 8am a 6pm','2025-10-01',null,'2025-12-31',1),</t>
  </si>
  <si>
    <t>(613,2,59,2,38,49,'50000551','FISCALIZADO','NINGUNA','Lunes a Viernes 8am a 6pm','2025-10-01',null,'2025-12-31',1),</t>
  </si>
  <si>
    <t>(760,3,156,3,34,45,'50000546','FISCALIZADO','NINGUNA','14x7','2025-10-06',null,'2026-04-30',1),</t>
  </si>
  <si>
    <t>(761,2,186,1,1,1,'50000549','FISCALIZADO','NINGUNA','Lunes a Viernes 8am a 6pm','2025-10-09',null,'2026-01-31',1),</t>
  </si>
  <si>
    <t>(763,1,135,1,1,1,'50000053','FISCALIZADO','NINGUNA','Lunes a Viernes 8am a 6pm','2012-08-20',null,null,1),</t>
  </si>
  <si>
    <t>(764,12,190,2,1,1,'50000554','FISCALIZADO','NINGUNA','Lunes a Viernes 8am a 6pm','2025-10-13',null,'2026-01-31',1),</t>
  </si>
  <si>
    <t>(765,4,161,1,38,49,'60000128','FISCALIZADO','NINGUNA','Lunes a Viernes 8am a 6pm','2025-10-16',null,null,1),</t>
  </si>
  <si>
    <t>(766,2,168,2,38,49,'50000555','FISCALIZADO','NINGUNA','Lunes a Viernes 8am a 6pm','2025-10-16',null,'2026-01-31',1),</t>
  </si>
  <si>
    <t>(767,3,156,1,10,14,'50000552','FISCALIZADO','NINGUNA','21x9','2025-10-17',null,'2026-01-31',1),</t>
  </si>
  <si>
    <t>(768,2,166,1,38,49,'50000556','FISCALIZADO','NINGUNA','Lunes a Viernes 8am a 6pm','2025-10-20',null,'2026-01-31',1),</t>
  </si>
  <si>
    <t>(769,2,215,1,1,1,'50000560','FISCALIZADO','NINGUNA','Lunes a Viernes 8am a 6pm','2025-10-22',null,'2026-01-31',1),</t>
  </si>
  <si>
    <t>(770,2,5,1,1,1,'50000561','NO FISCALIZADO','NINGUNA','Lunes a Viernes 8am a 6pm','2025-10-22',null,'2026-04-30',1),</t>
  </si>
  <si>
    <t>(771,4,161,1,38,49,'60000129','FISCALIZADO','NINGUNA','Lunes a Viernes 8am a 6pm','2025-10-23',null,null,1),</t>
  </si>
  <si>
    <t>(772,1,135,4,1,1,'50000110','FISCALIZADO','NINGUNA','Lunes a Viernes 8am a 6pm','2014-06-10',null,null,1),</t>
  </si>
  <si>
    <t>(773,3,163,1,10,14,'50000557','FISCALIZADO','NINGUNA','21x9','2025-10-27',null,'2026-01-31',1),</t>
  </si>
  <si>
    <t>(774,3,163,1,37,46,'50000558','FISCALIZADO','NINGUNA','6x1','2025-10-27',null,'2026-01-31',1),</t>
  </si>
  <si>
    <t>(775,2,126,1,1,1,'50000562','FISCALIZADO','NINGUNA','Lunes a Viernes 8am a 6pm','2025-10-27',null,'2026-04-30',1),</t>
  </si>
  <si>
    <t>(776,4,246,1,1,1,'60000132','FISCALIZADO','NINGUNA','Lunes a Viernes 8am a 6pm','2025-10-27',null,null,1),</t>
  </si>
  <si>
    <t>(777,4,246,1,1,1,'60000133','FISCALIZADO','NINGUNA','Lunes a Viernes 8am a 6pm','2025-10-27',null,null,1),</t>
  </si>
  <si>
    <t>(778,2,215,1,1,1,'50000563','FISCALIZADO','NINGUNA','Lunes a Viernes 8am a 6pm','2025-11-03',null,'2026-02-28',1),</t>
  </si>
  <si>
    <t>(290,2,160,2,38,49,'50000566','FISCALIZADO','NINGUNA','Lunes a Viernes 8am a 6pm','2025-11-03',null,'2026-02-28',1),</t>
  </si>
  <si>
    <t>(779,2,135,2,1,1,'50000437','FISCALIZADO','NINGUNA','Lunes a Viernes 8am a 6pm','2025-03-05',null,'2026-03-31',1),</t>
  </si>
  <si>
    <t>(780,2,10,1,1,1,'50000569','FISCALIZADO','NINGUNA','Lunes a Viernes 8am a 6pm','2025-11-03',null,'2026-05-31',1),</t>
  </si>
  <si>
    <t>(781,2,220,2,1,1,'50000567','FISCALIZADO','NINGUNA','Lunes a Viernes 8am a 6pm','2025-11-03',null,'2026-02-28',1),</t>
  </si>
  <si>
    <t>(782,3,156,1,24,25,'50000570','FISCALIZADO','NINGUNA','21x9','2025-11-03',null,'2026-02-28',1),</t>
  </si>
  <si>
    <t>(783,3,163,1,10,14,'50000564','FISCALIZADO','NINGUNA','','2025-11-03',null,'2026-02-28',1),</t>
  </si>
  <si>
    <t>(784,4,160,1,38,49,'60000134','FISCALIZADO','NINGUNA','Lunes a Viernes 8am a 6pm','2025-11-05',null,null,1),</t>
  </si>
  <si>
    <t>(785,4,246,1,1,1,'60000135','FISCALIZADO','NINGUNA','Lunes a Viernes 8am a 6pm','2025-11-05',null,null,1),</t>
  </si>
  <si>
    <t>(786,5,93,1,1,1,'50000571','FISCALIZADO','NINGUNA','Lunes a Viernes 8am a 6pm','2025-11-11',null,'2026-02-28',1),</t>
  </si>
  <si>
    <t>(787,2,27,1,1,1,'50000572','FISCALIZADO','NINGUNA','Lunes a Viernes 8am a 6pm','2025-11-10',null,'2026-02-28',1),</t>
  </si>
  <si>
    <t>(788,2,26,1,1,1,'50000573','NO FISCALIZADO','NINGUNA','Lunes a Viernes 8am a 6pm','2025-11-12',null,'2026-05-31',1),</t>
  </si>
  <si>
    <t>(637,2,195,1,1,1,'50000454','FISCALIZADO','NINGUNA','Lunes a Viernes 8am a 6pm','2025-11-17',null,'2026-02-28',1),</t>
  </si>
  <si>
    <t>ID_PERSONA</t>
  </si>
  <si>
    <t>ID_SUPERVISOR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</si>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</sst>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1" fontId="0" fillId="0" borderId="0" xfId="0" applyNumberFormat="1"/>
    <xf numFmtId="164" fontId="0" fillId="0" borderId="0" xfId="0" applyNumberFormat="1"/>
    <xf numFmtId="0" fontId="0" fillId="0" borderId="0" xfId="0" quotePrefix="1"/>
    <xf numFmtId="49" fontId="0" fillId="0" borderId="0" xfId="0" applyNumberFormat="1"/>
    <xf numFmtId="1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D9D5-5EA3-4618-8E1F-698323D95808}">
  <dimension ref="A1:I928"/>
  <sheetViews>
    <sheetView topLeftCell="C1" workbookViewId="0">
      <selection activeCell="E826" sqref="E826"/>
    </sheetView>
  </sheetViews>
  <sheetFormatPr baseColWidth="10" defaultRowHeight="15" x14ac:dyDescent="0.25"/>
  <cols>
    <col min="1" max="1" width="10" bestFit="1" customWidth="1"/>
    <col min="2" max="2" width="43.7109375" bestFit="1" customWidth="1"/>
    <col min="3" max="3" width="22.42578125" style="2" bestFit="1" customWidth="1"/>
    <col min="4" max="4" width="10.28515625" bestFit="1" customWidth="1"/>
    <col min="5" max="5" width="38.42578125" bestFit="1" customWidth="1"/>
    <col min="6" max="6" width="33.7109375" bestFit="1" customWidth="1"/>
    <col min="7" max="7" width="17.28515625" bestFit="1" customWidth="1"/>
    <col min="8" max="8" width="17.7109375" bestFit="1" customWidth="1"/>
    <col min="9" max="9" width="26.7109375" bestFit="1" customWidth="1"/>
  </cols>
  <sheetData>
    <row r="1" spans="1:9" x14ac:dyDescent="0.25">
      <c r="A1" s="1" t="s">
        <v>0</v>
      </c>
      <c r="B1" s="1" t="s">
        <v>1</v>
      </c>
      <c r="C1" s="3" t="s">
        <v>1745</v>
      </c>
      <c r="D1" s="1" t="s">
        <v>1742</v>
      </c>
      <c r="E1" s="1" t="s">
        <v>1560</v>
      </c>
      <c r="F1" s="1" t="s">
        <v>1954</v>
      </c>
      <c r="G1" s="1" t="s">
        <v>1955</v>
      </c>
      <c r="H1" s="1" t="s">
        <v>1956</v>
      </c>
      <c r="I1" s="1" t="s">
        <v>1957</v>
      </c>
    </row>
    <row r="2" spans="1:9" x14ac:dyDescent="0.25">
      <c r="A2" t="s">
        <v>2</v>
      </c>
      <c r="B2" t="s">
        <v>3</v>
      </c>
      <c r="C2" s="2">
        <v>21584</v>
      </c>
      <c r="D2" t="s">
        <v>1743</v>
      </c>
      <c r="F2" t="str">
        <f>LEFT(B2,SEARCH(",",B2)-1)</f>
        <v>BOZA ARLOTTI</v>
      </c>
      <c r="G2" t="str">
        <f>LEFT(F2,SEARCH(" ",F2)-1)</f>
        <v>BOZA</v>
      </c>
      <c r="H2" t="str">
        <f>RIGHT(F2,LEN(F2)- SEARCH(" ",F2))</f>
        <v>ARLOTTI</v>
      </c>
      <c r="I2" t="str">
        <f>RIGHT(B2,LEN(B2)- SEARCH(",",B2))</f>
        <v xml:space="preserve"> JAIME ENRIQUE LAZARO</v>
      </c>
    </row>
    <row r="3" spans="1:9" x14ac:dyDescent="0.25">
      <c r="A3" t="s">
        <v>4</v>
      </c>
      <c r="B3" t="s">
        <v>5</v>
      </c>
      <c r="C3" s="2">
        <v>28377</v>
      </c>
      <c r="D3" t="s">
        <v>1743</v>
      </c>
      <c r="F3" t="str">
        <f t="shared" ref="F3:F66" si="0">LEFT(B3,SEARCH(",",B3)-1)</f>
        <v>OLIVOS REYNALTE</v>
      </c>
      <c r="G3" t="str">
        <f t="shared" ref="G3:G66" si="1">LEFT(F3,SEARCH(" ",F3)-1)</f>
        <v>OLIVOS</v>
      </c>
      <c r="H3" t="str">
        <f t="shared" ref="H3:H66" si="2">RIGHT(F3,LEN(F3)- SEARCH(" ",F3))</f>
        <v>REYNALTE</v>
      </c>
      <c r="I3" t="str">
        <f t="shared" ref="I3:I66" si="3">RIGHT(B3,LEN(B3)- SEARCH(",",B3))</f>
        <v xml:space="preserve"> RICARDO GALDINO</v>
      </c>
    </row>
    <row r="4" spans="1:9" x14ac:dyDescent="0.25">
      <c r="A4" t="s">
        <v>6</v>
      </c>
      <c r="B4" t="s">
        <v>7</v>
      </c>
      <c r="D4" t="s">
        <v>1743</v>
      </c>
      <c r="F4" t="str">
        <f t="shared" si="0"/>
        <v>ESPINOZA HERRERA</v>
      </c>
      <c r="G4" t="str">
        <f t="shared" si="1"/>
        <v>ESPINOZA</v>
      </c>
      <c r="H4" t="str">
        <f t="shared" si="2"/>
        <v>HERRERA</v>
      </c>
      <c r="I4" t="str">
        <f t="shared" si="3"/>
        <v xml:space="preserve"> IVAN</v>
      </c>
    </row>
    <row r="5" spans="1:9" x14ac:dyDescent="0.25">
      <c r="A5" t="s">
        <v>8</v>
      </c>
      <c r="B5" t="s">
        <v>9</v>
      </c>
      <c r="C5" s="2">
        <v>29001</v>
      </c>
      <c r="D5" t="s">
        <v>1744</v>
      </c>
      <c r="F5" t="str">
        <f t="shared" si="0"/>
        <v>LAURA SALAZAR</v>
      </c>
      <c r="G5" t="str">
        <f t="shared" si="1"/>
        <v>LAURA</v>
      </c>
      <c r="H5" t="str">
        <f t="shared" si="2"/>
        <v>SALAZAR</v>
      </c>
      <c r="I5" t="str">
        <f t="shared" si="3"/>
        <v xml:space="preserve"> KATTY MARIBEL</v>
      </c>
    </row>
    <row r="6" spans="1:9" x14ac:dyDescent="0.25">
      <c r="A6" t="s">
        <v>10</v>
      </c>
      <c r="B6" t="s">
        <v>11</v>
      </c>
      <c r="C6" s="2">
        <v>34399</v>
      </c>
      <c r="D6" t="s">
        <v>1743</v>
      </c>
      <c r="F6" t="str">
        <f t="shared" si="0"/>
        <v>CAMPOS FLORES</v>
      </c>
      <c r="G6" t="str">
        <f t="shared" si="1"/>
        <v>CAMPOS</v>
      </c>
      <c r="H6" t="str">
        <f t="shared" si="2"/>
        <v>FLORES</v>
      </c>
      <c r="I6" t="str">
        <f t="shared" si="3"/>
        <v xml:space="preserve"> JOSÉ BERNARD</v>
      </c>
    </row>
    <row r="7" spans="1:9" x14ac:dyDescent="0.25">
      <c r="A7" t="s">
        <v>12</v>
      </c>
      <c r="B7" t="s">
        <v>13</v>
      </c>
      <c r="C7" s="2">
        <v>33327</v>
      </c>
      <c r="D7" t="s">
        <v>1743</v>
      </c>
      <c r="F7" t="str">
        <f t="shared" si="0"/>
        <v>CASIMIRO QUISPE</v>
      </c>
      <c r="G7" t="str">
        <f t="shared" si="1"/>
        <v>CASIMIRO</v>
      </c>
      <c r="H7" t="str">
        <f t="shared" si="2"/>
        <v>QUISPE</v>
      </c>
      <c r="I7" t="str">
        <f t="shared" si="3"/>
        <v xml:space="preserve"> HENDRIK ELISEO</v>
      </c>
    </row>
    <row r="8" spans="1:9" x14ac:dyDescent="0.25">
      <c r="A8" t="s">
        <v>14</v>
      </c>
      <c r="B8" t="s">
        <v>15</v>
      </c>
      <c r="C8" s="2">
        <v>32357</v>
      </c>
      <c r="D8" t="s">
        <v>1743</v>
      </c>
      <c r="F8" t="str">
        <f t="shared" si="0"/>
        <v>CABEZAS ISUIZA</v>
      </c>
      <c r="G8" t="str">
        <f t="shared" si="1"/>
        <v>CABEZAS</v>
      </c>
      <c r="H8" t="str">
        <f t="shared" si="2"/>
        <v>ISUIZA</v>
      </c>
      <c r="I8" t="str">
        <f t="shared" si="3"/>
        <v xml:space="preserve"> MARCOS JEFFERSON</v>
      </c>
    </row>
    <row r="9" spans="1:9" x14ac:dyDescent="0.25">
      <c r="A9" t="s">
        <v>16</v>
      </c>
      <c r="B9" t="s">
        <v>17</v>
      </c>
      <c r="C9" s="2">
        <v>29266</v>
      </c>
      <c r="D9" t="s">
        <v>1743</v>
      </c>
      <c r="F9" t="str">
        <f t="shared" si="0"/>
        <v>CALERO LOPEZ</v>
      </c>
      <c r="G9" t="str">
        <f t="shared" si="1"/>
        <v>CALERO</v>
      </c>
      <c r="H9" t="str">
        <f t="shared" si="2"/>
        <v>LOPEZ</v>
      </c>
      <c r="I9" t="str">
        <f t="shared" si="3"/>
        <v xml:space="preserve"> CORDOVA</v>
      </c>
    </row>
    <row r="10" spans="1:9" x14ac:dyDescent="0.25">
      <c r="A10" t="s">
        <v>18</v>
      </c>
      <c r="B10" t="s">
        <v>19</v>
      </c>
      <c r="C10" s="2">
        <v>23821</v>
      </c>
      <c r="D10" t="s">
        <v>1743</v>
      </c>
      <c r="F10" t="str">
        <f t="shared" si="0"/>
        <v>VILLEGAS DIAZ</v>
      </c>
      <c r="G10" t="str">
        <f t="shared" si="1"/>
        <v>VILLEGAS</v>
      </c>
      <c r="H10" t="str">
        <f t="shared" si="2"/>
        <v>DIAZ</v>
      </c>
      <c r="I10" t="str">
        <f t="shared" si="3"/>
        <v xml:space="preserve"> JUAN EDILBERTO</v>
      </c>
    </row>
    <row r="11" spans="1:9" x14ac:dyDescent="0.25">
      <c r="A11" t="s">
        <v>20</v>
      </c>
      <c r="B11" t="s">
        <v>21</v>
      </c>
      <c r="C11" s="2">
        <v>35096</v>
      </c>
      <c r="D11" t="s">
        <v>1743</v>
      </c>
      <c r="F11" t="str">
        <f t="shared" si="0"/>
        <v>ARELLANO GARCÍA</v>
      </c>
      <c r="G11" t="str">
        <f t="shared" si="1"/>
        <v>ARELLANO</v>
      </c>
      <c r="H11" t="str">
        <f t="shared" si="2"/>
        <v>GARCÍA</v>
      </c>
      <c r="I11" t="str">
        <f t="shared" si="3"/>
        <v xml:space="preserve"> FRANCISCO JAVIER</v>
      </c>
    </row>
    <row r="12" spans="1:9" x14ac:dyDescent="0.25">
      <c r="A12" t="s">
        <v>22</v>
      </c>
      <c r="B12" t="s">
        <v>23</v>
      </c>
      <c r="C12" s="2">
        <v>31889</v>
      </c>
      <c r="D12" t="s">
        <v>1743</v>
      </c>
      <c r="F12" t="str">
        <f t="shared" si="0"/>
        <v>YALTA GUADALUPE</v>
      </c>
      <c r="G12" t="str">
        <f t="shared" si="1"/>
        <v>YALTA</v>
      </c>
      <c r="H12" t="str">
        <f t="shared" si="2"/>
        <v>GUADALUPE</v>
      </c>
      <c r="I12" t="str">
        <f t="shared" si="3"/>
        <v xml:space="preserve"> JAIRO</v>
      </c>
    </row>
    <row r="13" spans="1:9" x14ac:dyDescent="0.25">
      <c r="A13" t="s">
        <v>24</v>
      </c>
      <c r="B13" t="s">
        <v>25</v>
      </c>
      <c r="C13" s="2">
        <v>31789</v>
      </c>
      <c r="D13" t="s">
        <v>1743</v>
      </c>
      <c r="F13" t="str">
        <f t="shared" si="0"/>
        <v>ESCOBAR PACHECO</v>
      </c>
      <c r="G13" t="str">
        <f t="shared" si="1"/>
        <v>ESCOBAR</v>
      </c>
      <c r="H13" t="str">
        <f t="shared" si="2"/>
        <v>PACHECO</v>
      </c>
      <c r="I13" t="str">
        <f t="shared" si="3"/>
        <v xml:space="preserve"> GIANFRANCO</v>
      </c>
    </row>
    <row r="14" spans="1:9" x14ac:dyDescent="0.25">
      <c r="A14" t="s">
        <v>26</v>
      </c>
      <c r="B14" t="s">
        <v>27</v>
      </c>
      <c r="C14" s="2">
        <v>33430</v>
      </c>
      <c r="D14" t="s">
        <v>1743</v>
      </c>
      <c r="F14" t="str">
        <f t="shared" si="0"/>
        <v>LOPEZ YAMPUFE</v>
      </c>
      <c r="G14" t="str">
        <f t="shared" si="1"/>
        <v>LOPEZ</v>
      </c>
      <c r="H14" t="str">
        <f t="shared" si="2"/>
        <v>YAMPUFE</v>
      </c>
      <c r="I14" t="str">
        <f t="shared" si="3"/>
        <v xml:space="preserve"> PABLO JESUS</v>
      </c>
    </row>
    <row r="15" spans="1:9" x14ac:dyDescent="0.25">
      <c r="A15" t="s">
        <v>28</v>
      </c>
      <c r="B15" t="s">
        <v>29</v>
      </c>
      <c r="C15" s="2">
        <v>30901</v>
      </c>
      <c r="D15" t="s">
        <v>1743</v>
      </c>
      <c r="F15" t="str">
        <f t="shared" si="0"/>
        <v>MOORE TTITO</v>
      </c>
      <c r="G15" t="str">
        <f t="shared" si="1"/>
        <v>MOORE</v>
      </c>
      <c r="H15" t="str">
        <f t="shared" si="2"/>
        <v>TTITO</v>
      </c>
      <c r="I15" t="str">
        <f t="shared" si="3"/>
        <v xml:space="preserve"> NINO</v>
      </c>
    </row>
    <row r="16" spans="1:9" x14ac:dyDescent="0.25">
      <c r="A16" t="s">
        <v>30</v>
      </c>
      <c r="B16" t="s">
        <v>31</v>
      </c>
      <c r="C16" s="2">
        <v>31099</v>
      </c>
      <c r="D16" t="s">
        <v>1743</v>
      </c>
      <c r="F16" t="str">
        <f t="shared" si="0"/>
        <v>MARISCAL RIVERA</v>
      </c>
      <c r="G16" t="str">
        <f t="shared" si="1"/>
        <v>MARISCAL</v>
      </c>
      <c r="H16" t="str">
        <f t="shared" si="2"/>
        <v>RIVERA</v>
      </c>
      <c r="I16" t="str">
        <f t="shared" si="3"/>
        <v xml:space="preserve"> MARIO VÍCTOR</v>
      </c>
    </row>
    <row r="17" spans="1:9" x14ac:dyDescent="0.25">
      <c r="A17" t="s">
        <v>32</v>
      </c>
      <c r="B17" t="s">
        <v>33</v>
      </c>
      <c r="C17" s="2">
        <v>31684</v>
      </c>
      <c r="D17" t="s">
        <v>1743</v>
      </c>
      <c r="F17" t="str">
        <f t="shared" si="0"/>
        <v>GONZALES MONTOYA</v>
      </c>
      <c r="G17" t="str">
        <f t="shared" si="1"/>
        <v>GONZALES</v>
      </c>
      <c r="H17" t="str">
        <f t="shared" si="2"/>
        <v>MONTOYA</v>
      </c>
      <c r="I17" t="str">
        <f t="shared" si="3"/>
        <v xml:space="preserve"> NESTOR EAIDAN</v>
      </c>
    </row>
    <row r="18" spans="1:9" x14ac:dyDescent="0.25">
      <c r="A18" t="s">
        <v>34</v>
      </c>
      <c r="B18" t="s">
        <v>35</v>
      </c>
      <c r="C18" s="2">
        <v>27497</v>
      </c>
      <c r="D18" t="s">
        <v>1743</v>
      </c>
      <c r="F18" t="str">
        <f t="shared" si="0"/>
        <v>PALOMINO CALCINA</v>
      </c>
      <c r="G18" t="str">
        <f t="shared" si="1"/>
        <v>PALOMINO</v>
      </c>
      <c r="H18" t="str">
        <f t="shared" si="2"/>
        <v>CALCINA</v>
      </c>
      <c r="I18" t="str">
        <f t="shared" si="3"/>
        <v xml:space="preserve"> MARCOS FELIX</v>
      </c>
    </row>
    <row r="19" spans="1:9" x14ac:dyDescent="0.25">
      <c r="A19" t="s">
        <v>36</v>
      </c>
      <c r="B19" t="s">
        <v>37</v>
      </c>
      <c r="C19" s="2">
        <v>33479</v>
      </c>
      <c r="D19" t="s">
        <v>1743</v>
      </c>
      <c r="F19" t="str">
        <f t="shared" si="0"/>
        <v>ORMEÑO ARGUMEDO</v>
      </c>
      <c r="G19" t="str">
        <f t="shared" si="1"/>
        <v>ORMEÑO</v>
      </c>
      <c r="H19" t="str">
        <f t="shared" si="2"/>
        <v>ARGUMEDO</v>
      </c>
      <c r="I19" t="str">
        <f t="shared" si="3"/>
        <v xml:space="preserve"> RICHARD JAVIER</v>
      </c>
    </row>
    <row r="20" spans="1:9" x14ac:dyDescent="0.25">
      <c r="A20" t="s">
        <v>38</v>
      </c>
      <c r="B20" t="s">
        <v>39</v>
      </c>
      <c r="C20" s="2">
        <v>31653</v>
      </c>
      <c r="D20" t="s">
        <v>1743</v>
      </c>
      <c r="F20" t="str">
        <f t="shared" si="0"/>
        <v>AGUILAR SANTILLAN</v>
      </c>
      <c r="G20" t="str">
        <f t="shared" si="1"/>
        <v>AGUILAR</v>
      </c>
      <c r="H20" t="str">
        <f t="shared" si="2"/>
        <v>SANTILLAN</v>
      </c>
      <c r="I20" t="str">
        <f t="shared" si="3"/>
        <v xml:space="preserve"> EBER</v>
      </c>
    </row>
    <row r="21" spans="1:9" x14ac:dyDescent="0.25">
      <c r="A21" t="s">
        <v>40</v>
      </c>
      <c r="B21" t="s">
        <v>41</v>
      </c>
      <c r="C21" s="2">
        <v>33017</v>
      </c>
      <c r="D21" t="s">
        <v>1743</v>
      </c>
      <c r="F21" t="str">
        <f t="shared" si="0"/>
        <v>DIAZ FERNANDEZ</v>
      </c>
      <c r="G21" t="str">
        <f t="shared" si="1"/>
        <v>DIAZ</v>
      </c>
      <c r="H21" t="str">
        <f t="shared" si="2"/>
        <v>FERNANDEZ</v>
      </c>
      <c r="I21" t="str">
        <f t="shared" si="3"/>
        <v xml:space="preserve"> NORMAN</v>
      </c>
    </row>
    <row r="22" spans="1:9" x14ac:dyDescent="0.25">
      <c r="A22" t="s">
        <v>42</v>
      </c>
      <c r="B22" t="s">
        <v>43</v>
      </c>
      <c r="C22" s="2">
        <v>32183</v>
      </c>
      <c r="D22" t="s">
        <v>1743</v>
      </c>
      <c r="F22" t="str">
        <f t="shared" si="0"/>
        <v>HORNA ABANTO</v>
      </c>
      <c r="G22" t="str">
        <f t="shared" si="1"/>
        <v>HORNA</v>
      </c>
      <c r="H22" t="str">
        <f t="shared" si="2"/>
        <v>ABANTO</v>
      </c>
      <c r="I22" t="str">
        <f t="shared" si="3"/>
        <v xml:space="preserve"> ORLANDO</v>
      </c>
    </row>
    <row r="23" spans="1:9" x14ac:dyDescent="0.25">
      <c r="A23" t="s">
        <v>44</v>
      </c>
      <c r="B23" t="s">
        <v>45</v>
      </c>
      <c r="C23" s="2">
        <v>30913</v>
      </c>
      <c r="D23" t="s">
        <v>1743</v>
      </c>
      <c r="F23" t="str">
        <f t="shared" si="0"/>
        <v>MICHELINI PACORA</v>
      </c>
      <c r="G23" t="str">
        <f t="shared" si="1"/>
        <v>MICHELINI</v>
      </c>
      <c r="H23" t="str">
        <f t="shared" si="2"/>
        <v>PACORA</v>
      </c>
      <c r="I23" t="str">
        <f t="shared" si="3"/>
        <v xml:space="preserve"> ALDO</v>
      </c>
    </row>
    <row r="24" spans="1:9" x14ac:dyDescent="0.25">
      <c r="A24" t="s">
        <v>46</v>
      </c>
      <c r="B24" t="s">
        <v>47</v>
      </c>
      <c r="C24" s="2">
        <v>33074</v>
      </c>
      <c r="D24" t="s">
        <v>1743</v>
      </c>
      <c r="F24" t="str">
        <f t="shared" si="0"/>
        <v>TAVARA ARANIBAR</v>
      </c>
      <c r="G24" t="str">
        <f t="shared" si="1"/>
        <v>TAVARA</v>
      </c>
      <c r="H24" t="str">
        <f t="shared" si="2"/>
        <v>ARANIBAR</v>
      </c>
      <c r="I24" t="str">
        <f t="shared" si="3"/>
        <v xml:space="preserve"> GONZALO</v>
      </c>
    </row>
    <row r="25" spans="1:9" x14ac:dyDescent="0.25">
      <c r="A25" t="s">
        <v>48</v>
      </c>
      <c r="B25" t="s">
        <v>49</v>
      </c>
      <c r="C25" s="2">
        <v>28822</v>
      </c>
      <c r="D25" t="s">
        <v>1743</v>
      </c>
      <c r="F25" t="str">
        <f t="shared" si="0"/>
        <v>CHIQUILLAN CCEÑUA</v>
      </c>
      <c r="G25" t="str">
        <f t="shared" si="1"/>
        <v>CHIQUILLAN</v>
      </c>
      <c r="H25" t="str">
        <f t="shared" si="2"/>
        <v>CCEÑUA</v>
      </c>
      <c r="I25" t="str">
        <f t="shared" si="3"/>
        <v xml:space="preserve"> ESTEBAN SANTIAGO</v>
      </c>
    </row>
    <row r="26" spans="1:9" x14ac:dyDescent="0.25">
      <c r="A26" t="s">
        <v>50</v>
      </c>
      <c r="B26" t="s">
        <v>51</v>
      </c>
      <c r="C26" s="2">
        <v>26572</v>
      </c>
      <c r="D26" t="s">
        <v>1743</v>
      </c>
      <c r="F26" t="str">
        <f t="shared" si="0"/>
        <v>ROJAS LAURENTE</v>
      </c>
      <c r="G26" t="str">
        <f t="shared" si="1"/>
        <v>ROJAS</v>
      </c>
      <c r="H26" t="str">
        <f t="shared" si="2"/>
        <v>LAURENTE</v>
      </c>
      <c r="I26" t="str">
        <f t="shared" si="3"/>
        <v xml:space="preserve"> FERMIN</v>
      </c>
    </row>
    <row r="27" spans="1:9" x14ac:dyDescent="0.25">
      <c r="A27" t="s">
        <v>52</v>
      </c>
      <c r="B27" t="s">
        <v>53</v>
      </c>
      <c r="C27" s="2">
        <v>30699</v>
      </c>
      <c r="D27" t="s">
        <v>1743</v>
      </c>
      <c r="F27" t="str">
        <f t="shared" si="0"/>
        <v>SEVERINO SUAREZ</v>
      </c>
      <c r="G27" t="str">
        <f t="shared" si="1"/>
        <v>SEVERINO</v>
      </c>
      <c r="H27" t="str">
        <f t="shared" si="2"/>
        <v>SUAREZ</v>
      </c>
      <c r="I27" t="str">
        <f t="shared" si="3"/>
        <v xml:space="preserve"> FERNANDO</v>
      </c>
    </row>
    <row r="28" spans="1:9" x14ac:dyDescent="0.25">
      <c r="A28" t="s">
        <v>54</v>
      </c>
      <c r="B28" t="s">
        <v>55</v>
      </c>
      <c r="C28" s="2">
        <v>34479</v>
      </c>
      <c r="D28" t="s">
        <v>1743</v>
      </c>
      <c r="F28" t="str">
        <f t="shared" si="0"/>
        <v>MIRANDA LIÑAN</v>
      </c>
      <c r="G28" t="str">
        <f t="shared" si="1"/>
        <v>MIRANDA</v>
      </c>
      <c r="H28" t="str">
        <f t="shared" si="2"/>
        <v>LIÑAN</v>
      </c>
      <c r="I28" t="str">
        <f t="shared" si="3"/>
        <v xml:space="preserve"> IVAN</v>
      </c>
    </row>
    <row r="29" spans="1:9" x14ac:dyDescent="0.25">
      <c r="A29" t="s">
        <v>56</v>
      </c>
      <c r="B29" t="s">
        <v>57</v>
      </c>
      <c r="C29" s="2">
        <v>34777</v>
      </c>
      <c r="D29" t="s">
        <v>1743</v>
      </c>
      <c r="F29" t="str">
        <f t="shared" si="0"/>
        <v>FERNÁNDEZ GUEVARA</v>
      </c>
      <c r="G29" t="str">
        <f t="shared" si="1"/>
        <v>FERNÁNDEZ</v>
      </c>
      <c r="H29" t="str">
        <f t="shared" si="2"/>
        <v>GUEVARA</v>
      </c>
      <c r="I29" t="str">
        <f t="shared" si="3"/>
        <v xml:space="preserve"> JOSE ALEXANDER</v>
      </c>
    </row>
    <row r="30" spans="1:9" x14ac:dyDescent="0.25">
      <c r="A30" t="s">
        <v>58</v>
      </c>
      <c r="B30" t="s">
        <v>59</v>
      </c>
      <c r="C30" s="2">
        <v>32050</v>
      </c>
      <c r="D30" t="s">
        <v>1743</v>
      </c>
      <c r="F30" t="str">
        <f t="shared" si="0"/>
        <v>GUTIERREZ LOPEZ</v>
      </c>
      <c r="G30" t="str">
        <f t="shared" si="1"/>
        <v>GUTIERREZ</v>
      </c>
      <c r="H30" t="str">
        <f t="shared" si="2"/>
        <v>LOPEZ</v>
      </c>
      <c r="I30" t="str">
        <f t="shared" si="3"/>
        <v xml:space="preserve"> LUIS ANTONIO</v>
      </c>
    </row>
    <row r="31" spans="1:9" x14ac:dyDescent="0.25">
      <c r="A31" t="s">
        <v>60</v>
      </c>
      <c r="B31" t="s">
        <v>61</v>
      </c>
      <c r="C31" s="2">
        <v>32185</v>
      </c>
      <c r="D31" t="s">
        <v>1743</v>
      </c>
      <c r="F31" t="str">
        <f t="shared" si="0"/>
        <v>PACHECO MOHANNA</v>
      </c>
      <c r="G31" t="str">
        <f t="shared" si="1"/>
        <v>PACHECO</v>
      </c>
      <c r="H31" t="str">
        <f t="shared" si="2"/>
        <v>MOHANNA</v>
      </c>
      <c r="I31" t="str">
        <f t="shared" si="3"/>
        <v xml:space="preserve"> DAVID</v>
      </c>
    </row>
    <row r="32" spans="1:9" x14ac:dyDescent="0.25">
      <c r="A32" t="s">
        <v>62</v>
      </c>
      <c r="B32" t="s">
        <v>63</v>
      </c>
      <c r="C32" s="2">
        <v>31424</v>
      </c>
      <c r="D32" t="s">
        <v>1743</v>
      </c>
      <c r="F32" t="str">
        <f t="shared" si="0"/>
        <v>GARCIA QUISPE</v>
      </c>
      <c r="G32" t="str">
        <f t="shared" si="1"/>
        <v>GARCIA</v>
      </c>
      <c r="H32" t="str">
        <f t="shared" si="2"/>
        <v>QUISPE</v>
      </c>
      <c r="I32" t="str">
        <f t="shared" si="3"/>
        <v xml:space="preserve"> RONALD REYNALDO</v>
      </c>
    </row>
    <row r="33" spans="1:9" x14ac:dyDescent="0.25">
      <c r="A33" t="s">
        <v>64</v>
      </c>
      <c r="B33" t="s">
        <v>65</v>
      </c>
      <c r="C33" s="2">
        <v>31308</v>
      </c>
      <c r="D33" t="s">
        <v>1743</v>
      </c>
      <c r="F33" t="str">
        <f t="shared" si="0"/>
        <v>BARTUREN DUQUE</v>
      </c>
      <c r="G33" t="str">
        <f t="shared" si="1"/>
        <v>BARTUREN</v>
      </c>
      <c r="H33" t="str">
        <f t="shared" si="2"/>
        <v>DUQUE</v>
      </c>
      <c r="I33" t="str">
        <f t="shared" si="3"/>
        <v xml:space="preserve"> CESAR JAVIER</v>
      </c>
    </row>
    <row r="34" spans="1:9" x14ac:dyDescent="0.25">
      <c r="A34" t="s">
        <v>66</v>
      </c>
      <c r="B34" t="s">
        <v>67</v>
      </c>
      <c r="D34" t="s">
        <v>1743</v>
      </c>
      <c r="F34" t="str">
        <f t="shared" si="0"/>
        <v>VADILLO FLORES</v>
      </c>
      <c r="G34" t="str">
        <f t="shared" si="1"/>
        <v>VADILLO</v>
      </c>
      <c r="H34" t="str">
        <f t="shared" si="2"/>
        <v>FLORES</v>
      </c>
      <c r="I34" t="str">
        <f t="shared" si="3"/>
        <v xml:space="preserve"> PABLO ALBERTO</v>
      </c>
    </row>
    <row r="35" spans="1:9" x14ac:dyDescent="0.25">
      <c r="A35" t="s">
        <v>68</v>
      </c>
      <c r="B35" t="s">
        <v>69</v>
      </c>
      <c r="D35" t="s">
        <v>1743</v>
      </c>
      <c r="F35" t="str">
        <f t="shared" si="0"/>
        <v>GUZMAN SANCHEZ</v>
      </c>
      <c r="G35" t="str">
        <f t="shared" si="1"/>
        <v>GUZMAN</v>
      </c>
      <c r="H35" t="str">
        <f t="shared" si="2"/>
        <v>SANCHEZ</v>
      </c>
      <c r="I35" t="str">
        <f t="shared" si="3"/>
        <v xml:space="preserve"> ALEX NOBEL</v>
      </c>
    </row>
    <row r="36" spans="1:9" x14ac:dyDescent="0.25">
      <c r="A36" t="s">
        <v>70</v>
      </c>
      <c r="B36" t="s">
        <v>71</v>
      </c>
      <c r="C36" s="2">
        <v>30031</v>
      </c>
      <c r="D36" t="s">
        <v>1743</v>
      </c>
      <c r="F36" t="str">
        <f t="shared" si="0"/>
        <v>HUAMANI CHAPARRO</v>
      </c>
      <c r="G36" t="str">
        <f t="shared" si="1"/>
        <v>HUAMANI</v>
      </c>
      <c r="H36" t="str">
        <f t="shared" si="2"/>
        <v>CHAPARRO</v>
      </c>
      <c r="I36" t="str">
        <f t="shared" si="3"/>
        <v xml:space="preserve"> NIWTON</v>
      </c>
    </row>
    <row r="37" spans="1:9" x14ac:dyDescent="0.25">
      <c r="A37" t="s">
        <v>72</v>
      </c>
      <c r="B37" t="s">
        <v>73</v>
      </c>
      <c r="C37" s="2">
        <v>32340</v>
      </c>
      <c r="D37" t="s">
        <v>1743</v>
      </c>
      <c r="F37" t="str">
        <f t="shared" si="0"/>
        <v>CASTRO LAZO</v>
      </c>
      <c r="G37" t="str">
        <f t="shared" si="1"/>
        <v>CASTRO</v>
      </c>
      <c r="H37" t="str">
        <f t="shared" si="2"/>
        <v>LAZO</v>
      </c>
      <c r="I37" t="str">
        <f t="shared" si="3"/>
        <v xml:space="preserve"> WILBERTH</v>
      </c>
    </row>
    <row r="38" spans="1:9" x14ac:dyDescent="0.25">
      <c r="A38" t="s">
        <v>74</v>
      </c>
      <c r="B38" t="s">
        <v>75</v>
      </c>
      <c r="C38" s="2">
        <v>33182</v>
      </c>
      <c r="D38" t="s">
        <v>1743</v>
      </c>
      <c r="F38" t="str">
        <f t="shared" si="0"/>
        <v>CONDORI ANDAGUA</v>
      </c>
      <c r="G38" t="str">
        <f t="shared" si="1"/>
        <v>CONDORI</v>
      </c>
      <c r="H38" t="str">
        <f t="shared" si="2"/>
        <v>ANDAGUA</v>
      </c>
      <c r="I38" t="str">
        <f t="shared" si="3"/>
        <v xml:space="preserve"> MARIO FERNANDO</v>
      </c>
    </row>
    <row r="39" spans="1:9" x14ac:dyDescent="0.25">
      <c r="A39" t="s">
        <v>76</v>
      </c>
      <c r="B39" t="s">
        <v>77</v>
      </c>
      <c r="C39" s="2">
        <v>32058</v>
      </c>
      <c r="D39" t="s">
        <v>1743</v>
      </c>
      <c r="F39" t="str">
        <f t="shared" si="0"/>
        <v>HILARIO ZAMORA</v>
      </c>
      <c r="G39" t="str">
        <f t="shared" si="1"/>
        <v>HILARIO</v>
      </c>
      <c r="H39" t="str">
        <f t="shared" si="2"/>
        <v>ZAMORA</v>
      </c>
      <c r="I39" t="str">
        <f t="shared" si="3"/>
        <v xml:space="preserve"> JAIME NICOLAS</v>
      </c>
    </row>
    <row r="40" spans="1:9" x14ac:dyDescent="0.25">
      <c r="A40" t="s">
        <v>78</v>
      </c>
      <c r="B40" t="s">
        <v>79</v>
      </c>
      <c r="C40" s="2">
        <v>32444</v>
      </c>
      <c r="D40" t="s">
        <v>1743</v>
      </c>
      <c r="F40" t="str">
        <f t="shared" si="0"/>
        <v>RODRIGUEZ ORTIZ</v>
      </c>
      <c r="G40" t="str">
        <f t="shared" si="1"/>
        <v>RODRIGUEZ</v>
      </c>
      <c r="H40" t="str">
        <f t="shared" si="2"/>
        <v>ORTIZ</v>
      </c>
      <c r="I40" t="str">
        <f t="shared" si="3"/>
        <v xml:space="preserve"> RODOMIRO ENRIQUE</v>
      </c>
    </row>
    <row r="41" spans="1:9" x14ac:dyDescent="0.25">
      <c r="A41" t="s">
        <v>80</v>
      </c>
      <c r="B41" t="s">
        <v>81</v>
      </c>
      <c r="C41" s="2">
        <v>33419</v>
      </c>
      <c r="D41" t="s">
        <v>1744</v>
      </c>
      <c r="F41" t="str">
        <f t="shared" si="0"/>
        <v>SUAREZ MEZA</v>
      </c>
      <c r="G41" t="str">
        <f t="shared" si="1"/>
        <v>SUAREZ</v>
      </c>
      <c r="H41" t="str">
        <f t="shared" si="2"/>
        <v>MEZA</v>
      </c>
      <c r="I41" t="str">
        <f t="shared" si="3"/>
        <v xml:space="preserve"> MIRELLA PATRICIA</v>
      </c>
    </row>
    <row r="42" spans="1:9" x14ac:dyDescent="0.25">
      <c r="A42" t="s">
        <v>82</v>
      </c>
      <c r="B42" t="s">
        <v>83</v>
      </c>
      <c r="C42" s="2">
        <v>31884</v>
      </c>
      <c r="D42" t="s">
        <v>1743</v>
      </c>
      <c r="F42" t="str">
        <f t="shared" si="0"/>
        <v>QUISPE ARTICA</v>
      </c>
      <c r="G42" t="str">
        <f t="shared" si="1"/>
        <v>QUISPE</v>
      </c>
      <c r="H42" t="str">
        <f t="shared" si="2"/>
        <v>ARTICA</v>
      </c>
      <c r="I42" t="str">
        <f t="shared" si="3"/>
        <v xml:space="preserve"> LUIS MAXIMO</v>
      </c>
    </row>
    <row r="43" spans="1:9" x14ac:dyDescent="0.25">
      <c r="A43" t="s">
        <v>84</v>
      </c>
      <c r="B43" t="s">
        <v>85</v>
      </c>
      <c r="C43" s="2">
        <v>32961</v>
      </c>
      <c r="D43" t="s">
        <v>1743</v>
      </c>
      <c r="F43" t="str">
        <f t="shared" si="0"/>
        <v>NORES OCHOA</v>
      </c>
      <c r="G43" t="str">
        <f t="shared" si="1"/>
        <v>NORES</v>
      </c>
      <c r="H43" t="str">
        <f t="shared" si="2"/>
        <v>OCHOA</v>
      </c>
      <c r="I43" t="str">
        <f t="shared" si="3"/>
        <v xml:space="preserve"> CRISTHIAN OSMAR</v>
      </c>
    </row>
    <row r="44" spans="1:9" x14ac:dyDescent="0.25">
      <c r="A44" t="s">
        <v>86</v>
      </c>
      <c r="B44" t="s">
        <v>87</v>
      </c>
      <c r="C44" s="2">
        <v>32255</v>
      </c>
      <c r="D44" t="s">
        <v>1743</v>
      </c>
      <c r="F44" t="str">
        <f t="shared" si="0"/>
        <v>ZAFRA GUEVARA</v>
      </c>
      <c r="G44" t="str">
        <f t="shared" si="1"/>
        <v>ZAFRA</v>
      </c>
      <c r="H44" t="str">
        <f t="shared" si="2"/>
        <v>GUEVARA</v>
      </c>
      <c r="I44" t="str">
        <f t="shared" si="3"/>
        <v xml:space="preserve"> EDUAR</v>
      </c>
    </row>
    <row r="45" spans="1:9" x14ac:dyDescent="0.25">
      <c r="A45" t="s">
        <v>88</v>
      </c>
      <c r="B45" t="s">
        <v>89</v>
      </c>
      <c r="D45" t="s">
        <v>1744</v>
      </c>
      <c r="F45" t="str">
        <f t="shared" si="0"/>
        <v>DOMINGUEZ AYMA</v>
      </c>
      <c r="G45" t="str">
        <f t="shared" si="1"/>
        <v>DOMINGUEZ</v>
      </c>
      <c r="H45" t="str">
        <f t="shared" si="2"/>
        <v>AYMA</v>
      </c>
      <c r="I45" t="str">
        <f t="shared" si="3"/>
        <v xml:space="preserve"> JENNIFER</v>
      </c>
    </row>
    <row r="46" spans="1:9" x14ac:dyDescent="0.25">
      <c r="A46" t="s">
        <v>90</v>
      </c>
      <c r="B46" t="s">
        <v>91</v>
      </c>
      <c r="D46" t="s">
        <v>1743</v>
      </c>
      <c r="F46" t="str">
        <f t="shared" si="0"/>
        <v>VILLAR MENDOZA</v>
      </c>
      <c r="G46" t="str">
        <f t="shared" si="1"/>
        <v>VILLAR</v>
      </c>
      <c r="H46" t="str">
        <f t="shared" si="2"/>
        <v>MENDOZA</v>
      </c>
      <c r="I46" t="str">
        <f t="shared" si="3"/>
        <v xml:space="preserve"> VICTOR MANUEL</v>
      </c>
    </row>
    <row r="47" spans="1:9" x14ac:dyDescent="0.25">
      <c r="A47" t="s">
        <v>92</v>
      </c>
      <c r="B47" t="s">
        <v>93</v>
      </c>
      <c r="D47" t="s">
        <v>1743</v>
      </c>
      <c r="F47" t="str">
        <f t="shared" si="0"/>
        <v>RENGIFO REVILLA</v>
      </c>
      <c r="G47" t="str">
        <f t="shared" si="1"/>
        <v>RENGIFO</v>
      </c>
      <c r="H47" t="str">
        <f t="shared" si="2"/>
        <v>REVILLA</v>
      </c>
      <c r="I47" t="str">
        <f t="shared" si="3"/>
        <v xml:space="preserve"> JOSE LUIS</v>
      </c>
    </row>
    <row r="48" spans="1:9" x14ac:dyDescent="0.25">
      <c r="A48" t="s">
        <v>94</v>
      </c>
      <c r="B48" t="s">
        <v>95</v>
      </c>
      <c r="C48" s="2">
        <v>31014</v>
      </c>
      <c r="D48" t="s">
        <v>1743</v>
      </c>
      <c r="F48" t="str">
        <f t="shared" si="0"/>
        <v>VELASQUEZ CHACALTANA</v>
      </c>
      <c r="G48" t="str">
        <f t="shared" si="1"/>
        <v>VELASQUEZ</v>
      </c>
      <c r="H48" t="str">
        <f t="shared" si="2"/>
        <v>CHACALTANA</v>
      </c>
      <c r="I48" t="str">
        <f t="shared" si="3"/>
        <v xml:space="preserve"> JESUS MANUEL</v>
      </c>
    </row>
    <row r="49" spans="1:9" x14ac:dyDescent="0.25">
      <c r="A49" t="s">
        <v>96</v>
      </c>
      <c r="B49" t="s">
        <v>97</v>
      </c>
      <c r="C49" s="2">
        <v>33723</v>
      </c>
      <c r="D49" t="s">
        <v>1743</v>
      </c>
      <c r="F49" t="str">
        <f t="shared" si="0"/>
        <v>RAMIREZ RODRIGUEZ</v>
      </c>
      <c r="G49" t="str">
        <f t="shared" si="1"/>
        <v>RAMIREZ</v>
      </c>
      <c r="H49" t="str">
        <f t="shared" si="2"/>
        <v>RODRIGUEZ</v>
      </c>
      <c r="I49" t="str">
        <f t="shared" si="3"/>
        <v xml:space="preserve"> JIMMY JOEL</v>
      </c>
    </row>
    <row r="50" spans="1:9" x14ac:dyDescent="0.25">
      <c r="A50" t="s">
        <v>98</v>
      </c>
      <c r="B50" t="s">
        <v>99</v>
      </c>
      <c r="C50" s="2">
        <v>32579</v>
      </c>
      <c r="D50" t="s">
        <v>1743</v>
      </c>
      <c r="F50" t="str">
        <f t="shared" si="0"/>
        <v>PLAZA OJEDA</v>
      </c>
      <c r="G50" t="str">
        <f t="shared" si="1"/>
        <v>PLAZA</v>
      </c>
      <c r="H50" t="str">
        <f t="shared" si="2"/>
        <v>OJEDA</v>
      </c>
      <c r="I50" t="str">
        <f t="shared" si="3"/>
        <v xml:space="preserve"> MICHAEL HAMLET</v>
      </c>
    </row>
    <row r="51" spans="1:9" x14ac:dyDescent="0.25">
      <c r="A51" t="s">
        <v>100</v>
      </c>
      <c r="B51" t="s">
        <v>101</v>
      </c>
      <c r="C51" s="2">
        <v>31787</v>
      </c>
      <c r="D51" t="s">
        <v>1743</v>
      </c>
      <c r="F51" t="str">
        <f t="shared" si="0"/>
        <v>CAMERO MEJIA</v>
      </c>
      <c r="G51" t="str">
        <f t="shared" si="1"/>
        <v>CAMERO</v>
      </c>
      <c r="H51" t="str">
        <f t="shared" si="2"/>
        <v>MEJIA</v>
      </c>
      <c r="I51" t="str">
        <f t="shared" si="3"/>
        <v xml:space="preserve"> OSWALDO ANTONIO</v>
      </c>
    </row>
    <row r="52" spans="1:9" x14ac:dyDescent="0.25">
      <c r="A52" t="s">
        <v>102</v>
      </c>
      <c r="B52" t="s">
        <v>103</v>
      </c>
      <c r="C52" s="2">
        <v>32993</v>
      </c>
      <c r="D52" t="s">
        <v>1743</v>
      </c>
      <c r="F52" t="str">
        <f t="shared" si="0"/>
        <v>VILLANUEVA TAIRO</v>
      </c>
      <c r="G52" t="str">
        <f t="shared" si="1"/>
        <v>VILLANUEVA</v>
      </c>
      <c r="H52" t="str">
        <f t="shared" si="2"/>
        <v>TAIRO</v>
      </c>
      <c r="I52" t="str">
        <f t="shared" si="3"/>
        <v xml:space="preserve"> ALIRIO</v>
      </c>
    </row>
    <row r="53" spans="1:9" x14ac:dyDescent="0.25">
      <c r="A53" t="s">
        <v>104</v>
      </c>
      <c r="B53" t="s">
        <v>105</v>
      </c>
      <c r="C53" s="2">
        <v>27701</v>
      </c>
      <c r="D53" t="s">
        <v>1743</v>
      </c>
      <c r="F53" t="str">
        <f t="shared" si="0"/>
        <v>LAZARO GOICOCHEA</v>
      </c>
      <c r="G53" t="str">
        <f t="shared" si="1"/>
        <v>LAZARO</v>
      </c>
      <c r="H53" t="str">
        <f t="shared" si="2"/>
        <v>GOICOCHEA</v>
      </c>
      <c r="I53" t="str">
        <f t="shared" si="3"/>
        <v xml:space="preserve"> ALVARO ALIPIO</v>
      </c>
    </row>
    <row r="54" spans="1:9" x14ac:dyDescent="0.25">
      <c r="A54" t="s">
        <v>106</v>
      </c>
      <c r="B54" t="s">
        <v>107</v>
      </c>
      <c r="D54" t="s">
        <v>1743</v>
      </c>
      <c r="F54" t="str">
        <f t="shared" si="0"/>
        <v>ORTIZ RIOS</v>
      </c>
      <c r="G54" t="str">
        <f t="shared" si="1"/>
        <v>ORTIZ</v>
      </c>
      <c r="H54" t="str">
        <f t="shared" si="2"/>
        <v>RIOS</v>
      </c>
      <c r="I54" t="str">
        <f t="shared" si="3"/>
        <v xml:space="preserve"> CARLO FRANCO</v>
      </c>
    </row>
    <row r="55" spans="1:9" x14ac:dyDescent="0.25">
      <c r="A55" t="s">
        <v>108</v>
      </c>
      <c r="B55" t="s">
        <v>109</v>
      </c>
      <c r="C55" s="2">
        <v>35511</v>
      </c>
      <c r="D55" t="s">
        <v>1743</v>
      </c>
      <c r="F55" t="str">
        <f t="shared" si="0"/>
        <v>ALEJO ACERO</v>
      </c>
      <c r="G55" t="str">
        <f t="shared" si="1"/>
        <v>ALEJO</v>
      </c>
      <c r="H55" t="str">
        <f t="shared" si="2"/>
        <v>ACERO</v>
      </c>
      <c r="I55" t="str">
        <f t="shared" si="3"/>
        <v xml:space="preserve"> HAROLD</v>
      </c>
    </row>
    <row r="56" spans="1:9" x14ac:dyDescent="0.25">
      <c r="A56" t="s">
        <v>110</v>
      </c>
      <c r="B56" t="s">
        <v>111</v>
      </c>
      <c r="D56" t="s">
        <v>1743</v>
      </c>
      <c r="F56" t="str">
        <f t="shared" si="0"/>
        <v>DE LA PIEDRA RAMOS</v>
      </c>
      <c r="G56" t="str">
        <f t="shared" si="1"/>
        <v>DE</v>
      </c>
      <c r="H56" t="str">
        <f t="shared" si="2"/>
        <v>LA PIEDRA RAMOS</v>
      </c>
      <c r="I56" t="str">
        <f t="shared" si="3"/>
        <v xml:space="preserve"> PATRICIO AUGUSTO</v>
      </c>
    </row>
    <row r="57" spans="1:9" x14ac:dyDescent="0.25">
      <c r="A57" t="s">
        <v>112</v>
      </c>
      <c r="B57" t="s">
        <v>113</v>
      </c>
      <c r="C57" s="2">
        <v>31716</v>
      </c>
      <c r="D57" t="s">
        <v>1743</v>
      </c>
      <c r="F57" t="str">
        <f t="shared" si="0"/>
        <v>DIANDERAS RAMIREZ</v>
      </c>
      <c r="G57" t="str">
        <f t="shared" si="1"/>
        <v>DIANDERAS</v>
      </c>
      <c r="H57" t="str">
        <f t="shared" si="2"/>
        <v>RAMIREZ</v>
      </c>
      <c r="I57" t="str">
        <f t="shared" si="3"/>
        <v xml:space="preserve"> JOSETH JONATHAN</v>
      </c>
    </row>
    <row r="58" spans="1:9" x14ac:dyDescent="0.25">
      <c r="A58" t="s">
        <v>114</v>
      </c>
      <c r="B58" t="s">
        <v>115</v>
      </c>
      <c r="C58" s="2">
        <v>32419</v>
      </c>
      <c r="D58" t="s">
        <v>1743</v>
      </c>
      <c r="F58" t="str">
        <f t="shared" si="0"/>
        <v>CALERO LOPEZ</v>
      </c>
      <c r="G58" t="str">
        <f t="shared" si="1"/>
        <v>CALERO</v>
      </c>
      <c r="H58" t="str">
        <f t="shared" si="2"/>
        <v>LOPEZ</v>
      </c>
      <c r="I58" t="str">
        <f t="shared" si="3"/>
        <v xml:space="preserve"> EULALIO</v>
      </c>
    </row>
    <row r="59" spans="1:9" x14ac:dyDescent="0.25">
      <c r="A59" t="s">
        <v>116</v>
      </c>
      <c r="B59" t="s">
        <v>3517</v>
      </c>
      <c r="D59" t="s">
        <v>1743</v>
      </c>
      <c r="F59" t="str">
        <f t="shared" si="0"/>
        <v>QUIJAITE GRANADOS</v>
      </c>
      <c r="G59" t="str">
        <f t="shared" si="1"/>
        <v>QUIJAITE</v>
      </c>
      <c r="H59" t="str">
        <f t="shared" si="2"/>
        <v>GRANADOS</v>
      </c>
      <c r="I59" t="str">
        <f t="shared" si="3"/>
        <v xml:space="preserve"> FRANKLIN YAN</v>
      </c>
    </row>
    <row r="60" spans="1:9" x14ac:dyDescent="0.25">
      <c r="A60" t="s">
        <v>117</v>
      </c>
      <c r="B60" t="s">
        <v>118</v>
      </c>
      <c r="C60" s="2">
        <v>32374</v>
      </c>
      <c r="D60" t="s">
        <v>1743</v>
      </c>
      <c r="F60" t="str">
        <f t="shared" si="0"/>
        <v>CCORAHUA ARIAS</v>
      </c>
      <c r="G60" t="str">
        <f t="shared" si="1"/>
        <v>CCORAHUA</v>
      </c>
      <c r="H60" t="str">
        <f t="shared" si="2"/>
        <v>ARIAS</v>
      </c>
      <c r="I60" t="str">
        <f t="shared" si="3"/>
        <v xml:space="preserve"> HENRY ERICSSON</v>
      </c>
    </row>
    <row r="61" spans="1:9" x14ac:dyDescent="0.25">
      <c r="A61" t="s">
        <v>119</v>
      </c>
      <c r="B61" t="s">
        <v>3518</v>
      </c>
      <c r="D61" t="s">
        <v>1743</v>
      </c>
      <c r="F61" t="str">
        <f t="shared" si="0"/>
        <v>TORREJON GUTIERREZ</v>
      </c>
      <c r="G61" t="str">
        <f t="shared" si="1"/>
        <v>TORREJON</v>
      </c>
      <c r="H61" t="str">
        <f t="shared" si="2"/>
        <v>GUTIERREZ</v>
      </c>
      <c r="I61" t="str">
        <f t="shared" si="3"/>
        <v xml:space="preserve"> JESUS HUMBERTO</v>
      </c>
    </row>
    <row r="62" spans="1:9" x14ac:dyDescent="0.25">
      <c r="A62" t="s">
        <v>120</v>
      </c>
      <c r="B62" t="s">
        <v>121</v>
      </c>
      <c r="C62" s="2">
        <v>32808</v>
      </c>
      <c r="D62" t="s">
        <v>1743</v>
      </c>
      <c r="F62" t="str">
        <f t="shared" si="0"/>
        <v>RAMOS MEZA</v>
      </c>
      <c r="G62" t="str">
        <f t="shared" si="1"/>
        <v>RAMOS</v>
      </c>
      <c r="H62" t="str">
        <f t="shared" si="2"/>
        <v>MEZA</v>
      </c>
      <c r="I62" t="str">
        <f t="shared" si="3"/>
        <v xml:space="preserve"> DIEGO ARMANDO</v>
      </c>
    </row>
    <row r="63" spans="1:9" x14ac:dyDescent="0.25">
      <c r="A63" t="s">
        <v>122</v>
      </c>
      <c r="B63" t="s">
        <v>123</v>
      </c>
      <c r="C63" s="2">
        <v>32200</v>
      </c>
      <c r="D63" t="s">
        <v>1743</v>
      </c>
      <c r="F63" t="str">
        <f t="shared" si="0"/>
        <v>GUTIERREZ CHUQUIJA</v>
      </c>
      <c r="G63" t="str">
        <f t="shared" si="1"/>
        <v>GUTIERREZ</v>
      </c>
      <c r="H63" t="str">
        <f t="shared" si="2"/>
        <v>CHUQUIJA</v>
      </c>
      <c r="I63" t="str">
        <f t="shared" si="3"/>
        <v xml:space="preserve"> ANTHONY MARTIN</v>
      </c>
    </row>
    <row r="64" spans="1:9" x14ac:dyDescent="0.25">
      <c r="A64" t="s">
        <v>124</v>
      </c>
      <c r="B64" t="s">
        <v>125</v>
      </c>
      <c r="C64" s="2">
        <v>31727</v>
      </c>
      <c r="D64" t="s">
        <v>1743</v>
      </c>
      <c r="F64" t="str">
        <f t="shared" si="0"/>
        <v>VARGAS CALERO</v>
      </c>
      <c r="G64" t="str">
        <f t="shared" si="1"/>
        <v>VARGAS</v>
      </c>
      <c r="H64" t="str">
        <f t="shared" si="2"/>
        <v>CALERO</v>
      </c>
      <c r="I64" t="str">
        <f t="shared" si="3"/>
        <v xml:space="preserve"> LUIS ALBERTO</v>
      </c>
    </row>
    <row r="65" spans="1:9" x14ac:dyDescent="0.25">
      <c r="A65" t="s">
        <v>126</v>
      </c>
      <c r="B65" t="s">
        <v>127</v>
      </c>
      <c r="C65" s="2">
        <v>34181</v>
      </c>
      <c r="D65" t="s">
        <v>1743</v>
      </c>
      <c r="F65" t="str">
        <f t="shared" si="0"/>
        <v>PAYANO CARHUAMACA</v>
      </c>
      <c r="G65" t="str">
        <f t="shared" si="1"/>
        <v>PAYANO</v>
      </c>
      <c r="H65" t="str">
        <f t="shared" si="2"/>
        <v>CARHUAMACA</v>
      </c>
      <c r="I65" t="str">
        <f t="shared" si="3"/>
        <v xml:space="preserve"> VLADIMIR</v>
      </c>
    </row>
    <row r="66" spans="1:9" x14ac:dyDescent="0.25">
      <c r="A66" t="s">
        <v>128</v>
      </c>
      <c r="B66" t="s">
        <v>129</v>
      </c>
      <c r="D66" t="s">
        <v>1743</v>
      </c>
      <c r="F66" t="str">
        <f t="shared" si="0"/>
        <v>GATICA MOZOMBITE</v>
      </c>
      <c r="G66" t="str">
        <f t="shared" si="1"/>
        <v>GATICA</v>
      </c>
      <c r="H66" t="str">
        <f t="shared" si="2"/>
        <v>MOZOMBITE</v>
      </c>
      <c r="I66" t="str">
        <f t="shared" si="3"/>
        <v xml:space="preserve"> JEFFERSON JUNIOR</v>
      </c>
    </row>
    <row r="67" spans="1:9" x14ac:dyDescent="0.25">
      <c r="A67" t="s">
        <v>130</v>
      </c>
      <c r="B67" t="s">
        <v>131</v>
      </c>
      <c r="C67" s="2">
        <v>33361</v>
      </c>
      <c r="D67" t="s">
        <v>1743</v>
      </c>
      <c r="F67" t="str">
        <f t="shared" ref="F67:F130" si="4">LEFT(B67,SEARCH(",",B67)-1)</f>
        <v>YUCRA CCANASI</v>
      </c>
      <c r="G67" t="str">
        <f t="shared" ref="G67:G130" si="5">LEFT(F67,SEARCH(" ",F67)-1)</f>
        <v>YUCRA</v>
      </c>
      <c r="H67" t="str">
        <f t="shared" ref="H67:H130" si="6">RIGHT(F67,LEN(F67)- SEARCH(" ",F67))</f>
        <v>CCANASI</v>
      </c>
      <c r="I67" t="str">
        <f t="shared" ref="I67:I130" si="7">RIGHT(B67,LEN(B67)- SEARCH(",",B67))</f>
        <v xml:space="preserve"> WASHINGTON</v>
      </c>
    </row>
    <row r="68" spans="1:9" x14ac:dyDescent="0.25">
      <c r="A68" t="s">
        <v>132</v>
      </c>
      <c r="B68" t="s">
        <v>133</v>
      </c>
      <c r="C68" s="2">
        <v>33912</v>
      </c>
      <c r="D68" t="s">
        <v>1743</v>
      </c>
      <c r="F68" t="str">
        <f t="shared" si="4"/>
        <v>CHERO GRANDA</v>
      </c>
      <c r="G68" t="str">
        <f t="shared" si="5"/>
        <v>CHERO</v>
      </c>
      <c r="H68" t="str">
        <f t="shared" si="6"/>
        <v>GRANDA</v>
      </c>
      <c r="I68" t="str">
        <f t="shared" si="7"/>
        <v xml:space="preserve"> STALIN JOSUE</v>
      </c>
    </row>
    <row r="69" spans="1:9" x14ac:dyDescent="0.25">
      <c r="A69" t="s">
        <v>134</v>
      </c>
      <c r="B69" t="s">
        <v>135</v>
      </c>
      <c r="C69" s="2">
        <v>30648</v>
      </c>
      <c r="D69" t="s">
        <v>1743</v>
      </c>
      <c r="F69" t="str">
        <f t="shared" si="4"/>
        <v>ALVARADO LOPEZ</v>
      </c>
      <c r="G69" t="str">
        <f t="shared" si="5"/>
        <v>ALVARADO</v>
      </c>
      <c r="H69" t="str">
        <f t="shared" si="6"/>
        <v>LOPEZ</v>
      </c>
      <c r="I69" t="str">
        <f t="shared" si="7"/>
        <v xml:space="preserve"> MARDONIO</v>
      </c>
    </row>
    <row r="70" spans="1:9" x14ac:dyDescent="0.25">
      <c r="A70" t="s">
        <v>136</v>
      </c>
      <c r="B70" t="s">
        <v>137</v>
      </c>
      <c r="C70" s="2">
        <v>29704</v>
      </c>
      <c r="D70" t="s">
        <v>1743</v>
      </c>
      <c r="F70" t="str">
        <f t="shared" si="4"/>
        <v>CHAVEZ COSTA</v>
      </c>
      <c r="G70" t="str">
        <f t="shared" si="5"/>
        <v>CHAVEZ</v>
      </c>
      <c r="H70" t="str">
        <f t="shared" si="6"/>
        <v>COSTA</v>
      </c>
      <c r="I70" t="str">
        <f t="shared" si="7"/>
        <v xml:space="preserve"> EDGARD SIXTO</v>
      </c>
    </row>
    <row r="71" spans="1:9" x14ac:dyDescent="0.25">
      <c r="A71" t="s">
        <v>138</v>
      </c>
      <c r="B71" t="s">
        <v>139</v>
      </c>
      <c r="C71" s="2">
        <v>34196</v>
      </c>
      <c r="D71" t="s">
        <v>1743</v>
      </c>
      <c r="F71" t="str">
        <f t="shared" si="4"/>
        <v>TORRES CALDERON</v>
      </c>
      <c r="G71" t="str">
        <f t="shared" si="5"/>
        <v>TORRES</v>
      </c>
      <c r="H71" t="str">
        <f t="shared" si="6"/>
        <v>CALDERON</v>
      </c>
      <c r="I71" t="str">
        <f t="shared" si="7"/>
        <v xml:space="preserve"> RENSO</v>
      </c>
    </row>
    <row r="72" spans="1:9" x14ac:dyDescent="0.25">
      <c r="A72" t="s">
        <v>140</v>
      </c>
      <c r="B72" t="s">
        <v>141</v>
      </c>
      <c r="C72" s="2">
        <v>32402</v>
      </c>
      <c r="D72" t="s">
        <v>1743</v>
      </c>
      <c r="F72" t="str">
        <f t="shared" si="4"/>
        <v>CHAVEZ AGAMA</v>
      </c>
      <c r="G72" t="str">
        <f t="shared" si="5"/>
        <v>CHAVEZ</v>
      </c>
      <c r="H72" t="str">
        <f t="shared" si="6"/>
        <v>AGAMA</v>
      </c>
      <c r="I72" t="str">
        <f t="shared" si="7"/>
        <v xml:space="preserve"> WITTMAN GODOY</v>
      </c>
    </row>
    <row r="73" spans="1:9" x14ac:dyDescent="0.25">
      <c r="A73" t="s">
        <v>142</v>
      </c>
      <c r="B73" t="s">
        <v>143</v>
      </c>
      <c r="D73" t="s">
        <v>1743</v>
      </c>
      <c r="F73" t="str">
        <f t="shared" si="4"/>
        <v>OCAÑA REQUENA</v>
      </c>
      <c r="G73" t="str">
        <f t="shared" si="5"/>
        <v>OCAÑA</v>
      </c>
      <c r="H73" t="str">
        <f t="shared" si="6"/>
        <v>REQUENA</v>
      </c>
      <c r="I73" t="str">
        <f t="shared" si="7"/>
        <v xml:space="preserve"> LUIS ALBERTO</v>
      </c>
    </row>
    <row r="74" spans="1:9" x14ac:dyDescent="0.25">
      <c r="A74" t="s">
        <v>144</v>
      </c>
      <c r="B74" t="s">
        <v>145</v>
      </c>
      <c r="C74" s="2">
        <v>32906</v>
      </c>
      <c r="D74" t="s">
        <v>1743</v>
      </c>
      <c r="F74" t="str">
        <f t="shared" si="4"/>
        <v>VILLEGAS FERNANDEZ</v>
      </c>
      <c r="G74" t="str">
        <f t="shared" si="5"/>
        <v>VILLEGAS</v>
      </c>
      <c r="H74" t="str">
        <f t="shared" si="6"/>
        <v>FERNANDEZ</v>
      </c>
      <c r="I74" t="str">
        <f t="shared" si="7"/>
        <v xml:space="preserve"> DANIEL ADRIANO</v>
      </c>
    </row>
    <row r="75" spans="1:9" x14ac:dyDescent="0.25">
      <c r="A75" t="s">
        <v>146</v>
      </c>
      <c r="B75" t="s">
        <v>147</v>
      </c>
      <c r="C75" s="2">
        <v>32526</v>
      </c>
      <c r="D75" t="s">
        <v>1743</v>
      </c>
      <c r="E75" t="s">
        <v>1561</v>
      </c>
      <c r="F75" t="str">
        <f t="shared" si="4"/>
        <v>GOMEZ HERRERA</v>
      </c>
      <c r="G75" t="str">
        <f t="shared" si="5"/>
        <v>GOMEZ</v>
      </c>
      <c r="H75" t="str">
        <f t="shared" si="6"/>
        <v>HERRERA</v>
      </c>
      <c r="I75" t="str">
        <f t="shared" si="7"/>
        <v xml:space="preserve"> JOSE ARMANDO</v>
      </c>
    </row>
    <row r="76" spans="1:9" x14ac:dyDescent="0.25">
      <c r="A76" t="s">
        <v>148</v>
      </c>
      <c r="B76" t="s">
        <v>149</v>
      </c>
      <c r="C76" s="2">
        <v>33488</v>
      </c>
      <c r="D76" t="s">
        <v>1743</v>
      </c>
      <c r="F76" t="str">
        <f t="shared" si="4"/>
        <v>HUALLPA QUISPE</v>
      </c>
      <c r="G76" t="str">
        <f t="shared" si="5"/>
        <v>HUALLPA</v>
      </c>
      <c r="H76" t="str">
        <f t="shared" si="6"/>
        <v>QUISPE</v>
      </c>
      <c r="I76" t="str">
        <f t="shared" si="7"/>
        <v xml:space="preserve"> ALEX</v>
      </c>
    </row>
    <row r="77" spans="1:9" x14ac:dyDescent="0.25">
      <c r="A77" t="s">
        <v>150</v>
      </c>
      <c r="B77" t="s">
        <v>151</v>
      </c>
      <c r="C77" s="2">
        <v>30275</v>
      </c>
      <c r="D77" t="s">
        <v>1743</v>
      </c>
      <c r="F77" t="str">
        <f t="shared" si="4"/>
        <v>FLORES VILLAR</v>
      </c>
      <c r="G77" t="str">
        <f t="shared" si="5"/>
        <v>FLORES</v>
      </c>
      <c r="H77" t="str">
        <f t="shared" si="6"/>
        <v>VILLAR</v>
      </c>
      <c r="I77" t="str">
        <f t="shared" si="7"/>
        <v xml:space="preserve"> JUAN CARLOS</v>
      </c>
    </row>
    <row r="78" spans="1:9" x14ac:dyDescent="0.25">
      <c r="A78" t="s">
        <v>152</v>
      </c>
      <c r="B78" t="s">
        <v>153</v>
      </c>
      <c r="D78" t="s">
        <v>1743</v>
      </c>
      <c r="F78" t="str">
        <f t="shared" si="4"/>
        <v>ALVAREZ GALLEGO</v>
      </c>
      <c r="G78" t="str">
        <f t="shared" si="5"/>
        <v>ALVAREZ</v>
      </c>
      <c r="H78" t="str">
        <f t="shared" si="6"/>
        <v>GALLEGO</v>
      </c>
      <c r="I78" t="str">
        <f t="shared" si="7"/>
        <v xml:space="preserve"> GIANCARLO</v>
      </c>
    </row>
    <row r="79" spans="1:9" x14ac:dyDescent="0.25">
      <c r="A79" t="s">
        <v>154</v>
      </c>
      <c r="B79" t="s">
        <v>155</v>
      </c>
      <c r="C79" s="2">
        <v>31719</v>
      </c>
      <c r="D79" t="s">
        <v>1743</v>
      </c>
      <c r="F79" t="str">
        <f t="shared" si="4"/>
        <v>TEJADA ATAHUALPA</v>
      </c>
      <c r="G79" t="str">
        <f t="shared" si="5"/>
        <v>TEJADA</v>
      </c>
      <c r="H79" t="str">
        <f t="shared" si="6"/>
        <v>ATAHUALPA</v>
      </c>
      <c r="I79" t="str">
        <f t="shared" si="7"/>
        <v xml:space="preserve"> CESAR HUMBERTO</v>
      </c>
    </row>
    <row r="80" spans="1:9" x14ac:dyDescent="0.25">
      <c r="A80" t="s">
        <v>156</v>
      </c>
      <c r="B80" t="s">
        <v>157</v>
      </c>
      <c r="D80" t="s">
        <v>1743</v>
      </c>
      <c r="F80" t="str">
        <f t="shared" si="4"/>
        <v>LAZARO PAREDES</v>
      </c>
      <c r="G80" t="str">
        <f t="shared" si="5"/>
        <v>LAZARO</v>
      </c>
      <c r="H80" t="str">
        <f t="shared" si="6"/>
        <v>PAREDES</v>
      </c>
      <c r="I80" t="str">
        <f t="shared" si="7"/>
        <v xml:space="preserve"> ANGEL JESUS</v>
      </c>
    </row>
    <row r="81" spans="1:9" x14ac:dyDescent="0.25">
      <c r="A81" t="s">
        <v>158</v>
      </c>
      <c r="B81" t="s">
        <v>159</v>
      </c>
      <c r="C81" s="2">
        <v>32551</v>
      </c>
      <c r="D81" t="s">
        <v>1744</v>
      </c>
      <c r="F81" t="str">
        <f t="shared" si="4"/>
        <v>BORJAS MESONES</v>
      </c>
      <c r="G81" t="str">
        <f t="shared" si="5"/>
        <v>BORJAS</v>
      </c>
      <c r="H81" t="str">
        <f t="shared" si="6"/>
        <v>MESONES</v>
      </c>
      <c r="I81" t="str">
        <f t="shared" si="7"/>
        <v xml:space="preserve"> ROXANA GIOVANNA</v>
      </c>
    </row>
    <row r="82" spans="1:9" x14ac:dyDescent="0.25">
      <c r="A82" t="s">
        <v>160</v>
      </c>
      <c r="B82" t="s">
        <v>161</v>
      </c>
      <c r="C82" s="2">
        <v>28372</v>
      </c>
      <c r="D82" t="s">
        <v>1743</v>
      </c>
      <c r="F82" t="str">
        <f t="shared" si="4"/>
        <v>VASQUEZ VARGAS</v>
      </c>
      <c r="G82" t="str">
        <f t="shared" si="5"/>
        <v>VASQUEZ</v>
      </c>
      <c r="H82" t="str">
        <f t="shared" si="6"/>
        <v>VARGAS</v>
      </c>
      <c r="I82" t="str">
        <f t="shared" si="7"/>
        <v xml:space="preserve"> JUAN EISER</v>
      </c>
    </row>
    <row r="83" spans="1:9" x14ac:dyDescent="0.25">
      <c r="A83" t="s">
        <v>162</v>
      </c>
      <c r="B83" t="s">
        <v>163</v>
      </c>
      <c r="C83" s="2">
        <v>32309</v>
      </c>
      <c r="D83" t="s">
        <v>1743</v>
      </c>
      <c r="E83" t="s">
        <v>1562</v>
      </c>
      <c r="F83" t="str">
        <f t="shared" si="4"/>
        <v>ESPINOZA CAMAC</v>
      </c>
      <c r="G83" t="str">
        <f t="shared" si="5"/>
        <v>ESPINOZA</v>
      </c>
      <c r="H83" t="str">
        <f t="shared" si="6"/>
        <v>CAMAC</v>
      </c>
      <c r="I83" t="str">
        <f t="shared" si="7"/>
        <v xml:space="preserve"> EDER ADDERLY</v>
      </c>
    </row>
    <row r="84" spans="1:9" x14ac:dyDescent="0.25">
      <c r="A84" t="s">
        <v>164</v>
      </c>
      <c r="B84" t="s">
        <v>165</v>
      </c>
      <c r="C84" s="2">
        <v>34024</v>
      </c>
      <c r="D84" t="s">
        <v>1743</v>
      </c>
      <c r="F84" t="str">
        <f t="shared" si="4"/>
        <v>OVIEDO CIÑA</v>
      </c>
      <c r="G84" t="str">
        <f t="shared" si="5"/>
        <v>OVIEDO</v>
      </c>
      <c r="H84" t="str">
        <f t="shared" si="6"/>
        <v>CIÑA</v>
      </c>
      <c r="I84" t="str">
        <f t="shared" si="7"/>
        <v xml:space="preserve"> JEAN CARLO</v>
      </c>
    </row>
    <row r="85" spans="1:9" x14ac:dyDescent="0.25">
      <c r="A85" t="s">
        <v>166</v>
      </c>
      <c r="B85" t="s">
        <v>167</v>
      </c>
      <c r="D85" t="s">
        <v>1743</v>
      </c>
      <c r="F85" t="str">
        <f t="shared" si="4"/>
        <v>DE LA CRUZ BARDALES</v>
      </c>
      <c r="G85" t="str">
        <f t="shared" si="5"/>
        <v>DE</v>
      </c>
      <c r="H85" t="str">
        <f t="shared" si="6"/>
        <v>LA CRUZ BARDALES</v>
      </c>
      <c r="I85" t="str">
        <f t="shared" si="7"/>
        <v xml:space="preserve"> JEAN PIERE</v>
      </c>
    </row>
    <row r="86" spans="1:9" x14ac:dyDescent="0.25">
      <c r="A86" t="s">
        <v>168</v>
      </c>
      <c r="B86" t="s">
        <v>3519</v>
      </c>
      <c r="C86" s="2">
        <v>28180</v>
      </c>
      <c r="D86" t="s">
        <v>1743</v>
      </c>
      <c r="F86" t="str">
        <f t="shared" si="4"/>
        <v>MAGUIÑA MALDONADO</v>
      </c>
      <c r="G86" t="str">
        <f t="shared" si="5"/>
        <v>MAGUIÑA</v>
      </c>
      <c r="H86" t="str">
        <f t="shared" si="6"/>
        <v>MALDONADO</v>
      </c>
      <c r="I86" t="str">
        <f t="shared" si="7"/>
        <v xml:space="preserve"> LUCIO ALFREDO</v>
      </c>
    </row>
    <row r="87" spans="1:9" x14ac:dyDescent="0.25">
      <c r="A87" t="s">
        <v>169</v>
      </c>
      <c r="B87" t="s">
        <v>170</v>
      </c>
      <c r="D87" t="s">
        <v>1743</v>
      </c>
      <c r="F87" t="str">
        <f t="shared" si="4"/>
        <v>CRISTOBAL BASILIO</v>
      </c>
      <c r="G87" t="str">
        <f t="shared" si="5"/>
        <v>CRISTOBAL</v>
      </c>
      <c r="H87" t="str">
        <f t="shared" si="6"/>
        <v>BASILIO</v>
      </c>
      <c r="I87" t="str">
        <f t="shared" si="7"/>
        <v xml:space="preserve"> ANDERSEN DINO</v>
      </c>
    </row>
    <row r="88" spans="1:9" x14ac:dyDescent="0.25">
      <c r="A88" t="s">
        <v>171</v>
      </c>
      <c r="B88" t="s">
        <v>172</v>
      </c>
      <c r="D88" t="s">
        <v>1743</v>
      </c>
      <c r="F88" t="str">
        <f t="shared" si="4"/>
        <v>PINO CONTRERAS</v>
      </c>
      <c r="G88" t="str">
        <f t="shared" si="5"/>
        <v>PINO</v>
      </c>
      <c r="H88" t="str">
        <f t="shared" si="6"/>
        <v>CONTRERAS</v>
      </c>
      <c r="I88" t="str">
        <f t="shared" si="7"/>
        <v xml:space="preserve"> CARLOS ALBERTO</v>
      </c>
    </row>
    <row r="89" spans="1:9" x14ac:dyDescent="0.25">
      <c r="A89" t="s">
        <v>173</v>
      </c>
      <c r="B89" t="s">
        <v>174</v>
      </c>
      <c r="C89" s="2">
        <v>33266</v>
      </c>
      <c r="D89" t="s">
        <v>1743</v>
      </c>
      <c r="F89" t="str">
        <f t="shared" si="4"/>
        <v>CONDORI TIPULA</v>
      </c>
      <c r="G89" t="str">
        <f t="shared" si="5"/>
        <v>CONDORI</v>
      </c>
      <c r="H89" t="str">
        <f t="shared" si="6"/>
        <v>TIPULA</v>
      </c>
      <c r="I89" t="str">
        <f t="shared" si="7"/>
        <v xml:space="preserve"> CARLOS ALBERTO</v>
      </c>
    </row>
    <row r="90" spans="1:9" x14ac:dyDescent="0.25">
      <c r="A90" t="s">
        <v>175</v>
      </c>
      <c r="B90" t="s">
        <v>176</v>
      </c>
      <c r="C90" s="2">
        <v>34505</v>
      </c>
      <c r="D90" t="s">
        <v>1743</v>
      </c>
      <c r="F90" t="str">
        <f t="shared" si="4"/>
        <v>REGENTE ISASA</v>
      </c>
      <c r="G90" t="str">
        <f t="shared" si="5"/>
        <v>REGENTE</v>
      </c>
      <c r="H90" t="str">
        <f t="shared" si="6"/>
        <v>ISASA</v>
      </c>
      <c r="I90" t="str">
        <f t="shared" si="7"/>
        <v xml:space="preserve"> ALEJANDRO</v>
      </c>
    </row>
    <row r="91" spans="1:9" x14ac:dyDescent="0.25">
      <c r="A91" t="s">
        <v>177</v>
      </c>
      <c r="B91" t="s">
        <v>178</v>
      </c>
      <c r="C91" s="2">
        <v>25849</v>
      </c>
      <c r="D91" t="s">
        <v>1743</v>
      </c>
      <c r="F91" t="str">
        <f t="shared" si="4"/>
        <v>SKECHE LLANOS</v>
      </c>
      <c r="G91" t="str">
        <f t="shared" si="5"/>
        <v>SKECHE</v>
      </c>
      <c r="H91" t="str">
        <f t="shared" si="6"/>
        <v>LLANOS</v>
      </c>
      <c r="I91" t="str">
        <f t="shared" si="7"/>
        <v xml:space="preserve"> ALEXIS MIGUEL</v>
      </c>
    </row>
    <row r="92" spans="1:9" x14ac:dyDescent="0.25">
      <c r="A92" t="s">
        <v>179</v>
      </c>
      <c r="B92" t="s">
        <v>180</v>
      </c>
      <c r="C92" s="2">
        <v>32198</v>
      </c>
      <c r="D92" t="s">
        <v>1743</v>
      </c>
      <c r="F92" t="str">
        <f t="shared" si="4"/>
        <v>ESPINOZA PEREZ</v>
      </c>
      <c r="G92" t="str">
        <f t="shared" si="5"/>
        <v>ESPINOZA</v>
      </c>
      <c r="H92" t="str">
        <f t="shared" si="6"/>
        <v>PEREZ</v>
      </c>
      <c r="I92" t="str">
        <f t="shared" si="7"/>
        <v xml:space="preserve"> LUIGUI BRAYAN</v>
      </c>
    </row>
    <row r="93" spans="1:9" x14ac:dyDescent="0.25">
      <c r="A93" t="s">
        <v>181</v>
      </c>
      <c r="B93" t="s">
        <v>182</v>
      </c>
      <c r="C93" s="2">
        <v>31945</v>
      </c>
      <c r="D93" t="s">
        <v>1743</v>
      </c>
      <c r="F93" t="str">
        <f t="shared" si="4"/>
        <v>AVILA ANTAY</v>
      </c>
      <c r="G93" t="str">
        <f t="shared" si="5"/>
        <v>AVILA</v>
      </c>
      <c r="H93" t="str">
        <f t="shared" si="6"/>
        <v>ANTAY</v>
      </c>
      <c r="I93" t="str">
        <f t="shared" si="7"/>
        <v xml:space="preserve"> ADRIAN ALEXIS</v>
      </c>
    </row>
    <row r="94" spans="1:9" x14ac:dyDescent="0.25">
      <c r="A94" t="s">
        <v>183</v>
      </c>
      <c r="B94" t="s">
        <v>184</v>
      </c>
      <c r="D94" t="s">
        <v>1743</v>
      </c>
      <c r="F94" t="str">
        <f t="shared" si="4"/>
        <v>VILLA BOBADILLA</v>
      </c>
      <c r="G94" t="str">
        <f t="shared" si="5"/>
        <v>VILLA</v>
      </c>
      <c r="H94" t="str">
        <f t="shared" si="6"/>
        <v>BOBADILLA</v>
      </c>
      <c r="I94" t="str">
        <f t="shared" si="7"/>
        <v xml:space="preserve"> CRISTHIAN FABIO</v>
      </c>
    </row>
    <row r="95" spans="1:9" x14ac:dyDescent="0.25">
      <c r="A95" t="s">
        <v>185</v>
      </c>
      <c r="B95" t="s">
        <v>186</v>
      </c>
      <c r="D95" t="s">
        <v>1744</v>
      </c>
      <c r="F95" t="str">
        <f t="shared" si="4"/>
        <v>CANALES MEMBRILLO</v>
      </c>
      <c r="G95" t="str">
        <f t="shared" si="5"/>
        <v>CANALES</v>
      </c>
      <c r="H95" t="str">
        <f t="shared" si="6"/>
        <v>MEMBRILLO</v>
      </c>
      <c r="I95" t="str">
        <f t="shared" si="7"/>
        <v xml:space="preserve"> VANIA ANDREA</v>
      </c>
    </row>
    <row r="96" spans="1:9" x14ac:dyDescent="0.25">
      <c r="A96" t="s">
        <v>187</v>
      </c>
      <c r="B96" t="s">
        <v>188</v>
      </c>
      <c r="C96" s="2">
        <v>31620</v>
      </c>
      <c r="D96" t="s">
        <v>1743</v>
      </c>
      <c r="F96" t="str">
        <f t="shared" si="4"/>
        <v>PIZARRO URRUTIA</v>
      </c>
      <c r="G96" t="str">
        <f t="shared" si="5"/>
        <v>PIZARRO</v>
      </c>
      <c r="H96" t="str">
        <f t="shared" si="6"/>
        <v>URRUTIA</v>
      </c>
      <c r="I96" t="str">
        <f t="shared" si="7"/>
        <v xml:space="preserve"> MARCO ANTONIO</v>
      </c>
    </row>
    <row r="97" spans="1:9" x14ac:dyDescent="0.25">
      <c r="A97" t="s">
        <v>189</v>
      </c>
      <c r="B97" t="s">
        <v>3520</v>
      </c>
      <c r="D97" t="s">
        <v>1743</v>
      </c>
      <c r="F97" t="str">
        <f t="shared" si="4"/>
        <v>SERNAQUE ZAPATA</v>
      </c>
      <c r="G97" t="str">
        <f t="shared" si="5"/>
        <v>SERNAQUE</v>
      </c>
      <c r="H97" t="str">
        <f t="shared" si="6"/>
        <v>ZAPATA</v>
      </c>
      <c r="I97" t="str">
        <f t="shared" si="7"/>
        <v xml:space="preserve"> OSCAR</v>
      </c>
    </row>
    <row r="98" spans="1:9" x14ac:dyDescent="0.25">
      <c r="A98" t="s">
        <v>190</v>
      </c>
      <c r="B98" t="s">
        <v>191</v>
      </c>
      <c r="C98" s="2">
        <v>34241</v>
      </c>
      <c r="D98" t="s">
        <v>1743</v>
      </c>
      <c r="F98" t="str">
        <f t="shared" si="4"/>
        <v>GONZALES ESCURRA</v>
      </c>
      <c r="G98" t="str">
        <f t="shared" si="5"/>
        <v>GONZALES</v>
      </c>
      <c r="H98" t="str">
        <f t="shared" si="6"/>
        <v>ESCURRA</v>
      </c>
      <c r="I98" t="str">
        <f t="shared" si="7"/>
        <v xml:space="preserve"> PAULO RODRIGO</v>
      </c>
    </row>
    <row r="99" spans="1:9" x14ac:dyDescent="0.25">
      <c r="A99" t="s">
        <v>192</v>
      </c>
      <c r="B99" t="s">
        <v>193</v>
      </c>
      <c r="C99" s="2">
        <v>30738</v>
      </c>
      <c r="D99" t="s">
        <v>1743</v>
      </c>
      <c r="F99" t="str">
        <f t="shared" si="4"/>
        <v>QUISPE CHUCTAYA</v>
      </c>
      <c r="G99" t="str">
        <f t="shared" si="5"/>
        <v>QUISPE</v>
      </c>
      <c r="H99" t="str">
        <f t="shared" si="6"/>
        <v>CHUCTAYA</v>
      </c>
      <c r="I99" t="str">
        <f t="shared" si="7"/>
        <v xml:space="preserve"> LUIS ALBERTO</v>
      </c>
    </row>
    <row r="100" spans="1:9" x14ac:dyDescent="0.25">
      <c r="A100" t="s">
        <v>194</v>
      </c>
      <c r="B100" t="s">
        <v>195</v>
      </c>
      <c r="C100" s="2">
        <v>32643</v>
      </c>
      <c r="D100" t="s">
        <v>1743</v>
      </c>
      <c r="F100" t="str">
        <f t="shared" si="4"/>
        <v>HUASHUAYO CHACONDORI</v>
      </c>
      <c r="G100" t="str">
        <f t="shared" si="5"/>
        <v>HUASHUAYO</v>
      </c>
      <c r="H100" t="str">
        <f t="shared" si="6"/>
        <v>CHACONDORI</v>
      </c>
      <c r="I100" t="str">
        <f t="shared" si="7"/>
        <v xml:space="preserve"> LEONARD MICHAEL</v>
      </c>
    </row>
    <row r="101" spans="1:9" x14ac:dyDescent="0.25">
      <c r="A101" t="s">
        <v>196</v>
      </c>
      <c r="B101" t="s">
        <v>197</v>
      </c>
      <c r="C101" s="2">
        <v>35046</v>
      </c>
      <c r="D101" t="s">
        <v>1743</v>
      </c>
      <c r="F101" t="str">
        <f t="shared" si="4"/>
        <v>OBREGON VILLAFUERTE</v>
      </c>
      <c r="G101" t="str">
        <f t="shared" si="5"/>
        <v>OBREGON</v>
      </c>
      <c r="H101" t="str">
        <f t="shared" si="6"/>
        <v>VILLAFUERTE</v>
      </c>
      <c r="I101" t="str">
        <f t="shared" si="7"/>
        <v xml:space="preserve"> JOSE ANTONIO</v>
      </c>
    </row>
    <row r="102" spans="1:9" x14ac:dyDescent="0.25">
      <c r="A102" t="s">
        <v>198</v>
      </c>
      <c r="B102" t="s">
        <v>199</v>
      </c>
      <c r="C102" s="2">
        <v>31725</v>
      </c>
      <c r="D102" t="s">
        <v>1743</v>
      </c>
      <c r="F102" t="str">
        <f t="shared" si="4"/>
        <v>LAZO YAURI</v>
      </c>
      <c r="G102" t="str">
        <f t="shared" si="5"/>
        <v>LAZO</v>
      </c>
      <c r="H102" t="str">
        <f t="shared" si="6"/>
        <v>YAURI</v>
      </c>
      <c r="I102" t="str">
        <f t="shared" si="7"/>
        <v xml:space="preserve"> JOSIMAR FINDLAY</v>
      </c>
    </row>
    <row r="103" spans="1:9" x14ac:dyDescent="0.25">
      <c r="A103" t="s">
        <v>200</v>
      </c>
      <c r="B103" t="s">
        <v>201</v>
      </c>
      <c r="C103" s="2">
        <v>34837</v>
      </c>
      <c r="D103" t="s">
        <v>1744</v>
      </c>
      <c r="F103" t="str">
        <f t="shared" si="4"/>
        <v>ZAVALETA RODRIGUEZ</v>
      </c>
      <c r="G103" t="str">
        <f t="shared" si="5"/>
        <v>ZAVALETA</v>
      </c>
      <c r="H103" t="str">
        <f t="shared" si="6"/>
        <v>RODRIGUEZ</v>
      </c>
      <c r="I103" t="str">
        <f t="shared" si="7"/>
        <v xml:space="preserve"> NORMA JIMENA</v>
      </c>
    </row>
    <row r="104" spans="1:9" x14ac:dyDescent="0.25">
      <c r="A104" t="s">
        <v>202</v>
      </c>
      <c r="B104" t="s">
        <v>203</v>
      </c>
      <c r="C104" s="2">
        <v>32011</v>
      </c>
      <c r="D104" t="s">
        <v>1743</v>
      </c>
      <c r="E104" t="s">
        <v>1563</v>
      </c>
      <c r="F104" t="str">
        <f t="shared" si="4"/>
        <v>VILCHEZ YOVERA</v>
      </c>
      <c r="G104" t="str">
        <f t="shared" si="5"/>
        <v>VILCHEZ</v>
      </c>
      <c r="H104" t="str">
        <f t="shared" si="6"/>
        <v>YOVERA</v>
      </c>
      <c r="I104" t="str">
        <f t="shared" si="7"/>
        <v xml:space="preserve"> JOSE ANTONIO</v>
      </c>
    </row>
    <row r="105" spans="1:9" x14ac:dyDescent="0.25">
      <c r="A105" t="s">
        <v>204</v>
      </c>
      <c r="B105" t="s">
        <v>205</v>
      </c>
      <c r="C105" s="2">
        <v>34741</v>
      </c>
      <c r="D105" t="s">
        <v>1743</v>
      </c>
      <c r="F105" t="str">
        <f t="shared" si="4"/>
        <v>SANTIAGO ROJAS</v>
      </c>
      <c r="G105" t="str">
        <f t="shared" si="5"/>
        <v>SANTIAGO</v>
      </c>
      <c r="H105" t="str">
        <f t="shared" si="6"/>
        <v>ROJAS</v>
      </c>
      <c r="I105" t="str">
        <f t="shared" si="7"/>
        <v xml:space="preserve"> JEAN FRANCO</v>
      </c>
    </row>
    <row r="106" spans="1:9" x14ac:dyDescent="0.25">
      <c r="A106" t="s">
        <v>206</v>
      </c>
      <c r="B106" t="s">
        <v>207</v>
      </c>
      <c r="C106" s="2">
        <v>31059</v>
      </c>
      <c r="D106" t="s">
        <v>1743</v>
      </c>
      <c r="F106" t="str">
        <f t="shared" si="4"/>
        <v>CAYRA YANQUI</v>
      </c>
      <c r="G106" t="str">
        <f t="shared" si="5"/>
        <v>CAYRA</v>
      </c>
      <c r="H106" t="str">
        <f t="shared" si="6"/>
        <v>YANQUI</v>
      </c>
      <c r="I106" t="str">
        <f t="shared" si="7"/>
        <v xml:space="preserve"> GUILLERMO RENE</v>
      </c>
    </row>
    <row r="107" spans="1:9" x14ac:dyDescent="0.25">
      <c r="A107" t="s">
        <v>208</v>
      </c>
      <c r="B107" t="s">
        <v>209</v>
      </c>
      <c r="D107" t="s">
        <v>1743</v>
      </c>
      <c r="F107" t="str">
        <f t="shared" si="4"/>
        <v>LAVADO POLANCO</v>
      </c>
      <c r="G107" t="str">
        <f t="shared" si="5"/>
        <v>LAVADO</v>
      </c>
      <c r="H107" t="str">
        <f t="shared" si="6"/>
        <v>POLANCO</v>
      </c>
      <c r="I107" t="str">
        <f t="shared" si="7"/>
        <v xml:space="preserve"> SERGIO</v>
      </c>
    </row>
    <row r="108" spans="1:9" x14ac:dyDescent="0.25">
      <c r="A108" t="s">
        <v>210</v>
      </c>
      <c r="B108" t="s">
        <v>211</v>
      </c>
      <c r="D108" t="s">
        <v>1744</v>
      </c>
      <c r="F108" t="str">
        <f t="shared" si="4"/>
        <v>RUIZ CARRILLO</v>
      </c>
      <c r="G108" t="str">
        <f t="shared" si="5"/>
        <v>RUIZ</v>
      </c>
      <c r="H108" t="str">
        <f t="shared" si="6"/>
        <v>CARRILLO</v>
      </c>
      <c r="I108" t="str">
        <f t="shared" si="7"/>
        <v xml:space="preserve"> XIOMARA CRISELL</v>
      </c>
    </row>
    <row r="109" spans="1:9" x14ac:dyDescent="0.25">
      <c r="A109" t="s">
        <v>212</v>
      </c>
      <c r="B109" t="s">
        <v>213</v>
      </c>
      <c r="C109" s="2">
        <v>34065</v>
      </c>
      <c r="D109" t="s">
        <v>1743</v>
      </c>
      <c r="F109" t="str">
        <f t="shared" si="4"/>
        <v>SUAREZ QUISPE</v>
      </c>
      <c r="G109" t="str">
        <f t="shared" si="5"/>
        <v>SUAREZ</v>
      </c>
      <c r="H109" t="str">
        <f t="shared" si="6"/>
        <v>QUISPE</v>
      </c>
      <c r="I109" t="str">
        <f t="shared" si="7"/>
        <v xml:space="preserve"> FRANK FELIX</v>
      </c>
    </row>
    <row r="110" spans="1:9" x14ac:dyDescent="0.25">
      <c r="A110" t="s">
        <v>214</v>
      </c>
      <c r="B110" t="s">
        <v>215</v>
      </c>
      <c r="C110" s="2">
        <v>33321</v>
      </c>
      <c r="D110" t="s">
        <v>1743</v>
      </c>
      <c r="F110" t="str">
        <f t="shared" si="4"/>
        <v>ANGELES LOAYZA</v>
      </c>
      <c r="G110" t="str">
        <f t="shared" si="5"/>
        <v>ANGELES</v>
      </c>
      <c r="H110" t="str">
        <f t="shared" si="6"/>
        <v>LOAYZA</v>
      </c>
      <c r="I110" t="str">
        <f t="shared" si="7"/>
        <v xml:space="preserve"> JORGE LUIS</v>
      </c>
    </row>
    <row r="111" spans="1:9" x14ac:dyDescent="0.25">
      <c r="A111" t="s">
        <v>216</v>
      </c>
      <c r="B111" t="s">
        <v>217</v>
      </c>
      <c r="C111" s="2">
        <v>29441</v>
      </c>
      <c r="D111" t="s">
        <v>1743</v>
      </c>
      <c r="F111" t="str">
        <f t="shared" si="4"/>
        <v>ARATA ANDA</v>
      </c>
      <c r="G111" t="str">
        <f t="shared" si="5"/>
        <v>ARATA</v>
      </c>
      <c r="H111" t="str">
        <f t="shared" si="6"/>
        <v>ANDA</v>
      </c>
      <c r="I111" t="str">
        <f t="shared" si="7"/>
        <v xml:space="preserve"> ALFREDO EDUARDO</v>
      </c>
    </row>
    <row r="112" spans="1:9" x14ac:dyDescent="0.25">
      <c r="A112" t="s">
        <v>218</v>
      </c>
      <c r="B112" t="s">
        <v>219</v>
      </c>
      <c r="D112" t="s">
        <v>1743</v>
      </c>
      <c r="F112" t="str">
        <f t="shared" si="4"/>
        <v>MACHACA AROCUTIPA</v>
      </c>
      <c r="G112" t="str">
        <f t="shared" si="5"/>
        <v>MACHACA</v>
      </c>
      <c r="H112" t="str">
        <f t="shared" si="6"/>
        <v>AROCUTIPA</v>
      </c>
      <c r="I112" t="str">
        <f t="shared" si="7"/>
        <v xml:space="preserve"> CESAR</v>
      </c>
    </row>
    <row r="113" spans="1:9" x14ac:dyDescent="0.25">
      <c r="A113" t="s">
        <v>220</v>
      </c>
      <c r="B113" t="s">
        <v>221</v>
      </c>
      <c r="C113" s="2">
        <v>31502</v>
      </c>
      <c r="D113" t="s">
        <v>1743</v>
      </c>
      <c r="F113" t="str">
        <f t="shared" si="4"/>
        <v>CALCINA CALCINA</v>
      </c>
      <c r="G113" t="str">
        <f t="shared" si="5"/>
        <v>CALCINA</v>
      </c>
      <c r="H113" t="str">
        <f t="shared" si="6"/>
        <v>CALCINA</v>
      </c>
      <c r="I113" t="str">
        <f t="shared" si="7"/>
        <v xml:space="preserve"> RONAL</v>
      </c>
    </row>
    <row r="114" spans="1:9" x14ac:dyDescent="0.25">
      <c r="A114" t="s">
        <v>222</v>
      </c>
      <c r="B114" t="s">
        <v>223</v>
      </c>
      <c r="C114" s="2">
        <v>32451</v>
      </c>
      <c r="D114" t="s">
        <v>1743</v>
      </c>
      <c r="F114" t="str">
        <f t="shared" si="4"/>
        <v>URBINA ZAPATA</v>
      </c>
      <c r="G114" t="str">
        <f t="shared" si="5"/>
        <v>URBINA</v>
      </c>
      <c r="H114" t="str">
        <f t="shared" si="6"/>
        <v>ZAPATA</v>
      </c>
      <c r="I114" t="str">
        <f t="shared" si="7"/>
        <v xml:space="preserve"> IRVING GERARDO</v>
      </c>
    </row>
    <row r="115" spans="1:9" x14ac:dyDescent="0.25">
      <c r="A115" t="s">
        <v>224</v>
      </c>
      <c r="B115" t="s">
        <v>225</v>
      </c>
      <c r="C115" s="2">
        <v>33638</v>
      </c>
      <c r="D115" t="s">
        <v>1743</v>
      </c>
      <c r="F115" t="str">
        <f t="shared" si="4"/>
        <v>ORBEGOSO MEREGILDO</v>
      </c>
      <c r="G115" t="str">
        <f t="shared" si="5"/>
        <v>ORBEGOSO</v>
      </c>
      <c r="H115" t="str">
        <f t="shared" si="6"/>
        <v>MEREGILDO</v>
      </c>
      <c r="I115" t="str">
        <f t="shared" si="7"/>
        <v xml:space="preserve"> ITALO JEANCARLO</v>
      </c>
    </row>
    <row r="116" spans="1:9" x14ac:dyDescent="0.25">
      <c r="A116" t="s">
        <v>226</v>
      </c>
      <c r="B116" t="s">
        <v>227</v>
      </c>
      <c r="C116" s="2">
        <v>27632</v>
      </c>
      <c r="D116" t="s">
        <v>1743</v>
      </c>
      <c r="F116" t="str">
        <f t="shared" si="4"/>
        <v>QUISPE MOROCCO</v>
      </c>
      <c r="G116" t="str">
        <f t="shared" si="5"/>
        <v>QUISPE</v>
      </c>
      <c r="H116" t="str">
        <f t="shared" si="6"/>
        <v>MOROCCO</v>
      </c>
      <c r="I116" t="str">
        <f t="shared" si="7"/>
        <v xml:space="preserve"> WILVER</v>
      </c>
    </row>
    <row r="117" spans="1:9" x14ac:dyDescent="0.25">
      <c r="A117" t="s">
        <v>228</v>
      </c>
      <c r="B117" t="s">
        <v>3521</v>
      </c>
      <c r="D117" t="s">
        <v>1743</v>
      </c>
      <c r="F117" t="str">
        <f t="shared" si="4"/>
        <v>MARTINEZ BUSTAMANTE</v>
      </c>
      <c r="G117" t="str">
        <f t="shared" si="5"/>
        <v>MARTINEZ</v>
      </c>
      <c r="H117" t="str">
        <f t="shared" si="6"/>
        <v>BUSTAMANTE</v>
      </c>
      <c r="I117" t="str">
        <f t="shared" si="7"/>
        <v xml:space="preserve"> CHRISTIAN MANUEL</v>
      </c>
    </row>
    <row r="118" spans="1:9" x14ac:dyDescent="0.25">
      <c r="A118" t="s">
        <v>229</v>
      </c>
      <c r="B118" t="s">
        <v>230</v>
      </c>
      <c r="D118" t="s">
        <v>1743</v>
      </c>
      <c r="F118" t="str">
        <f t="shared" si="4"/>
        <v>MIRANDA GARCIA</v>
      </c>
      <c r="G118" t="str">
        <f t="shared" si="5"/>
        <v>MIRANDA</v>
      </c>
      <c r="H118" t="str">
        <f t="shared" si="6"/>
        <v>GARCIA</v>
      </c>
      <c r="I118" t="str">
        <f t="shared" si="7"/>
        <v xml:space="preserve"> SERGIO ANDRE</v>
      </c>
    </row>
    <row r="119" spans="1:9" x14ac:dyDescent="0.25">
      <c r="A119" t="s">
        <v>231</v>
      </c>
      <c r="B119" t="s">
        <v>232</v>
      </c>
      <c r="C119" s="2">
        <v>32229</v>
      </c>
      <c r="D119" t="s">
        <v>1743</v>
      </c>
      <c r="F119" t="str">
        <f t="shared" si="4"/>
        <v>SAAVEDRA JAVE</v>
      </c>
      <c r="G119" t="str">
        <f t="shared" si="5"/>
        <v>SAAVEDRA</v>
      </c>
      <c r="H119" t="str">
        <f t="shared" si="6"/>
        <v>JAVE</v>
      </c>
      <c r="I119" t="str">
        <f t="shared" si="7"/>
        <v xml:space="preserve"> DILMER BENJAMÍN</v>
      </c>
    </row>
    <row r="120" spans="1:9" x14ac:dyDescent="0.25">
      <c r="A120" t="s">
        <v>233</v>
      </c>
      <c r="B120" t="s">
        <v>234</v>
      </c>
      <c r="C120" s="2">
        <v>34779</v>
      </c>
      <c r="D120" t="s">
        <v>1744</v>
      </c>
      <c r="F120" t="str">
        <f t="shared" si="4"/>
        <v>RAMOS ECHEVARRIA</v>
      </c>
      <c r="G120" t="str">
        <f t="shared" si="5"/>
        <v>RAMOS</v>
      </c>
      <c r="H120" t="str">
        <f t="shared" si="6"/>
        <v>ECHEVARRIA</v>
      </c>
      <c r="I120" t="str">
        <f t="shared" si="7"/>
        <v xml:space="preserve"> LAURA MARICIELO</v>
      </c>
    </row>
    <row r="121" spans="1:9" x14ac:dyDescent="0.25">
      <c r="A121" t="s">
        <v>235</v>
      </c>
      <c r="B121" t="s">
        <v>236</v>
      </c>
      <c r="D121" t="s">
        <v>1743</v>
      </c>
      <c r="F121" t="str">
        <f t="shared" si="4"/>
        <v>FALCON VARAS</v>
      </c>
      <c r="G121" t="str">
        <f t="shared" si="5"/>
        <v>FALCON</v>
      </c>
      <c r="H121" t="str">
        <f t="shared" si="6"/>
        <v>VARAS</v>
      </c>
      <c r="I121" t="str">
        <f t="shared" si="7"/>
        <v xml:space="preserve"> JAIR</v>
      </c>
    </row>
    <row r="122" spans="1:9" x14ac:dyDescent="0.25">
      <c r="A122" t="s">
        <v>237</v>
      </c>
      <c r="B122" t="s">
        <v>3522</v>
      </c>
      <c r="C122" s="2">
        <v>37612</v>
      </c>
      <c r="D122" t="s">
        <v>1743</v>
      </c>
      <c r="F122" t="str">
        <f t="shared" si="4"/>
        <v>RAMOS ANCO</v>
      </c>
      <c r="G122" t="str">
        <f t="shared" si="5"/>
        <v>RAMOS</v>
      </c>
      <c r="H122" t="str">
        <f t="shared" si="6"/>
        <v>ANCO</v>
      </c>
      <c r="I122" t="str">
        <f t="shared" si="7"/>
        <v xml:space="preserve"> JESUS ENRIQUE</v>
      </c>
    </row>
    <row r="123" spans="1:9" x14ac:dyDescent="0.25">
      <c r="A123" t="s">
        <v>238</v>
      </c>
      <c r="B123" t="s">
        <v>239</v>
      </c>
      <c r="C123" s="2">
        <v>35321</v>
      </c>
      <c r="D123" t="s">
        <v>1743</v>
      </c>
      <c r="F123" t="str">
        <f t="shared" si="4"/>
        <v>TORREJON TERREROS</v>
      </c>
      <c r="G123" t="str">
        <f t="shared" si="5"/>
        <v>TORREJON</v>
      </c>
      <c r="H123" t="str">
        <f t="shared" si="6"/>
        <v>TERREROS</v>
      </c>
      <c r="I123" t="str">
        <f t="shared" si="7"/>
        <v xml:space="preserve"> JERSON LEONCIO</v>
      </c>
    </row>
    <row r="124" spans="1:9" x14ac:dyDescent="0.25">
      <c r="A124" t="s">
        <v>240</v>
      </c>
      <c r="B124" t="s">
        <v>241</v>
      </c>
      <c r="C124" s="2">
        <v>34794</v>
      </c>
      <c r="D124" t="s">
        <v>1743</v>
      </c>
      <c r="F124" t="str">
        <f t="shared" si="4"/>
        <v>CONTRERAS MENDOZA</v>
      </c>
      <c r="G124" t="str">
        <f t="shared" si="5"/>
        <v>CONTRERAS</v>
      </c>
      <c r="H124" t="str">
        <f t="shared" si="6"/>
        <v>MENDOZA</v>
      </c>
      <c r="I124" t="str">
        <f t="shared" si="7"/>
        <v xml:space="preserve"> YUGERT JEFFERSSON</v>
      </c>
    </row>
    <row r="125" spans="1:9" x14ac:dyDescent="0.25">
      <c r="A125" t="s">
        <v>242</v>
      </c>
      <c r="B125" t="s">
        <v>243</v>
      </c>
      <c r="C125" s="2">
        <v>33648</v>
      </c>
      <c r="D125" t="s">
        <v>1743</v>
      </c>
      <c r="F125" t="str">
        <f t="shared" si="4"/>
        <v>CCAMA QUISPE</v>
      </c>
      <c r="G125" t="str">
        <f t="shared" si="5"/>
        <v>CCAMA</v>
      </c>
      <c r="H125" t="str">
        <f t="shared" si="6"/>
        <v>QUISPE</v>
      </c>
      <c r="I125" t="str">
        <f t="shared" si="7"/>
        <v xml:space="preserve"> JHON CARLOS</v>
      </c>
    </row>
    <row r="126" spans="1:9" x14ac:dyDescent="0.25">
      <c r="A126" t="s">
        <v>244</v>
      </c>
      <c r="B126" t="s">
        <v>245</v>
      </c>
      <c r="C126" s="2">
        <v>36537</v>
      </c>
      <c r="D126" t="s">
        <v>1743</v>
      </c>
      <c r="E126" t="s">
        <v>1564</v>
      </c>
      <c r="F126" t="str">
        <f t="shared" si="4"/>
        <v>COVA LOPEZ</v>
      </c>
      <c r="G126" t="str">
        <f t="shared" si="5"/>
        <v>COVA</v>
      </c>
      <c r="H126" t="str">
        <f t="shared" si="6"/>
        <v>LOPEZ</v>
      </c>
      <c r="I126" t="str">
        <f t="shared" si="7"/>
        <v xml:space="preserve"> JULIO CESAR</v>
      </c>
    </row>
    <row r="127" spans="1:9" x14ac:dyDescent="0.25">
      <c r="A127" t="s">
        <v>246</v>
      </c>
      <c r="B127" t="s">
        <v>247</v>
      </c>
      <c r="C127" s="2">
        <v>37455</v>
      </c>
      <c r="D127" t="s">
        <v>1743</v>
      </c>
      <c r="F127" t="str">
        <f t="shared" si="4"/>
        <v>BENAVENTE CONTRERAS</v>
      </c>
      <c r="G127" t="str">
        <f t="shared" si="5"/>
        <v>BENAVENTE</v>
      </c>
      <c r="H127" t="str">
        <f t="shared" si="6"/>
        <v>CONTRERAS</v>
      </c>
      <c r="I127" t="str">
        <f t="shared" si="7"/>
        <v xml:space="preserve"> JHOSEPH OSMAR</v>
      </c>
    </row>
    <row r="128" spans="1:9" x14ac:dyDescent="0.25">
      <c r="A128" t="s">
        <v>248</v>
      </c>
      <c r="B128" t="s">
        <v>249</v>
      </c>
      <c r="C128" s="2">
        <v>32954</v>
      </c>
      <c r="D128" t="s">
        <v>1743</v>
      </c>
      <c r="F128" t="str">
        <f t="shared" si="4"/>
        <v>CALAHUILLE CALAHUILLE</v>
      </c>
      <c r="G128" t="str">
        <f t="shared" si="5"/>
        <v>CALAHUILLE</v>
      </c>
      <c r="H128" t="str">
        <f t="shared" si="6"/>
        <v>CALAHUILLE</v>
      </c>
      <c r="I128" t="str">
        <f t="shared" si="7"/>
        <v xml:space="preserve"> WILBER</v>
      </c>
    </row>
    <row r="129" spans="1:9" x14ac:dyDescent="0.25">
      <c r="A129" t="s">
        <v>250</v>
      </c>
      <c r="B129" t="s">
        <v>251</v>
      </c>
      <c r="C129" s="2">
        <v>35824</v>
      </c>
      <c r="D129" t="s">
        <v>1743</v>
      </c>
      <c r="F129" t="str">
        <f t="shared" si="4"/>
        <v>CUADRA PASQUEL</v>
      </c>
      <c r="G129" t="str">
        <f t="shared" si="5"/>
        <v>CUADRA</v>
      </c>
      <c r="H129" t="str">
        <f t="shared" si="6"/>
        <v>PASQUEL</v>
      </c>
      <c r="I129" t="str">
        <f t="shared" si="7"/>
        <v xml:space="preserve"> JESUS ALEJANDRO</v>
      </c>
    </row>
    <row r="130" spans="1:9" x14ac:dyDescent="0.25">
      <c r="A130" t="s">
        <v>252</v>
      </c>
      <c r="B130" t="s">
        <v>253</v>
      </c>
      <c r="C130" s="2">
        <v>32877</v>
      </c>
      <c r="D130" t="s">
        <v>1743</v>
      </c>
      <c r="F130" t="str">
        <f t="shared" si="4"/>
        <v>BUSTAMANTE REYES</v>
      </c>
      <c r="G130" t="str">
        <f t="shared" si="5"/>
        <v>BUSTAMANTE</v>
      </c>
      <c r="H130" t="str">
        <f t="shared" si="6"/>
        <v>REYES</v>
      </c>
      <c r="I130" t="str">
        <f t="shared" si="7"/>
        <v xml:space="preserve"> FRANK ANDERSON</v>
      </c>
    </row>
    <row r="131" spans="1:9" x14ac:dyDescent="0.25">
      <c r="A131" t="s">
        <v>254</v>
      </c>
      <c r="B131" t="s">
        <v>255</v>
      </c>
      <c r="C131" s="2">
        <v>33404</v>
      </c>
      <c r="D131" t="s">
        <v>1743</v>
      </c>
      <c r="F131" t="str">
        <f t="shared" ref="F131:F194" si="8">LEFT(B131,SEARCH(",",B131)-1)</f>
        <v>PEÑALOZA ALMONACID</v>
      </c>
      <c r="G131" t="str">
        <f t="shared" ref="G131:G194" si="9">LEFT(F131,SEARCH(" ",F131)-1)</f>
        <v>PEÑALOZA</v>
      </c>
      <c r="H131" t="str">
        <f t="shared" ref="H131:H194" si="10">RIGHT(F131,LEN(F131)- SEARCH(" ",F131))</f>
        <v>ALMONACID</v>
      </c>
      <c r="I131" t="str">
        <f t="shared" ref="I131:I194" si="11">RIGHT(B131,LEN(B131)- SEARCH(",",B131))</f>
        <v xml:space="preserve"> ALEJANDRO JUNIOR</v>
      </c>
    </row>
    <row r="132" spans="1:9" x14ac:dyDescent="0.25">
      <c r="A132" t="s">
        <v>256</v>
      </c>
      <c r="B132" t="s">
        <v>3523</v>
      </c>
      <c r="C132" s="2">
        <v>36271</v>
      </c>
      <c r="D132" t="s">
        <v>1743</v>
      </c>
      <c r="F132" t="str">
        <f t="shared" si="8"/>
        <v>MANAYAY SERQUEN</v>
      </c>
      <c r="G132" t="str">
        <f t="shared" si="9"/>
        <v>MANAYAY</v>
      </c>
      <c r="H132" t="str">
        <f t="shared" si="10"/>
        <v>SERQUEN</v>
      </c>
      <c r="I132" t="str">
        <f t="shared" si="11"/>
        <v xml:space="preserve"> BERNANDINO ALEXANDER</v>
      </c>
    </row>
    <row r="133" spans="1:9" x14ac:dyDescent="0.25">
      <c r="A133" t="s">
        <v>257</v>
      </c>
      <c r="B133" t="s">
        <v>258</v>
      </c>
      <c r="C133" s="2">
        <v>34778</v>
      </c>
      <c r="D133" t="s">
        <v>1743</v>
      </c>
      <c r="F133" t="str">
        <f t="shared" si="8"/>
        <v>IRIGOIN GUEVARA</v>
      </c>
      <c r="G133" t="str">
        <f t="shared" si="9"/>
        <v>IRIGOIN</v>
      </c>
      <c r="H133" t="str">
        <f t="shared" si="10"/>
        <v>GUEVARA</v>
      </c>
      <c r="I133" t="str">
        <f t="shared" si="11"/>
        <v xml:space="preserve"> FREDESVICTOR</v>
      </c>
    </row>
    <row r="134" spans="1:9" x14ac:dyDescent="0.25">
      <c r="A134" t="s">
        <v>259</v>
      </c>
      <c r="B134" t="s">
        <v>260</v>
      </c>
      <c r="C134" s="2">
        <v>36732</v>
      </c>
      <c r="D134" t="s">
        <v>1743</v>
      </c>
      <c r="F134" t="str">
        <f t="shared" si="8"/>
        <v>POMAYA PEÑALOZA</v>
      </c>
      <c r="G134" t="str">
        <f t="shared" si="9"/>
        <v>POMAYA</v>
      </c>
      <c r="H134" t="str">
        <f t="shared" si="10"/>
        <v>PEÑALOZA</v>
      </c>
      <c r="I134" t="str">
        <f t="shared" si="11"/>
        <v xml:space="preserve"> RUSEL DILVER</v>
      </c>
    </row>
    <row r="135" spans="1:9" x14ac:dyDescent="0.25">
      <c r="A135" t="s">
        <v>261</v>
      </c>
      <c r="B135" t="s">
        <v>262</v>
      </c>
      <c r="C135" s="2">
        <v>34264</v>
      </c>
      <c r="D135" t="s">
        <v>1743</v>
      </c>
      <c r="F135" t="str">
        <f t="shared" si="8"/>
        <v>HUAMAN HUAMAN</v>
      </c>
      <c r="G135" t="str">
        <f t="shared" si="9"/>
        <v>HUAMAN</v>
      </c>
      <c r="H135" t="str">
        <f t="shared" si="10"/>
        <v>HUAMAN</v>
      </c>
      <c r="I135" t="str">
        <f t="shared" si="11"/>
        <v xml:space="preserve"> JHONATAN</v>
      </c>
    </row>
    <row r="136" spans="1:9" x14ac:dyDescent="0.25">
      <c r="A136" t="s">
        <v>263</v>
      </c>
      <c r="B136" t="s">
        <v>264</v>
      </c>
      <c r="C136" s="2">
        <v>32539</v>
      </c>
      <c r="D136" t="s">
        <v>1743</v>
      </c>
      <c r="F136" t="str">
        <f t="shared" si="8"/>
        <v>BAZALAR GUTIERREZ</v>
      </c>
      <c r="G136" t="str">
        <f t="shared" si="9"/>
        <v>BAZALAR</v>
      </c>
      <c r="H136" t="str">
        <f t="shared" si="10"/>
        <v>GUTIERREZ</v>
      </c>
      <c r="I136" t="str">
        <f t="shared" si="11"/>
        <v xml:space="preserve"> JEAN PIERRE</v>
      </c>
    </row>
    <row r="137" spans="1:9" x14ac:dyDescent="0.25">
      <c r="A137" t="s">
        <v>265</v>
      </c>
      <c r="B137" t="s">
        <v>266</v>
      </c>
      <c r="D137" t="s">
        <v>1744</v>
      </c>
      <c r="F137" t="str">
        <f t="shared" si="8"/>
        <v>AMACHE AVENDAÑO</v>
      </c>
      <c r="G137" t="str">
        <f t="shared" si="9"/>
        <v>AMACHE</v>
      </c>
      <c r="H137" t="str">
        <f t="shared" si="10"/>
        <v>AVENDAÑO</v>
      </c>
      <c r="I137" t="str">
        <f t="shared" si="11"/>
        <v xml:space="preserve"> YADHIRA</v>
      </c>
    </row>
    <row r="138" spans="1:9" x14ac:dyDescent="0.25">
      <c r="A138" t="s">
        <v>267</v>
      </c>
      <c r="B138" t="s">
        <v>268</v>
      </c>
      <c r="D138" t="s">
        <v>1744</v>
      </c>
      <c r="F138" t="str">
        <f t="shared" si="8"/>
        <v>MENESES GUTIERREZ</v>
      </c>
      <c r="G138" t="str">
        <f t="shared" si="9"/>
        <v>MENESES</v>
      </c>
      <c r="H138" t="str">
        <f t="shared" si="10"/>
        <v>GUTIERREZ</v>
      </c>
      <c r="I138" t="str">
        <f t="shared" si="11"/>
        <v xml:space="preserve"> JESSY MURIEL</v>
      </c>
    </row>
    <row r="139" spans="1:9" x14ac:dyDescent="0.25">
      <c r="A139" t="s">
        <v>269</v>
      </c>
      <c r="B139" t="s">
        <v>270</v>
      </c>
      <c r="C139" s="2">
        <v>34939</v>
      </c>
      <c r="D139" t="s">
        <v>1743</v>
      </c>
      <c r="F139" t="str">
        <f t="shared" si="8"/>
        <v>UTURUNCO ARAPA</v>
      </c>
      <c r="G139" t="str">
        <f t="shared" si="9"/>
        <v>UTURUNCO</v>
      </c>
      <c r="H139" t="str">
        <f t="shared" si="10"/>
        <v>ARAPA</v>
      </c>
      <c r="I139" t="str">
        <f t="shared" si="11"/>
        <v xml:space="preserve"> HOBARD VIDAL</v>
      </c>
    </row>
    <row r="140" spans="1:9" x14ac:dyDescent="0.25">
      <c r="A140" t="s">
        <v>271</v>
      </c>
      <c r="B140" t="s">
        <v>272</v>
      </c>
      <c r="D140" t="s">
        <v>1743</v>
      </c>
      <c r="F140" t="str">
        <f t="shared" si="8"/>
        <v>DIAZ AGURTO</v>
      </c>
      <c r="G140" t="str">
        <f t="shared" si="9"/>
        <v>DIAZ</v>
      </c>
      <c r="H140" t="str">
        <f t="shared" si="10"/>
        <v>AGURTO</v>
      </c>
      <c r="I140" t="str">
        <f t="shared" si="11"/>
        <v xml:space="preserve"> FRITZGERALD DEMETRY</v>
      </c>
    </row>
    <row r="141" spans="1:9" x14ac:dyDescent="0.25">
      <c r="A141" t="s">
        <v>273</v>
      </c>
      <c r="B141" t="s">
        <v>274</v>
      </c>
      <c r="C141" s="2">
        <v>30147</v>
      </c>
      <c r="D141" t="s">
        <v>1743</v>
      </c>
      <c r="F141" t="str">
        <f t="shared" si="8"/>
        <v>CRISPIN TORRES</v>
      </c>
      <c r="G141" t="str">
        <f t="shared" si="9"/>
        <v>CRISPIN</v>
      </c>
      <c r="H141" t="str">
        <f t="shared" si="10"/>
        <v>TORRES</v>
      </c>
      <c r="I141" t="str">
        <f t="shared" si="11"/>
        <v xml:space="preserve"> ENRIQUE MOISES</v>
      </c>
    </row>
    <row r="142" spans="1:9" x14ac:dyDescent="0.25">
      <c r="A142" t="s">
        <v>275</v>
      </c>
      <c r="B142" t="s">
        <v>276</v>
      </c>
      <c r="C142" s="2">
        <v>26845</v>
      </c>
      <c r="D142" t="s">
        <v>1743</v>
      </c>
      <c r="E142" t="s">
        <v>1565</v>
      </c>
      <c r="F142" t="str">
        <f t="shared" si="8"/>
        <v>QUIJAITE JUAREZ</v>
      </c>
      <c r="G142" t="str">
        <f t="shared" si="9"/>
        <v>QUIJAITE</v>
      </c>
      <c r="H142" t="str">
        <f t="shared" si="10"/>
        <v>JUAREZ</v>
      </c>
      <c r="I142" t="str">
        <f t="shared" si="11"/>
        <v xml:space="preserve"> FELIX EDGARDO</v>
      </c>
    </row>
    <row r="143" spans="1:9" x14ac:dyDescent="0.25">
      <c r="A143" t="s">
        <v>277</v>
      </c>
      <c r="B143" t="s">
        <v>278</v>
      </c>
      <c r="C143" s="2">
        <v>35639</v>
      </c>
      <c r="D143" t="s">
        <v>1743</v>
      </c>
      <c r="F143" t="str">
        <f t="shared" si="8"/>
        <v>VALZ FLORES</v>
      </c>
      <c r="G143" t="str">
        <f t="shared" si="9"/>
        <v>VALZ</v>
      </c>
      <c r="H143" t="str">
        <f t="shared" si="10"/>
        <v>FLORES</v>
      </c>
      <c r="I143" t="str">
        <f t="shared" si="11"/>
        <v xml:space="preserve"> KARLO SEBASTIAN</v>
      </c>
    </row>
    <row r="144" spans="1:9" x14ac:dyDescent="0.25">
      <c r="A144" t="s">
        <v>279</v>
      </c>
      <c r="B144" t="s">
        <v>280</v>
      </c>
      <c r="D144" t="s">
        <v>1744</v>
      </c>
      <c r="F144" t="str">
        <f t="shared" si="8"/>
        <v>CAMPOS POMA</v>
      </c>
      <c r="G144" t="str">
        <f t="shared" si="9"/>
        <v>CAMPOS</v>
      </c>
      <c r="H144" t="str">
        <f t="shared" si="10"/>
        <v>POMA</v>
      </c>
      <c r="I144" t="str">
        <f t="shared" si="11"/>
        <v xml:space="preserve"> CARLA SAIDA</v>
      </c>
    </row>
    <row r="145" spans="1:9" x14ac:dyDescent="0.25">
      <c r="A145" t="s">
        <v>281</v>
      </c>
      <c r="B145" t="s">
        <v>282</v>
      </c>
      <c r="C145" s="2">
        <v>33880</v>
      </c>
      <c r="D145" t="s">
        <v>1743</v>
      </c>
      <c r="F145" t="str">
        <f t="shared" si="8"/>
        <v>PUCUHUAYLA ALFARO</v>
      </c>
      <c r="G145" t="str">
        <f t="shared" si="9"/>
        <v>PUCUHUAYLA</v>
      </c>
      <c r="H145" t="str">
        <f t="shared" si="10"/>
        <v>ALFARO</v>
      </c>
      <c r="I145" t="str">
        <f t="shared" si="11"/>
        <v xml:space="preserve"> ANTONIO</v>
      </c>
    </row>
    <row r="146" spans="1:9" x14ac:dyDescent="0.25">
      <c r="A146" t="s">
        <v>283</v>
      </c>
      <c r="B146" t="s">
        <v>284</v>
      </c>
      <c r="C146" s="2">
        <v>35997</v>
      </c>
      <c r="D146" t="s">
        <v>1743</v>
      </c>
      <c r="F146" t="str">
        <f t="shared" si="8"/>
        <v>DIAZ PARILLO</v>
      </c>
      <c r="G146" t="str">
        <f t="shared" si="9"/>
        <v>DIAZ</v>
      </c>
      <c r="H146" t="str">
        <f t="shared" si="10"/>
        <v>PARILLO</v>
      </c>
      <c r="I146" t="str">
        <f t="shared" si="11"/>
        <v xml:space="preserve"> HUMBERTO RONNY</v>
      </c>
    </row>
    <row r="147" spans="1:9" x14ac:dyDescent="0.25">
      <c r="A147" t="s">
        <v>285</v>
      </c>
      <c r="B147" t="s">
        <v>286</v>
      </c>
      <c r="C147" s="2">
        <v>36301</v>
      </c>
      <c r="D147" t="s">
        <v>1744</v>
      </c>
      <c r="F147" t="str">
        <f t="shared" si="8"/>
        <v>ARIAS SILVA</v>
      </c>
      <c r="G147" t="str">
        <f t="shared" si="9"/>
        <v>ARIAS</v>
      </c>
      <c r="H147" t="str">
        <f t="shared" si="10"/>
        <v>SILVA</v>
      </c>
      <c r="I147" t="str">
        <f t="shared" si="11"/>
        <v xml:space="preserve"> KATHERINE MILAGROS</v>
      </c>
    </row>
    <row r="148" spans="1:9" x14ac:dyDescent="0.25">
      <c r="A148" t="s">
        <v>287</v>
      </c>
      <c r="B148" t="s">
        <v>3524</v>
      </c>
      <c r="D148" t="s">
        <v>1743</v>
      </c>
      <c r="F148" t="str">
        <f t="shared" si="8"/>
        <v>RUFINO RIOFRIO</v>
      </c>
      <c r="G148" t="str">
        <f t="shared" si="9"/>
        <v>RUFINO</v>
      </c>
      <c r="H148" t="str">
        <f t="shared" si="10"/>
        <v>RIOFRIO</v>
      </c>
      <c r="I148" t="str">
        <f t="shared" si="11"/>
        <v xml:space="preserve"> JEAN CARLOS</v>
      </c>
    </row>
    <row r="149" spans="1:9" x14ac:dyDescent="0.25">
      <c r="A149" t="s">
        <v>288</v>
      </c>
      <c r="B149" t="s">
        <v>289</v>
      </c>
      <c r="C149" s="2">
        <v>34007</v>
      </c>
      <c r="D149" t="s">
        <v>1743</v>
      </c>
      <c r="F149" t="str">
        <f t="shared" si="8"/>
        <v>JOHANSON SAAVEDRA</v>
      </c>
      <c r="G149" t="str">
        <f t="shared" si="9"/>
        <v>JOHANSON</v>
      </c>
      <c r="H149" t="str">
        <f t="shared" si="10"/>
        <v>SAAVEDRA</v>
      </c>
      <c r="I149" t="str">
        <f t="shared" si="11"/>
        <v xml:space="preserve"> DANTE EDMUNDO</v>
      </c>
    </row>
    <row r="150" spans="1:9" x14ac:dyDescent="0.25">
      <c r="A150" t="s">
        <v>290</v>
      </c>
      <c r="B150" t="s">
        <v>3525</v>
      </c>
      <c r="D150" t="s">
        <v>1743</v>
      </c>
      <c r="F150" t="str">
        <f t="shared" si="8"/>
        <v>JUNIOR ORLANDO</v>
      </c>
      <c r="G150" t="str">
        <f t="shared" si="9"/>
        <v>JUNIOR</v>
      </c>
      <c r="H150" t="str">
        <f t="shared" si="10"/>
        <v>ORLANDO</v>
      </c>
      <c r="I150" t="str">
        <f t="shared" si="11"/>
        <v xml:space="preserve"> BERRU ZAPATA</v>
      </c>
    </row>
    <row r="151" spans="1:9" x14ac:dyDescent="0.25">
      <c r="A151" t="s">
        <v>291</v>
      </c>
      <c r="B151" t="s">
        <v>292</v>
      </c>
      <c r="D151" t="s">
        <v>1743</v>
      </c>
      <c r="F151" t="str">
        <f t="shared" si="8"/>
        <v>PALACIOS SOTA</v>
      </c>
      <c r="G151" t="str">
        <f t="shared" si="9"/>
        <v>PALACIOS</v>
      </c>
      <c r="H151" t="str">
        <f t="shared" si="10"/>
        <v>SOTA</v>
      </c>
      <c r="I151" t="str">
        <f t="shared" si="11"/>
        <v xml:space="preserve"> MARCEL ALI</v>
      </c>
    </row>
    <row r="152" spans="1:9" x14ac:dyDescent="0.25">
      <c r="A152" t="s">
        <v>293</v>
      </c>
      <c r="B152" t="s">
        <v>294</v>
      </c>
      <c r="D152" t="s">
        <v>1743</v>
      </c>
      <c r="F152" t="str">
        <f t="shared" si="8"/>
        <v>FIGUEROA CCALLA</v>
      </c>
      <c r="G152" t="str">
        <f t="shared" si="9"/>
        <v>FIGUEROA</v>
      </c>
      <c r="H152" t="str">
        <f t="shared" si="10"/>
        <v>CCALLA</v>
      </c>
      <c r="I152" t="str">
        <f t="shared" si="11"/>
        <v xml:space="preserve"> CESAR</v>
      </c>
    </row>
    <row r="153" spans="1:9" x14ac:dyDescent="0.25">
      <c r="A153" t="s">
        <v>295</v>
      </c>
      <c r="B153" t="s">
        <v>296</v>
      </c>
      <c r="C153" s="2">
        <v>35584</v>
      </c>
      <c r="D153" t="s">
        <v>1743</v>
      </c>
      <c r="E153" t="s">
        <v>1566</v>
      </c>
      <c r="F153" t="str">
        <f t="shared" si="8"/>
        <v>ESPINOZA PAMPAS</v>
      </c>
      <c r="G153" t="str">
        <f t="shared" si="9"/>
        <v>ESPINOZA</v>
      </c>
      <c r="H153" t="str">
        <f t="shared" si="10"/>
        <v>PAMPAS</v>
      </c>
      <c r="I153" t="str">
        <f t="shared" si="11"/>
        <v xml:space="preserve"> JLENDER ELI</v>
      </c>
    </row>
    <row r="154" spans="1:9" x14ac:dyDescent="0.25">
      <c r="A154" t="s">
        <v>297</v>
      </c>
      <c r="B154" t="s">
        <v>298</v>
      </c>
      <c r="D154" t="s">
        <v>1743</v>
      </c>
      <c r="F154" t="str">
        <f t="shared" si="8"/>
        <v>CASTRO CASTRO</v>
      </c>
      <c r="G154" t="str">
        <f t="shared" si="9"/>
        <v>CASTRO</v>
      </c>
      <c r="H154" t="str">
        <f t="shared" si="10"/>
        <v>CASTRO</v>
      </c>
      <c r="I154" t="str">
        <f t="shared" si="11"/>
        <v xml:space="preserve"> FRANCK MARCOS</v>
      </c>
    </row>
    <row r="155" spans="1:9" x14ac:dyDescent="0.25">
      <c r="A155" t="s">
        <v>299</v>
      </c>
      <c r="B155" t="s">
        <v>300</v>
      </c>
      <c r="C155" s="2">
        <v>33215</v>
      </c>
      <c r="D155" t="s">
        <v>1743</v>
      </c>
      <c r="F155" t="str">
        <f t="shared" si="8"/>
        <v>CHOQUE VILCA</v>
      </c>
      <c r="G155" t="str">
        <f t="shared" si="9"/>
        <v>CHOQUE</v>
      </c>
      <c r="H155" t="str">
        <f t="shared" si="10"/>
        <v>VILCA</v>
      </c>
      <c r="I155" t="str">
        <f t="shared" si="11"/>
        <v xml:space="preserve"> ALEXANDER RAUL</v>
      </c>
    </row>
    <row r="156" spans="1:9" x14ac:dyDescent="0.25">
      <c r="A156" t="s">
        <v>301</v>
      </c>
      <c r="B156" t="s">
        <v>302</v>
      </c>
      <c r="C156" s="2">
        <v>35491</v>
      </c>
      <c r="D156" t="s">
        <v>1743</v>
      </c>
      <c r="F156" t="str">
        <f t="shared" si="8"/>
        <v>CHAVEZ MALPARTIDA</v>
      </c>
      <c r="G156" t="str">
        <f t="shared" si="9"/>
        <v>CHAVEZ</v>
      </c>
      <c r="H156" t="str">
        <f t="shared" si="10"/>
        <v>MALPARTIDA</v>
      </c>
      <c r="I156" t="str">
        <f t="shared" si="11"/>
        <v xml:space="preserve"> KEVIN ANDY</v>
      </c>
    </row>
    <row r="157" spans="1:9" x14ac:dyDescent="0.25">
      <c r="A157" t="s">
        <v>303</v>
      </c>
      <c r="B157" t="s">
        <v>3526</v>
      </c>
      <c r="C157" s="2">
        <v>36117</v>
      </c>
      <c r="D157" t="s">
        <v>1743</v>
      </c>
      <c r="E157" t="s">
        <v>1567</v>
      </c>
      <c r="F157" t="str">
        <f t="shared" si="8"/>
        <v>ORTEGA TELLO</v>
      </c>
      <c r="G157" t="str">
        <f t="shared" si="9"/>
        <v>ORTEGA</v>
      </c>
      <c r="H157" t="str">
        <f t="shared" si="10"/>
        <v>TELLO</v>
      </c>
      <c r="I157" t="str">
        <f t="shared" si="11"/>
        <v xml:space="preserve"> HENRY LUIS</v>
      </c>
    </row>
    <row r="158" spans="1:9" x14ac:dyDescent="0.25">
      <c r="A158" t="s">
        <v>304</v>
      </c>
      <c r="B158" t="s">
        <v>3527</v>
      </c>
      <c r="D158" t="s">
        <v>1743</v>
      </c>
      <c r="F158" t="str">
        <f t="shared" si="8"/>
        <v>SOTO HUARNIZ</v>
      </c>
      <c r="G158" t="str">
        <f t="shared" si="9"/>
        <v>SOTO</v>
      </c>
      <c r="H158" t="str">
        <f t="shared" si="10"/>
        <v>HUARNIZ</v>
      </c>
      <c r="I158" t="str">
        <f t="shared" si="11"/>
        <v xml:space="preserve"> MIGUEL ANTHONY</v>
      </c>
    </row>
    <row r="159" spans="1:9" x14ac:dyDescent="0.25">
      <c r="A159" t="s">
        <v>305</v>
      </c>
      <c r="B159" t="s">
        <v>306</v>
      </c>
      <c r="C159" s="2">
        <v>32209</v>
      </c>
      <c r="D159" t="s">
        <v>1743</v>
      </c>
      <c r="F159" t="str">
        <f t="shared" si="8"/>
        <v>SUAREZ GONZALES</v>
      </c>
      <c r="G159" t="str">
        <f t="shared" si="9"/>
        <v>SUAREZ</v>
      </c>
      <c r="H159" t="str">
        <f t="shared" si="10"/>
        <v>GONZALES</v>
      </c>
      <c r="I159" t="str">
        <f t="shared" si="11"/>
        <v xml:space="preserve"> JORGE LUIS</v>
      </c>
    </row>
    <row r="160" spans="1:9" x14ac:dyDescent="0.25">
      <c r="A160" t="s">
        <v>307</v>
      </c>
      <c r="B160" t="s">
        <v>308</v>
      </c>
      <c r="C160" s="2">
        <v>36608</v>
      </c>
      <c r="D160" t="s">
        <v>1743</v>
      </c>
      <c r="F160" t="str">
        <f t="shared" si="8"/>
        <v>BARJA NUÑEZ</v>
      </c>
      <c r="G160" t="str">
        <f t="shared" si="9"/>
        <v>BARJA</v>
      </c>
      <c r="H160" t="str">
        <f t="shared" si="10"/>
        <v>NUÑEZ</v>
      </c>
      <c r="I160" t="str">
        <f t="shared" si="11"/>
        <v xml:space="preserve"> CARLOS ADRIEL</v>
      </c>
    </row>
    <row r="161" spans="1:9" x14ac:dyDescent="0.25">
      <c r="A161" t="s">
        <v>309</v>
      </c>
      <c r="B161" t="s">
        <v>310</v>
      </c>
      <c r="C161" s="2">
        <v>30422</v>
      </c>
      <c r="D161" t="s">
        <v>1743</v>
      </c>
      <c r="F161" t="str">
        <f t="shared" si="8"/>
        <v>CHINO ADUVIRI</v>
      </c>
      <c r="G161" t="str">
        <f t="shared" si="9"/>
        <v>CHINO</v>
      </c>
      <c r="H161" t="str">
        <f t="shared" si="10"/>
        <v>ADUVIRI</v>
      </c>
      <c r="I161" t="str">
        <f t="shared" si="11"/>
        <v xml:space="preserve"> TORIBIO</v>
      </c>
    </row>
    <row r="162" spans="1:9" x14ac:dyDescent="0.25">
      <c r="A162" t="s">
        <v>311</v>
      </c>
      <c r="B162" t="s">
        <v>312</v>
      </c>
      <c r="C162" s="2">
        <v>36073</v>
      </c>
      <c r="D162" t="s">
        <v>1743</v>
      </c>
      <c r="E162" t="s">
        <v>1568</v>
      </c>
      <c r="F162" t="str">
        <f t="shared" si="8"/>
        <v>APAZA PUMA</v>
      </c>
      <c r="G162" t="str">
        <f t="shared" si="9"/>
        <v>APAZA</v>
      </c>
      <c r="H162" t="str">
        <f t="shared" si="10"/>
        <v>PUMA</v>
      </c>
      <c r="I162" t="str">
        <f t="shared" si="11"/>
        <v xml:space="preserve"> WILFREDO</v>
      </c>
    </row>
    <row r="163" spans="1:9" x14ac:dyDescent="0.25">
      <c r="A163" t="s">
        <v>313</v>
      </c>
      <c r="B163" t="s">
        <v>314</v>
      </c>
      <c r="C163" s="2">
        <v>34672</v>
      </c>
      <c r="D163" t="s">
        <v>1744</v>
      </c>
      <c r="F163" t="str">
        <f t="shared" si="8"/>
        <v>CABELLO CAMPOS</v>
      </c>
      <c r="G163" t="str">
        <f t="shared" si="9"/>
        <v>CABELLO</v>
      </c>
      <c r="H163" t="str">
        <f t="shared" si="10"/>
        <v>CAMPOS</v>
      </c>
      <c r="I163" t="str">
        <f t="shared" si="11"/>
        <v xml:space="preserve"> RUTH YORICA</v>
      </c>
    </row>
    <row r="164" spans="1:9" x14ac:dyDescent="0.25">
      <c r="A164" t="s">
        <v>315</v>
      </c>
      <c r="B164" t="s">
        <v>3528</v>
      </c>
      <c r="D164" t="s">
        <v>1743</v>
      </c>
      <c r="F164" t="str">
        <f t="shared" si="8"/>
        <v>JORDAN TAPARA</v>
      </c>
      <c r="G164" t="str">
        <f t="shared" si="9"/>
        <v>JORDAN</v>
      </c>
      <c r="H164" t="str">
        <f t="shared" si="10"/>
        <v>TAPARA</v>
      </c>
      <c r="I164" t="str">
        <f t="shared" si="11"/>
        <v xml:space="preserve"> RODRIGO</v>
      </c>
    </row>
    <row r="165" spans="1:9" x14ac:dyDescent="0.25">
      <c r="A165" t="s">
        <v>316</v>
      </c>
      <c r="B165" t="s">
        <v>3529</v>
      </c>
      <c r="D165" t="s">
        <v>1743</v>
      </c>
      <c r="F165" t="str">
        <f t="shared" si="8"/>
        <v>VARGAS HARO</v>
      </c>
      <c r="G165" t="str">
        <f t="shared" si="9"/>
        <v>VARGAS</v>
      </c>
      <c r="H165" t="str">
        <f t="shared" si="10"/>
        <v>HARO</v>
      </c>
      <c r="I165" t="str">
        <f t="shared" si="11"/>
        <v xml:space="preserve"> GARY JUNIOR</v>
      </c>
    </row>
    <row r="166" spans="1:9" x14ac:dyDescent="0.25">
      <c r="A166" t="s">
        <v>317</v>
      </c>
      <c r="B166" t="s">
        <v>318</v>
      </c>
      <c r="C166" s="2">
        <v>34803</v>
      </c>
      <c r="D166" t="s">
        <v>1743</v>
      </c>
      <c r="F166" t="str">
        <f t="shared" si="8"/>
        <v>ROMERO TORRES</v>
      </c>
      <c r="G166" t="str">
        <f t="shared" si="9"/>
        <v>ROMERO</v>
      </c>
      <c r="H166" t="str">
        <f t="shared" si="10"/>
        <v>TORRES</v>
      </c>
      <c r="I166" t="str">
        <f t="shared" si="11"/>
        <v xml:space="preserve"> GIANMARCO EDUARDO</v>
      </c>
    </row>
    <row r="167" spans="1:9" x14ac:dyDescent="0.25">
      <c r="A167" t="s">
        <v>319</v>
      </c>
      <c r="B167" t="s">
        <v>320</v>
      </c>
      <c r="C167" s="2">
        <v>36425</v>
      </c>
      <c r="D167" t="s">
        <v>1743</v>
      </c>
      <c r="F167" t="str">
        <f t="shared" si="8"/>
        <v>VEGA TORRES</v>
      </c>
      <c r="G167" t="str">
        <f t="shared" si="9"/>
        <v>VEGA</v>
      </c>
      <c r="H167" t="str">
        <f t="shared" si="10"/>
        <v>TORRES</v>
      </c>
      <c r="I167" t="str">
        <f t="shared" si="11"/>
        <v xml:space="preserve"> ELIAZEL ENRRIQUE</v>
      </c>
    </row>
    <row r="168" spans="1:9" x14ac:dyDescent="0.25">
      <c r="A168" t="s">
        <v>321</v>
      </c>
      <c r="B168" t="s">
        <v>322</v>
      </c>
      <c r="C168" s="2">
        <v>34936</v>
      </c>
      <c r="D168" t="s">
        <v>1743</v>
      </c>
      <c r="F168" t="str">
        <f t="shared" si="8"/>
        <v>AVILA VENTO</v>
      </c>
      <c r="G168" t="str">
        <f t="shared" si="9"/>
        <v>AVILA</v>
      </c>
      <c r="H168" t="str">
        <f t="shared" si="10"/>
        <v>VENTO</v>
      </c>
      <c r="I168" t="str">
        <f t="shared" si="11"/>
        <v xml:space="preserve"> OLGHER FABIAN</v>
      </c>
    </row>
    <row r="169" spans="1:9" x14ac:dyDescent="0.25">
      <c r="A169" t="s">
        <v>323</v>
      </c>
      <c r="B169" t="s">
        <v>324</v>
      </c>
      <c r="C169" s="2">
        <v>34479</v>
      </c>
      <c r="D169" t="s">
        <v>1743</v>
      </c>
      <c r="F169" t="str">
        <f t="shared" si="8"/>
        <v>CASAS LOPEZ</v>
      </c>
      <c r="G169" t="str">
        <f t="shared" si="9"/>
        <v>CASAS</v>
      </c>
      <c r="H169" t="str">
        <f t="shared" si="10"/>
        <v>LOPEZ</v>
      </c>
      <c r="I169" t="str">
        <f t="shared" si="11"/>
        <v xml:space="preserve"> CESAR AUGUSTO</v>
      </c>
    </row>
    <row r="170" spans="1:9" x14ac:dyDescent="0.25">
      <c r="A170" t="s">
        <v>325</v>
      </c>
      <c r="B170" t="s">
        <v>326</v>
      </c>
      <c r="D170" t="s">
        <v>1743</v>
      </c>
      <c r="F170" t="str">
        <f t="shared" si="8"/>
        <v>HERRERA CRIOLLO</v>
      </c>
      <c r="G170" t="str">
        <f t="shared" si="9"/>
        <v>HERRERA</v>
      </c>
      <c r="H170" t="str">
        <f t="shared" si="10"/>
        <v>CRIOLLO</v>
      </c>
      <c r="I170" t="str">
        <f t="shared" si="11"/>
        <v xml:space="preserve"> LEONEL</v>
      </c>
    </row>
    <row r="171" spans="1:9" x14ac:dyDescent="0.25">
      <c r="A171" t="s">
        <v>327</v>
      </c>
      <c r="B171" t="s">
        <v>328</v>
      </c>
      <c r="C171" s="2">
        <v>34708</v>
      </c>
      <c r="D171" t="s">
        <v>1743</v>
      </c>
      <c r="F171" t="str">
        <f t="shared" si="8"/>
        <v>QUIROGA PALMA</v>
      </c>
      <c r="G171" t="str">
        <f t="shared" si="9"/>
        <v>QUIROGA</v>
      </c>
      <c r="H171" t="str">
        <f t="shared" si="10"/>
        <v>PALMA</v>
      </c>
      <c r="I171" t="str">
        <f t="shared" si="11"/>
        <v xml:space="preserve"> JONATHAN JOSEPH</v>
      </c>
    </row>
    <row r="172" spans="1:9" x14ac:dyDescent="0.25">
      <c r="A172" t="s">
        <v>329</v>
      </c>
      <c r="B172" t="s">
        <v>330</v>
      </c>
      <c r="C172" s="2">
        <v>36864</v>
      </c>
      <c r="D172" t="s">
        <v>1744</v>
      </c>
      <c r="F172" t="str">
        <f t="shared" si="8"/>
        <v>IMAN TORRES</v>
      </c>
      <c r="G172" t="str">
        <f t="shared" si="9"/>
        <v>IMAN</v>
      </c>
      <c r="H172" t="str">
        <f t="shared" si="10"/>
        <v>TORRES</v>
      </c>
      <c r="I172" t="str">
        <f t="shared" si="11"/>
        <v xml:space="preserve"> NAYADA KIMBERLY ARIANA</v>
      </c>
    </row>
    <row r="173" spans="1:9" x14ac:dyDescent="0.25">
      <c r="A173" t="s">
        <v>331</v>
      </c>
      <c r="B173" t="s">
        <v>3530</v>
      </c>
      <c r="D173" t="s">
        <v>1743</v>
      </c>
      <c r="F173" t="str">
        <f t="shared" si="8"/>
        <v>MALLMA MOSQUERA</v>
      </c>
      <c r="G173" t="str">
        <f t="shared" si="9"/>
        <v>MALLMA</v>
      </c>
      <c r="H173" t="str">
        <f t="shared" si="10"/>
        <v>MOSQUERA</v>
      </c>
      <c r="I173" t="str">
        <f t="shared" si="11"/>
        <v xml:space="preserve"> RELVI ORLAN</v>
      </c>
    </row>
    <row r="174" spans="1:9" x14ac:dyDescent="0.25">
      <c r="A174" t="s">
        <v>332</v>
      </c>
      <c r="B174" t="s">
        <v>333</v>
      </c>
      <c r="C174" s="2">
        <v>36306</v>
      </c>
      <c r="D174" t="s">
        <v>1743</v>
      </c>
      <c r="F174" t="str">
        <f t="shared" si="8"/>
        <v>TINCO AUCCAHUASI</v>
      </c>
      <c r="G174" t="str">
        <f t="shared" si="9"/>
        <v>TINCO</v>
      </c>
      <c r="H174" t="str">
        <f t="shared" si="10"/>
        <v>AUCCAHUASI</v>
      </c>
      <c r="I174" t="str">
        <f t="shared" si="11"/>
        <v xml:space="preserve"> JOSE ANTONIO</v>
      </c>
    </row>
    <row r="175" spans="1:9" x14ac:dyDescent="0.25">
      <c r="A175" t="s">
        <v>334</v>
      </c>
      <c r="B175" t="s">
        <v>335</v>
      </c>
      <c r="D175" t="s">
        <v>1743</v>
      </c>
      <c r="F175" t="str">
        <f t="shared" si="8"/>
        <v>ALMEYDA VEGA</v>
      </c>
      <c r="G175" t="str">
        <f t="shared" si="9"/>
        <v>ALMEYDA</v>
      </c>
      <c r="H175" t="str">
        <f t="shared" si="10"/>
        <v>VEGA</v>
      </c>
      <c r="I175" t="str">
        <f t="shared" si="11"/>
        <v xml:space="preserve"> MICHELL</v>
      </c>
    </row>
    <row r="176" spans="1:9" x14ac:dyDescent="0.25">
      <c r="A176" t="s">
        <v>336</v>
      </c>
      <c r="B176" t="s">
        <v>337</v>
      </c>
      <c r="D176" t="s">
        <v>1743</v>
      </c>
      <c r="F176" t="str">
        <f t="shared" si="8"/>
        <v>ORTIZ LOPEZ</v>
      </c>
      <c r="G176" t="str">
        <f t="shared" si="9"/>
        <v>ORTIZ</v>
      </c>
      <c r="H176" t="str">
        <f t="shared" si="10"/>
        <v>LOPEZ</v>
      </c>
      <c r="I176" t="str">
        <f t="shared" si="11"/>
        <v xml:space="preserve"> LEONARDO ADRIAN</v>
      </c>
    </row>
    <row r="177" spans="1:9" x14ac:dyDescent="0.25">
      <c r="A177" t="s">
        <v>338</v>
      </c>
      <c r="B177" t="s">
        <v>339</v>
      </c>
      <c r="C177" s="2">
        <v>35685</v>
      </c>
      <c r="D177" t="s">
        <v>1743</v>
      </c>
      <c r="F177" t="str">
        <f t="shared" si="8"/>
        <v>CAMACHO SILVERIO</v>
      </c>
      <c r="G177" t="str">
        <f t="shared" si="9"/>
        <v>CAMACHO</v>
      </c>
      <c r="H177" t="str">
        <f t="shared" si="10"/>
        <v>SILVERIO</v>
      </c>
      <c r="I177" t="str">
        <f t="shared" si="11"/>
        <v xml:space="preserve"> PEDRO CESAR</v>
      </c>
    </row>
    <row r="178" spans="1:9" x14ac:dyDescent="0.25">
      <c r="A178" t="s">
        <v>340</v>
      </c>
      <c r="B178" t="s">
        <v>341</v>
      </c>
      <c r="D178" t="s">
        <v>1743</v>
      </c>
      <c r="F178" t="str">
        <f t="shared" si="8"/>
        <v>VARGAS GUTIERREZ</v>
      </c>
      <c r="G178" t="str">
        <f t="shared" si="9"/>
        <v>VARGAS</v>
      </c>
      <c r="H178" t="str">
        <f t="shared" si="10"/>
        <v>GUTIERREZ</v>
      </c>
      <c r="I178" t="str">
        <f t="shared" si="11"/>
        <v xml:space="preserve"> JOYCE</v>
      </c>
    </row>
    <row r="179" spans="1:9" x14ac:dyDescent="0.25">
      <c r="A179" t="s">
        <v>342</v>
      </c>
      <c r="B179" t="s">
        <v>343</v>
      </c>
      <c r="C179" s="2">
        <v>33925</v>
      </c>
      <c r="D179" t="s">
        <v>1743</v>
      </c>
      <c r="F179" t="str">
        <f t="shared" si="8"/>
        <v>HUALLPA HUILLCA</v>
      </c>
      <c r="G179" t="str">
        <f t="shared" si="9"/>
        <v>HUALLPA</v>
      </c>
      <c r="H179" t="str">
        <f t="shared" si="10"/>
        <v>HUILLCA</v>
      </c>
      <c r="I179" t="str">
        <f t="shared" si="11"/>
        <v xml:space="preserve"> WILSON FERNANDO</v>
      </c>
    </row>
    <row r="180" spans="1:9" x14ac:dyDescent="0.25">
      <c r="A180" t="s">
        <v>344</v>
      </c>
      <c r="B180" t="s">
        <v>345</v>
      </c>
      <c r="C180" s="2">
        <v>35388</v>
      </c>
      <c r="D180" t="s">
        <v>1743</v>
      </c>
      <c r="F180" t="str">
        <f t="shared" si="8"/>
        <v>TORRES SANCHEZ</v>
      </c>
      <c r="G180" t="str">
        <f t="shared" si="9"/>
        <v>TORRES</v>
      </c>
      <c r="H180" t="str">
        <f t="shared" si="10"/>
        <v>SANCHEZ</v>
      </c>
      <c r="I180" t="str">
        <f t="shared" si="11"/>
        <v xml:space="preserve"> GONZALO JAVIER</v>
      </c>
    </row>
    <row r="181" spans="1:9" x14ac:dyDescent="0.25">
      <c r="A181" t="s">
        <v>346</v>
      </c>
      <c r="B181" t="s">
        <v>347</v>
      </c>
      <c r="C181" s="2">
        <v>34260</v>
      </c>
      <c r="D181" t="s">
        <v>1743</v>
      </c>
      <c r="F181" t="str">
        <f t="shared" si="8"/>
        <v>MOGOLLON PALOMINO</v>
      </c>
      <c r="G181" t="str">
        <f t="shared" si="9"/>
        <v>MOGOLLON</v>
      </c>
      <c r="H181" t="str">
        <f t="shared" si="10"/>
        <v>PALOMINO</v>
      </c>
      <c r="I181" t="str">
        <f t="shared" si="11"/>
        <v xml:space="preserve"> ARNOLD OLIVER</v>
      </c>
    </row>
    <row r="182" spans="1:9" x14ac:dyDescent="0.25">
      <c r="A182" t="s">
        <v>348</v>
      </c>
      <c r="B182" t="s">
        <v>349</v>
      </c>
      <c r="C182" s="2">
        <v>34808</v>
      </c>
      <c r="D182" t="s">
        <v>1743</v>
      </c>
      <c r="F182" t="str">
        <f t="shared" si="8"/>
        <v>TOSCANO FERNANDEZ</v>
      </c>
      <c r="G182" t="str">
        <f t="shared" si="9"/>
        <v>TOSCANO</v>
      </c>
      <c r="H182" t="str">
        <f t="shared" si="10"/>
        <v>FERNANDEZ</v>
      </c>
      <c r="I182" t="str">
        <f t="shared" si="11"/>
        <v xml:space="preserve"> ERASMO</v>
      </c>
    </row>
    <row r="183" spans="1:9" x14ac:dyDescent="0.25">
      <c r="A183" t="s">
        <v>96</v>
      </c>
      <c r="B183" t="s">
        <v>97</v>
      </c>
      <c r="C183" s="2">
        <v>33723</v>
      </c>
      <c r="D183" t="s">
        <v>1743</v>
      </c>
      <c r="F183" t="str">
        <f t="shared" si="8"/>
        <v>RAMIREZ RODRIGUEZ</v>
      </c>
      <c r="G183" t="str">
        <f t="shared" si="9"/>
        <v>RAMIREZ</v>
      </c>
      <c r="H183" t="str">
        <f t="shared" si="10"/>
        <v>RODRIGUEZ</v>
      </c>
      <c r="I183" t="str">
        <f t="shared" si="11"/>
        <v xml:space="preserve"> JIMMY JOEL</v>
      </c>
    </row>
    <row r="184" spans="1:9" x14ac:dyDescent="0.25">
      <c r="A184" t="s">
        <v>350</v>
      </c>
      <c r="B184" t="s">
        <v>351</v>
      </c>
      <c r="C184" s="2">
        <v>33824</v>
      </c>
      <c r="D184" t="s">
        <v>1743</v>
      </c>
      <c r="F184" t="str">
        <f t="shared" si="8"/>
        <v>JIMENEZ BARTESAGHI</v>
      </c>
      <c r="G184" t="str">
        <f t="shared" si="9"/>
        <v>JIMENEZ</v>
      </c>
      <c r="H184" t="str">
        <f t="shared" si="10"/>
        <v>BARTESAGHI</v>
      </c>
      <c r="I184" t="str">
        <f t="shared" si="11"/>
        <v xml:space="preserve"> LUIS EDMUNDO</v>
      </c>
    </row>
    <row r="185" spans="1:9" x14ac:dyDescent="0.25">
      <c r="A185" t="s">
        <v>352</v>
      </c>
      <c r="B185" t="s">
        <v>353</v>
      </c>
      <c r="D185" t="s">
        <v>1743</v>
      </c>
      <c r="F185" t="str">
        <f t="shared" si="8"/>
        <v>AGURTO HUACAUSI</v>
      </c>
      <c r="G185" t="str">
        <f t="shared" si="9"/>
        <v>AGURTO</v>
      </c>
      <c r="H185" t="str">
        <f t="shared" si="10"/>
        <v>HUACAUSI</v>
      </c>
      <c r="I185" t="str">
        <f t="shared" si="11"/>
        <v xml:space="preserve"> WILMER FREDDY</v>
      </c>
    </row>
    <row r="186" spans="1:9" x14ac:dyDescent="0.25">
      <c r="A186" t="s">
        <v>354</v>
      </c>
      <c r="B186" t="s">
        <v>355</v>
      </c>
      <c r="C186" s="2">
        <v>36279</v>
      </c>
      <c r="D186" t="s">
        <v>1743</v>
      </c>
      <c r="F186" t="str">
        <f t="shared" si="8"/>
        <v>RIOS MENDOZA</v>
      </c>
      <c r="G186" t="str">
        <f t="shared" si="9"/>
        <v>RIOS</v>
      </c>
      <c r="H186" t="str">
        <f t="shared" si="10"/>
        <v>MENDOZA</v>
      </c>
      <c r="I186" t="str">
        <f t="shared" si="11"/>
        <v xml:space="preserve"> LEONARDO ANTONIO</v>
      </c>
    </row>
    <row r="187" spans="1:9" x14ac:dyDescent="0.25">
      <c r="A187" t="s">
        <v>356</v>
      </c>
      <c r="B187" t="s">
        <v>357</v>
      </c>
      <c r="D187" t="s">
        <v>1743</v>
      </c>
      <c r="F187" t="str">
        <f t="shared" si="8"/>
        <v>RIVADENEYRA ZAMBRANO</v>
      </c>
      <c r="G187" t="str">
        <f t="shared" si="9"/>
        <v>RIVADENEYRA</v>
      </c>
      <c r="H187" t="str">
        <f t="shared" si="10"/>
        <v>ZAMBRANO</v>
      </c>
      <c r="I187" t="str">
        <f t="shared" si="11"/>
        <v xml:space="preserve"> FABRICIO PIERRE</v>
      </c>
    </row>
    <row r="188" spans="1:9" x14ac:dyDescent="0.25">
      <c r="A188" t="s">
        <v>358</v>
      </c>
      <c r="B188" t="s">
        <v>359</v>
      </c>
      <c r="C188" s="2">
        <v>33558</v>
      </c>
      <c r="D188" t="s">
        <v>1743</v>
      </c>
      <c r="F188" t="str">
        <f t="shared" si="8"/>
        <v>SALDIVAR SEQUEIROS</v>
      </c>
      <c r="G188" t="str">
        <f t="shared" si="9"/>
        <v>SALDIVAR</v>
      </c>
      <c r="H188" t="str">
        <f t="shared" si="10"/>
        <v>SEQUEIROS</v>
      </c>
      <c r="I188" t="str">
        <f t="shared" si="11"/>
        <v xml:space="preserve"> RENZO JUVENAL</v>
      </c>
    </row>
    <row r="189" spans="1:9" x14ac:dyDescent="0.25">
      <c r="A189" t="s">
        <v>360</v>
      </c>
      <c r="B189" t="s">
        <v>361</v>
      </c>
      <c r="D189" t="s">
        <v>1743</v>
      </c>
      <c r="F189" t="str">
        <f t="shared" si="8"/>
        <v>RAMIREZ QUIROGA</v>
      </c>
      <c r="G189" t="str">
        <f t="shared" si="9"/>
        <v>RAMIREZ</v>
      </c>
      <c r="H189" t="str">
        <f t="shared" si="10"/>
        <v>QUIROGA</v>
      </c>
      <c r="I189" t="str">
        <f t="shared" si="11"/>
        <v xml:space="preserve"> HÉCTOR ANDRÉS</v>
      </c>
    </row>
    <row r="190" spans="1:9" x14ac:dyDescent="0.25">
      <c r="A190" t="s">
        <v>362</v>
      </c>
      <c r="B190" t="s">
        <v>363</v>
      </c>
      <c r="D190" t="s">
        <v>1743</v>
      </c>
      <c r="F190" t="str">
        <f t="shared" si="8"/>
        <v>CISNEROS YESAN</v>
      </c>
      <c r="G190" t="str">
        <f t="shared" si="9"/>
        <v>CISNEROS</v>
      </c>
      <c r="H190" t="str">
        <f t="shared" si="10"/>
        <v>YESAN</v>
      </c>
      <c r="I190" t="str">
        <f t="shared" si="11"/>
        <v xml:space="preserve"> ROY KEVIN</v>
      </c>
    </row>
    <row r="191" spans="1:9" x14ac:dyDescent="0.25">
      <c r="A191" t="s">
        <v>364</v>
      </c>
      <c r="B191" t="s">
        <v>365</v>
      </c>
      <c r="C191" s="2">
        <v>33433</v>
      </c>
      <c r="D191" t="s">
        <v>1743</v>
      </c>
      <c r="F191" t="str">
        <f t="shared" si="8"/>
        <v>LAMPA CCASO</v>
      </c>
      <c r="G191" t="str">
        <f t="shared" si="9"/>
        <v>LAMPA</v>
      </c>
      <c r="H191" t="str">
        <f t="shared" si="10"/>
        <v>CCASO</v>
      </c>
      <c r="I191" t="str">
        <f t="shared" si="11"/>
        <v xml:space="preserve"> JUAN JOSE</v>
      </c>
    </row>
    <row r="192" spans="1:9" x14ac:dyDescent="0.25">
      <c r="A192" t="s">
        <v>366</v>
      </c>
      <c r="B192" t="s">
        <v>367</v>
      </c>
      <c r="C192" s="2">
        <v>34494</v>
      </c>
      <c r="D192" t="s">
        <v>1743</v>
      </c>
      <c r="F192" t="str">
        <f t="shared" si="8"/>
        <v>QUISPE PACCO</v>
      </c>
      <c r="G192" t="str">
        <f t="shared" si="9"/>
        <v>QUISPE</v>
      </c>
      <c r="H192" t="str">
        <f t="shared" si="10"/>
        <v>PACCO</v>
      </c>
      <c r="I192" t="str">
        <f t="shared" si="11"/>
        <v xml:space="preserve"> ALEX</v>
      </c>
    </row>
    <row r="193" spans="1:9" x14ac:dyDescent="0.25">
      <c r="A193" t="s">
        <v>368</v>
      </c>
      <c r="B193" t="s">
        <v>369</v>
      </c>
      <c r="C193" s="2">
        <v>34926</v>
      </c>
      <c r="D193" t="s">
        <v>1743</v>
      </c>
      <c r="F193" t="str">
        <f t="shared" si="8"/>
        <v>ROJAS RIVERA</v>
      </c>
      <c r="G193" t="str">
        <f t="shared" si="9"/>
        <v>ROJAS</v>
      </c>
      <c r="H193" t="str">
        <f t="shared" si="10"/>
        <v>RIVERA</v>
      </c>
      <c r="I193" t="str">
        <f t="shared" si="11"/>
        <v xml:space="preserve"> JAVIER ALEXANDER</v>
      </c>
    </row>
    <row r="194" spans="1:9" x14ac:dyDescent="0.25">
      <c r="A194" t="s">
        <v>370</v>
      </c>
      <c r="B194" t="s">
        <v>371</v>
      </c>
      <c r="D194" t="s">
        <v>1743</v>
      </c>
      <c r="F194" t="str">
        <f t="shared" si="8"/>
        <v>CUADRA MONTECINO</v>
      </c>
      <c r="G194" t="str">
        <f t="shared" si="9"/>
        <v>CUADRA</v>
      </c>
      <c r="H194" t="str">
        <f t="shared" si="10"/>
        <v>MONTECINO</v>
      </c>
      <c r="I194" t="str">
        <f t="shared" si="11"/>
        <v xml:space="preserve"> WILMER</v>
      </c>
    </row>
    <row r="195" spans="1:9" x14ac:dyDescent="0.25">
      <c r="A195" t="s">
        <v>372</v>
      </c>
      <c r="B195" t="s">
        <v>3531</v>
      </c>
      <c r="D195" t="s">
        <v>1743</v>
      </c>
      <c r="F195" t="str">
        <f t="shared" ref="F195:F258" si="12">LEFT(B195,SEARCH(",",B195)-1)</f>
        <v>LLAXA ACASIO</v>
      </c>
      <c r="G195" t="str">
        <f t="shared" ref="G195:G258" si="13">LEFT(F195,SEARCH(" ",F195)-1)</f>
        <v>LLAXA</v>
      </c>
      <c r="H195" t="str">
        <f t="shared" ref="H195:H258" si="14">RIGHT(F195,LEN(F195)- SEARCH(" ",F195))</f>
        <v>ACASIO</v>
      </c>
      <c r="I195" t="str">
        <f t="shared" ref="I195:I258" si="15">RIGHT(B195,LEN(B195)- SEARCH(",",B195))</f>
        <v xml:space="preserve"> CARLOS GABRIEL</v>
      </c>
    </row>
    <row r="196" spans="1:9" x14ac:dyDescent="0.25">
      <c r="A196" t="s">
        <v>373</v>
      </c>
      <c r="B196" t="s">
        <v>3532</v>
      </c>
      <c r="D196" t="s">
        <v>1743</v>
      </c>
      <c r="F196" t="str">
        <f t="shared" si="12"/>
        <v>MARQUEZ PRIETO</v>
      </c>
      <c r="G196" t="str">
        <f t="shared" si="13"/>
        <v>MARQUEZ</v>
      </c>
      <c r="H196" t="str">
        <f t="shared" si="14"/>
        <v>PRIETO</v>
      </c>
      <c r="I196" t="str">
        <f t="shared" si="15"/>
        <v xml:space="preserve"> BILLY JOEL</v>
      </c>
    </row>
    <row r="197" spans="1:9" x14ac:dyDescent="0.25">
      <c r="A197" t="s">
        <v>374</v>
      </c>
      <c r="B197" t="s">
        <v>375</v>
      </c>
      <c r="C197" s="2">
        <v>36062</v>
      </c>
      <c r="D197" t="s">
        <v>1743</v>
      </c>
      <c r="F197" t="str">
        <f t="shared" si="12"/>
        <v>HUACHO CELIS</v>
      </c>
      <c r="G197" t="str">
        <f t="shared" si="13"/>
        <v>HUACHO</v>
      </c>
      <c r="H197" t="str">
        <f t="shared" si="14"/>
        <v>CELIS</v>
      </c>
      <c r="I197" t="str">
        <f t="shared" si="15"/>
        <v xml:space="preserve"> KENETH MICHAEL</v>
      </c>
    </row>
    <row r="198" spans="1:9" x14ac:dyDescent="0.25">
      <c r="A198" t="s">
        <v>376</v>
      </c>
      <c r="B198" t="s">
        <v>377</v>
      </c>
      <c r="D198" t="s">
        <v>1743</v>
      </c>
      <c r="F198" t="str">
        <f t="shared" si="12"/>
        <v>SALAS BRAVO</v>
      </c>
      <c r="G198" t="str">
        <f t="shared" si="13"/>
        <v>SALAS</v>
      </c>
      <c r="H198" t="str">
        <f t="shared" si="14"/>
        <v>BRAVO</v>
      </c>
      <c r="I198" t="str">
        <f t="shared" si="15"/>
        <v xml:space="preserve"> PIERINA MILAGROS</v>
      </c>
    </row>
    <row r="199" spans="1:9" x14ac:dyDescent="0.25">
      <c r="A199" t="s">
        <v>378</v>
      </c>
      <c r="B199" t="s">
        <v>379</v>
      </c>
      <c r="D199" t="s">
        <v>1743</v>
      </c>
      <c r="F199" t="str">
        <f t="shared" si="12"/>
        <v>ALEGRIA PELAYO</v>
      </c>
      <c r="G199" t="str">
        <f t="shared" si="13"/>
        <v>ALEGRIA</v>
      </c>
      <c r="H199" t="str">
        <f t="shared" si="14"/>
        <v>PELAYO</v>
      </c>
      <c r="I199" t="str">
        <f t="shared" si="15"/>
        <v xml:space="preserve"> NELSON WALTER</v>
      </c>
    </row>
    <row r="200" spans="1:9" x14ac:dyDescent="0.25">
      <c r="A200" t="s">
        <v>380</v>
      </c>
      <c r="B200" t="s">
        <v>3533</v>
      </c>
      <c r="C200" s="2">
        <v>34651</v>
      </c>
      <c r="D200" t="s">
        <v>1743</v>
      </c>
      <c r="F200" t="str">
        <f t="shared" si="12"/>
        <v>GADEA SANTISTEBAN</v>
      </c>
      <c r="G200" t="str">
        <f t="shared" si="13"/>
        <v>GADEA</v>
      </c>
      <c r="H200" t="str">
        <f t="shared" si="14"/>
        <v>SANTISTEBAN</v>
      </c>
      <c r="I200" t="str">
        <f t="shared" si="15"/>
        <v xml:space="preserve"> GERARDO MANUEL DE JESUS</v>
      </c>
    </row>
    <row r="201" spans="1:9" x14ac:dyDescent="0.25">
      <c r="A201" t="s">
        <v>381</v>
      </c>
      <c r="B201" t="s">
        <v>382</v>
      </c>
      <c r="C201" s="2">
        <v>34189</v>
      </c>
      <c r="D201" t="s">
        <v>1743</v>
      </c>
      <c r="F201" t="str">
        <f t="shared" si="12"/>
        <v>GIL CUSIHUALLPA</v>
      </c>
      <c r="G201" t="str">
        <f t="shared" si="13"/>
        <v>GIL</v>
      </c>
      <c r="H201" t="str">
        <f t="shared" si="14"/>
        <v>CUSIHUALLPA</v>
      </c>
      <c r="I201" t="str">
        <f t="shared" si="15"/>
        <v xml:space="preserve"> EDISON</v>
      </c>
    </row>
    <row r="202" spans="1:9" x14ac:dyDescent="0.25">
      <c r="A202" t="s">
        <v>383</v>
      </c>
      <c r="B202" t="s">
        <v>384</v>
      </c>
      <c r="C202" s="2">
        <v>31273</v>
      </c>
      <c r="D202" t="s">
        <v>1743</v>
      </c>
      <c r="F202" t="str">
        <f t="shared" si="12"/>
        <v>CAPUÑAY SAAVEDRA</v>
      </c>
      <c r="G202" t="str">
        <f t="shared" si="13"/>
        <v>CAPUÑAY</v>
      </c>
      <c r="H202" t="str">
        <f t="shared" si="14"/>
        <v>SAAVEDRA</v>
      </c>
      <c r="I202" t="str">
        <f t="shared" si="15"/>
        <v xml:space="preserve"> JOSE MIGUEL</v>
      </c>
    </row>
    <row r="203" spans="1:9" x14ac:dyDescent="0.25">
      <c r="A203" t="s">
        <v>385</v>
      </c>
      <c r="B203" t="s">
        <v>386</v>
      </c>
      <c r="D203" t="s">
        <v>1744</v>
      </c>
      <c r="F203" t="str">
        <f t="shared" si="12"/>
        <v>CARRILLO ACEVEDO</v>
      </c>
      <c r="G203" t="str">
        <f t="shared" si="13"/>
        <v>CARRILLO</v>
      </c>
      <c r="H203" t="str">
        <f t="shared" si="14"/>
        <v>ACEVEDO</v>
      </c>
      <c r="I203" t="str">
        <f t="shared" si="15"/>
        <v xml:space="preserve"> ALLINSON YOLANDA</v>
      </c>
    </row>
    <row r="204" spans="1:9" x14ac:dyDescent="0.25">
      <c r="A204" t="s">
        <v>387</v>
      </c>
      <c r="B204" t="s">
        <v>388</v>
      </c>
      <c r="D204" t="s">
        <v>1743</v>
      </c>
      <c r="F204" t="str">
        <f t="shared" si="12"/>
        <v>OCUPA LABAN</v>
      </c>
      <c r="G204" t="str">
        <f t="shared" si="13"/>
        <v>OCUPA</v>
      </c>
      <c r="H204" t="str">
        <f t="shared" si="14"/>
        <v>LABAN</v>
      </c>
      <c r="I204" t="str">
        <f t="shared" si="15"/>
        <v xml:space="preserve"> JUNIOR</v>
      </c>
    </row>
    <row r="205" spans="1:9" x14ac:dyDescent="0.25">
      <c r="A205" t="s">
        <v>389</v>
      </c>
      <c r="B205" t="s">
        <v>390</v>
      </c>
      <c r="C205" s="2">
        <v>36306</v>
      </c>
      <c r="D205" t="s">
        <v>1743</v>
      </c>
      <c r="F205" t="str">
        <f t="shared" si="12"/>
        <v>FLORES CHOQUE</v>
      </c>
      <c r="G205" t="str">
        <f t="shared" si="13"/>
        <v>FLORES</v>
      </c>
      <c r="H205" t="str">
        <f t="shared" si="14"/>
        <v>CHOQUE</v>
      </c>
      <c r="I205" t="str">
        <f t="shared" si="15"/>
        <v xml:space="preserve"> LUIS ALEXANDER</v>
      </c>
    </row>
    <row r="206" spans="1:9" x14ac:dyDescent="0.25">
      <c r="A206" t="s">
        <v>391</v>
      </c>
      <c r="B206" t="s">
        <v>392</v>
      </c>
      <c r="C206" s="2">
        <v>31342</v>
      </c>
      <c r="D206" t="s">
        <v>1743</v>
      </c>
      <c r="F206" t="str">
        <f t="shared" si="12"/>
        <v>ANCIETA HUALLAMARES</v>
      </c>
      <c r="G206" t="str">
        <f t="shared" si="13"/>
        <v>ANCIETA</v>
      </c>
      <c r="H206" t="str">
        <f t="shared" si="14"/>
        <v>HUALLAMARES</v>
      </c>
      <c r="I206" t="str">
        <f t="shared" si="15"/>
        <v xml:space="preserve"> VICTOR HUGO</v>
      </c>
    </row>
    <row r="207" spans="1:9" x14ac:dyDescent="0.25">
      <c r="A207" t="s">
        <v>393</v>
      </c>
      <c r="B207" t="s">
        <v>394</v>
      </c>
      <c r="C207" s="2">
        <v>29339</v>
      </c>
      <c r="D207" t="s">
        <v>1743</v>
      </c>
      <c r="F207" t="str">
        <f t="shared" si="12"/>
        <v>DIAZ NORIEGA</v>
      </c>
      <c r="G207" t="str">
        <f t="shared" si="13"/>
        <v>DIAZ</v>
      </c>
      <c r="H207" t="str">
        <f t="shared" si="14"/>
        <v>NORIEGA</v>
      </c>
      <c r="I207" t="str">
        <f t="shared" si="15"/>
        <v xml:space="preserve"> CESAR MANUEL</v>
      </c>
    </row>
    <row r="208" spans="1:9" x14ac:dyDescent="0.25">
      <c r="A208" t="s">
        <v>395</v>
      </c>
      <c r="B208" t="s">
        <v>396</v>
      </c>
      <c r="C208" s="2">
        <v>35636</v>
      </c>
      <c r="D208" t="s">
        <v>1743</v>
      </c>
      <c r="F208" t="str">
        <f t="shared" si="12"/>
        <v>HINOJOSA TTITO</v>
      </c>
      <c r="G208" t="str">
        <f t="shared" si="13"/>
        <v>HINOJOSA</v>
      </c>
      <c r="H208" t="str">
        <f t="shared" si="14"/>
        <v>TTITO</v>
      </c>
      <c r="I208" t="str">
        <f t="shared" si="15"/>
        <v xml:space="preserve"> LUIS ALDAIR</v>
      </c>
    </row>
    <row r="209" spans="1:9" x14ac:dyDescent="0.25">
      <c r="A209" t="s">
        <v>397</v>
      </c>
      <c r="B209" t="s">
        <v>398</v>
      </c>
      <c r="C209" s="2">
        <v>32524</v>
      </c>
      <c r="D209" t="s">
        <v>1743</v>
      </c>
      <c r="F209" t="str">
        <f t="shared" si="12"/>
        <v>HUAMAN SUPA</v>
      </c>
      <c r="G209" t="str">
        <f t="shared" si="13"/>
        <v>HUAMAN</v>
      </c>
      <c r="H209" t="str">
        <f t="shared" si="14"/>
        <v>SUPA</v>
      </c>
      <c r="I209" t="str">
        <f t="shared" si="15"/>
        <v xml:space="preserve"> LUIS ALBERTO</v>
      </c>
    </row>
    <row r="210" spans="1:9" x14ac:dyDescent="0.25">
      <c r="A210" t="s">
        <v>399</v>
      </c>
      <c r="B210" t="s">
        <v>400</v>
      </c>
      <c r="C210" s="2">
        <v>25684</v>
      </c>
      <c r="D210" t="s">
        <v>1743</v>
      </c>
      <c r="F210" t="str">
        <f t="shared" si="12"/>
        <v>ALFONZO SABINO</v>
      </c>
      <c r="G210" t="str">
        <f t="shared" si="13"/>
        <v>ALFONZO</v>
      </c>
      <c r="H210" t="str">
        <f t="shared" si="14"/>
        <v>SABINO</v>
      </c>
      <c r="I210" t="str">
        <f t="shared" si="15"/>
        <v xml:space="preserve"> EVELIO JOSÉ</v>
      </c>
    </row>
    <row r="211" spans="1:9" x14ac:dyDescent="0.25">
      <c r="A211" t="s">
        <v>401</v>
      </c>
      <c r="B211" t="s">
        <v>402</v>
      </c>
      <c r="C211" s="2">
        <v>28994</v>
      </c>
      <c r="D211" t="s">
        <v>1743</v>
      </c>
      <c r="F211" t="str">
        <f t="shared" si="12"/>
        <v>RUIZ ROSALINO</v>
      </c>
      <c r="G211" t="str">
        <f t="shared" si="13"/>
        <v>RUIZ</v>
      </c>
      <c r="H211" t="str">
        <f t="shared" si="14"/>
        <v>ROSALINO</v>
      </c>
      <c r="I211" t="str">
        <f t="shared" si="15"/>
        <v xml:space="preserve"> JOHN SIXTO</v>
      </c>
    </row>
    <row r="212" spans="1:9" x14ac:dyDescent="0.25">
      <c r="A212" t="s">
        <v>403</v>
      </c>
      <c r="B212" t="s">
        <v>3534</v>
      </c>
      <c r="D212" t="s">
        <v>1743</v>
      </c>
      <c r="F212" t="str">
        <f t="shared" si="12"/>
        <v>VENTOCILLA CHOQUE</v>
      </c>
      <c r="G212" t="str">
        <f t="shared" si="13"/>
        <v>VENTOCILLA</v>
      </c>
      <c r="H212" t="str">
        <f t="shared" si="14"/>
        <v>CHOQUE</v>
      </c>
      <c r="I212" t="str">
        <f t="shared" si="15"/>
        <v xml:space="preserve"> PETER SAM</v>
      </c>
    </row>
    <row r="213" spans="1:9" x14ac:dyDescent="0.25">
      <c r="A213" t="s">
        <v>404</v>
      </c>
      <c r="B213" t="s">
        <v>3535</v>
      </c>
      <c r="D213" t="s">
        <v>1743</v>
      </c>
      <c r="F213" t="str">
        <f t="shared" si="12"/>
        <v>BACA ALFARO</v>
      </c>
      <c r="G213" t="str">
        <f t="shared" si="13"/>
        <v>BACA</v>
      </c>
      <c r="H213" t="str">
        <f t="shared" si="14"/>
        <v>ALFARO</v>
      </c>
      <c r="I213" t="str">
        <f t="shared" si="15"/>
        <v xml:space="preserve"> FRANCISCO EULOGIO</v>
      </c>
    </row>
    <row r="214" spans="1:9" x14ac:dyDescent="0.25">
      <c r="A214" t="s">
        <v>405</v>
      </c>
      <c r="B214" t="s">
        <v>406</v>
      </c>
      <c r="C214" s="2">
        <v>31629</v>
      </c>
      <c r="D214" t="s">
        <v>1743</v>
      </c>
      <c r="F214" t="str">
        <f t="shared" si="12"/>
        <v>VEGA FEIJOO</v>
      </c>
      <c r="G214" t="str">
        <f t="shared" si="13"/>
        <v>VEGA</v>
      </c>
      <c r="H214" t="str">
        <f t="shared" si="14"/>
        <v>FEIJOO</v>
      </c>
      <c r="I214" t="str">
        <f t="shared" si="15"/>
        <v xml:space="preserve"> ELISEO</v>
      </c>
    </row>
    <row r="215" spans="1:9" x14ac:dyDescent="0.25">
      <c r="A215" t="s">
        <v>407</v>
      </c>
      <c r="B215" t="s">
        <v>408</v>
      </c>
      <c r="C215" s="2">
        <v>36166</v>
      </c>
      <c r="D215" t="s">
        <v>1743</v>
      </c>
      <c r="F215" t="str">
        <f t="shared" si="12"/>
        <v>TORRES REQUENA</v>
      </c>
      <c r="G215" t="str">
        <f t="shared" si="13"/>
        <v>TORRES</v>
      </c>
      <c r="H215" t="str">
        <f t="shared" si="14"/>
        <v>REQUENA</v>
      </c>
      <c r="I215" t="str">
        <f t="shared" si="15"/>
        <v xml:space="preserve"> JULIO CESAR</v>
      </c>
    </row>
    <row r="216" spans="1:9" x14ac:dyDescent="0.25">
      <c r="A216" t="s">
        <v>409</v>
      </c>
      <c r="B216" t="s">
        <v>410</v>
      </c>
      <c r="D216" t="s">
        <v>1743</v>
      </c>
      <c r="F216" t="str">
        <f t="shared" si="12"/>
        <v>CONDORI HUANQUI</v>
      </c>
      <c r="G216" t="str">
        <f t="shared" si="13"/>
        <v>CONDORI</v>
      </c>
      <c r="H216" t="str">
        <f t="shared" si="14"/>
        <v>HUANQUI</v>
      </c>
      <c r="I216" t="str">
        <f t="shared" si="15"/>
        <v xml:space="preserve"> DIEGO AUGUSTO</v>
      </c>
    </row>
    <row r="217" spans="1:9" x14ac:dyDescent="0.25">
      <c r="A217" t="s">
        <v>411</v>
      </c>
      <c r="B217" t="s">
        <v>412</v>
      </c>
      <c r="C217" s="2">
        <v>35227</v>
      </c>
      <c r="D217" t="s">
        <v>1743</v>
      </c>
      <c r="F217" t="str">
        <f t="shared" si="12"/>
        <v>CHUNGA VALVERDE</v>
      </c>
      <c r="G217" t="str">
        <f t="shared" si="13"/>
        <v>CHUNGA</v>
      </c>
      <c r="H217" t="str">
        <f t="shared" si="14"/>
        <v>VALVERDE</v>
      </c>
      <c r="I217" t="str">
        <f t="shared" si="15"/>
        <v xml:space="preserve"> SEGUNDO JULIAN</v>
      </c>
    </row>
    <row r="218" spans="1:9" x14ac:dyDescent="0.25">
      <c r="A218" t="s">
        <v>413</v>
      </c>
      <c r="B218" t="s">
        <v>414</v>
      </c>
      <c r="C218" s="2">
        <v>35314</v>
      </c>
      <c r="D218" t="s">
        <v>1743</v>
      </c>
      <c r="F218" t="str">
        <f t="shared" si="12"/>
        <v>JIMENEZ MUÑOZ</v>
      </c>
      <c r="G218" t="str">
        <f t="shared" si="13"/>
        <v>JIMENEZ</v>
      </c>
      <c r="H218" t="str">
        <f t="shared" si="14"/>
        <v>MUÑOZ</v>
      </c>
      <c r="I218" t="str">
        <f t="shared" si="15"/>
        <v xml:space="preserve"> TITO MAGAYAL</v>
      </c>
    </row>
    <row r="219" spans="1:9" x14ac:dyDescent="0.25">
      <c r="A219" t="s">
        <v>415</v>
      </c>
      <c r="B219" t="s">
        <v>416</v>
      </c>
      <c r="D219" t="s">
        <v>1744</v>
      </c>
      <c r="F219" t="str">
        <f t="shared" si="12"/>
        <v>DAMIAN SULLON</v>
      </c>
      <c r="G219" t="str">
        <f t="shared" si="13"/>
        <v>DAMIAN</v>
      </c>
      <c r="H219" t="str">
        <f t="shared" si="14"/>
        <v>SULLON</v>
      </c>
      <c r="I219" t="str">
        <f t="shared" si="15"/>
        <v xml:space="preserve"> SARAH BELEN</v>
      </c>
    </row>
    <row r="220" spans="1:9" x14ac:dyDescent="0.25">
      <c r="A220" t="s">
        <v>417</v>
      </c>
      <c r="B220" t="s">
        <v>418</v>
      </c>
      <c r="D220" t="s">
        <v>1743</v>
      </c>
      <c r="F220" t="str">
        <f t="shared" si="12"/>
        <v>CAMACHO MONTALVO</v>
      </c>
      <c r="G220" t="str">
        <f t="shared" si="13"/>
        <v>CAMACHO</v>
      </c>
      <c r="H220" t="str">
        <f t="shared" si="14"/>
        <v>MONTALVO</v>
      </c>
      <c r="I220" t="str">
        <f t="shared" si="15"/>
        <v xml:space="preserve"> FRANK ALDAREIR</v>
      </c>
    </row>
    <row r="221" spans="1:9" x14ac:dyDescent="0.25">
      <c r="A221" t="s">
        <v>419</v>
      </c>
      <c r="B221" t="s">
        <v>420</v>
      </c>
      <c r="D221" t="s">
        <v>1743</v>
      </c>
      <c r="F221" t="str">
        <f t="shared" si="12"/>
        <v>VILCA AGUIRRE</v>
      </c>
      <c r="G221" t="str">
        <f t="shared" si="13"/>
        <v>VILCA</v>
      </c>
      <c r="H221" t="str">
        <f t="shared" si="14"/>
        <v>AGUIRRE</v>
      </c>
      <c r="I221" t="str">
        <f t="shared" si="15"/>
        <v xml:space="preserve"> JOSÉ LUIS</v>
      </c>
    </row>
    <row r="222" spans="1:9" x14ac:dyDescent="0.25">
      <c r="A222" t="s">
        <v>421</v>
      </c>
      <c r="B222" t="s">
        <v>422</v>
      </c>
      <c r="C222" s="2">
        <v>34545</v>
      </c>
      <c r="D222" t="s">
        <v>1743</v>
      </c>
      <c r="F222" t="str">
        <f t="shared" si="12"/>
        <v>TEZEN ZURITA</v>
      </c>
      <c r="G222" t="str">
        <f t="shared" si="13"/>
        <v>TEZEN</v>
      </c>
      <c r="H222" t="str">
        <f t="shared" si="14"/>
        <v>ZURITA</v>
      </c>
      <c r="I222" t="str">
        <f t="shared" si="15"/>
        <v xml:space="preserve"> WILLIAM FRANCISCO</v>
      </c>
    </row>
    <row r="223" spans="1:9" x14ac:dyDescent="0.25">
      <c r="A223" t="s">
        <v>423</v>
      </c>
      <c r="B223" t="s">
        <v>424</v>
      </c>
      <c r="C223" s="2">
        <v>35190</v>
      </c>
      <c r="D223" t="s">
        <v>1743</v>
      </c>
      <c r="F223" t="str">
        <f t="shared" si="12"/>
        <v>PINTADO CHAMBA</v>
      </c>
      <c r="G223" t="str">
        <f t="shared" si="13"/>
        <v>PINTADO</v>
      </c>
      <c r="H223" t="str">
        <f t="shared" si="14"/>
        <v>CHAMBA</v>
      </c>
      <c r="I223" t="str">
        <f t="shared" si="15"/>
        <v xml:space="preserve"> EDWIN</v>
      </c>
    </row>
    <row r="224" spans="1:9" x14ac:dyDescent="0.25">
      <c r="A224" t="s">
        <v>425</v>
      </c>
      <c r="B224" t="s">
        <v>426</v>
      </c>
      <c r="C224" s="2">
        <v>34417</v>
      </c>
      <c r="D224" t="s">
        <v>1743</v>
      </c>
      <c r="F224" t="str">
        <f t="shared" si="12"/>
        <v>SOTO REATEGUI</v>
      </c>
      <c r="G224" t="str">
        <f t="shared" si="13"/>
        <v>SOTO</v>
      </c>
      <c r="H224" t="str">
        <f t="shared" si="14"/>
        <v>REATEGUI</v>
      </c>
      <c r="I224" t="str">
        <f t="shared" si="15"/>
        <v xml:space="preserve"> BORIS DANIEL</v>
      </c>
    </row>
    <row r="225" spans="1:9" x14ac:dyDescent="0.25">
      <c r="A225" t="s">
        <v>427</v>
      </c>
      <c r="B225" t="s">
        <v>428</v>
      </c>
      <c r="D225" t="s">
        <v>1743</v>
      </c>
      <c r="F225" t="str">
        <f t="shared" si="12"/>
        <v>YBAÑEZ RAMOS</v>
      </c>
      <c r="G225" t="str">
        <f t="shared" si="13"/>
        <v>YBAÑEZ</v>
      </c>
      <c r="H225" t="str">
        <f t="shared" si="14"/>
        <v>RAMOS</v>
      </c>
      <c r="I225" t="str">
        <f t="shared" si="15"/>
        <v xml:space="preserve"> HENRRY ENRIQUE</v>
      </c>
    </row>
    <row r="226" spans="1:9" x14ac:dyDescent="0.25">
      <c r="A226" t="s">
        <v>429</v>
      </c>
      <c r="B226" t="s">
        <v>430</v>
      </c>
      <c r="C226" s="2">
        <v>36626</v>
      </c>
      <c r="D226" t="s">
        <v>1743</v>
      </c>
      <c r="F226" t="str">
        <f t="shared" si="12"/>
        <v>NAVARRO VEINTIMILLA</v>
      </c>
      <c r="G226" t="str">
        <f t="shared" si="13"/>
        <v>NAVARRO</v>
      </c>
      <c r="H226" t="str">
        <f t="shared" si="14"/>
        <v>VEINTIMILLA</v>
      </c>
      <c r="I226" t="str">
        <f t="shared" si="15"/>
        <v xml:space="preserve"> LUIS GONZALO</v>
      </c>
    </row>
    <row r="227" spans="1:9" x14ac:dyDescent="0.25">
      <c r="A227" t="s">
        <v>431</v>
      </c>
      <c r="B227" t="s">
        <v>432</v>
      </c>
      <c r="D227" t="s">
        <v>1743</v>
      </c>
      <c r="F227" t="str">
        <f t="shared" si="12"/>
        <v>MENA ABAD</v>
      </c>
      <c r="G227" t="str">
        <f t="shared" si="13"/>
        <v>MENA</v>
      </c>
      <c r="H227" t="str">
        <f t="shared" si="14"/>
        <v>ABAD</v>
      </c>
      <c r="I227" t="str">
        <f t="shared" si="15"/>
        <v xml:space="preserve"> JULIO CESAR</v>
      </c>
    </row>
    <row r="228" spans="1:9" x14ac:dyDescent="0.25">
      <c r="A228" t="s">
        <v>433</v>
      </c>
      <c r="B228" t="s">
        <v>434</v>
      </c>
      <c r="D228" t="s">
        <v>1743</v>
      </c>
      <c r="F228" t="str">
        <f t="shared" si="12"/>
        <v>CRUZ MENDOZA</v>
      </c>
      <c r="G228" t="str">
        <f t="shared" si="13"/>
        <v>CRUZ</v>
      </c>
      <c r="H228" t="str">
        <f t="shared" si="14"/>
        <v>MENDOZA</v>
      </c>
      <c r="I228" t="str">
        <f t="shared" si="15"/>
        <v xml:space="preserve"> FRANCISCO GEANNPAUL</v>
      </c>
    </row>
    <row r="229" spans="1:9" x14ac:dyDescent="0.25">
      <c r="A229" t="s">
        <v>435</v>
      </c>
      <c r="B229" t="s">
        <v>436</v>
      </c>
      <c r="C229" s="2">
        <v>34747</v>
      </c>
      <c r="D229" t="s">
        <v>1743</v>
      </c>
      <c r="F229" t="str">
        <f t="shared" si="12"/>
        <v>GARCIA SERNA</v>
      </c>
      <c r="G229" t="str">
        <f t="shared" si="13"/>
        <v>GARCIA</v>
      </c>
      <c r="H229" t="str">
        <f t="shared" si="14"/>
        <v>SERNA</v>
      </c>
      <c r="I229" t="str">
        <f t="shared" si="15"/>
        <v xml:space="preserve"> RONY JEANPIERRE EUSEBIO</v>
      </c>
    </row>
    <row r="230" spans="1:9" x14ac:dyDescent="0.25">
      <c r="A230" t="s">
        <v>437</v>
      </c>
      <c r="B230" t="s">
        <v>438</v>
      </c>
      <c r="C230" s="2">
        <v>36727</v>
      </c>
      <c r="D230" t="s">
        <v>1743</v>
      </c>
      <c r="F230" t="str">
        <f t="shared" si="12"/>
        <v>SULLCA CCORAHUA</v>
      </c>
      <c r="G230" t="str">
        <f t="shared" si="13"/>
        <v>SULLCA</v>
      </c>
      <c r="H230" t="str">
        <f t="shared" si="14"/>
        <v>CCORAHUA</v>
      </c>
      <c r="I230" t="str">
        <f t="shared" si="15"/>
        <v xml:space="preserve"> HENRY</v>
      </c>
    </row>
    <row r="231" spans="1:9" x14ac:dyDescent="0.25">
      <c r="A231" t="s">
        <v>297</v>
      </c>
      <c r="B231" t="s">
        <v>298</v>
      </c>
      <c r="C231" s="2">
        <v>34625</v>
      </c>
      <c r="D231" t="s">
        <v>1743</v>
      </c>
      <c r="F231" t="str">
        <f t="shared" si="12"/>
        <v>CASTRO CASTRO</v>
      </c>
      <c r="G231" t="str">
        <f t="shared" si="13"/>
        <v>CASTRO</v>
      </c>
      <c r="H231" t="str">
        <f t="shared" si="14"/>
        <v>CASTRO</v>
      </c>
      <c r="I231" t="str">
        <f t="shared" si="15"/>
        <v xml:space="preserve"> FRANCK MARCOS</v>
      </c>
    </row>
    <row r="232" spans="1:9" x14ac:dyDescent="0.25">
      <c r="A232" t="s">
        <v>439</v>
      </c>
      <c r="B232" t="s">
        <v>440</v>
      </c>
      <c r="C232" s="2">
        <v>31937</v>
      </c>
      <c r="D232" t="s">
        <v>1743</v>
      </c>
      <c r="F232" t="str">
        <f t="shared" si="12"/>
        <v>CACMA QUISPE</v>
      </c>
      <c r="G232" t="str">
        <f t="shared" si="13"/>
        <v>CACMA</v>
      </c>
      <c r="H232" t="str">
        <f t="shared" si="14"/>
        <v>QUISPE</v>
      </c>
      <c r="I232" t="str">
        <f t="shared" si="15"/>
        <v xml:space="preserve"> GUIDO RAY</v>
      </c>
    </row>
    <row r="233" spans="1:9" x14ac:dyDescent="0.25">
      <c r="A233" t="s">
        <v>441</v>
      </c>
      <c r="B233" t="s">
        <v>442</v>
      </c>
      <c r="C233" s="2">
        <v>30111</v>
      </c>
      <c r="D233" t="s">
        <v>1743</v>
      </c>
      <c r="F233" t="str">
        <f t="shared" si="12"/>
        <v>PIZARRO POMA</v>
      </c>
      <c r="G233" t="str">
        <f t="shared" si="13"/>
        <v>PIZARRO</v>
      </c>
      <c r="H233" t="str">
        <f t="shared" si="14"/>
        <v>POMA</v>
      </c>
      <c r="I233" t="str">
        <f t="shared" si="15"/>
        <v xml:space="preserve"> EDISON VIRNEY</v>
      </c>
    </row>
    <row r="234" spans="1:9" x14ac:dyDescent="0.25">
      <c r="A234" t="s">
        <v>443</v>
      </c>
      <c r="B234" t="s">
        <v>444</v>
      </c>
      <c r="C234" s="2">
        <v>30183</v>
      </c>
      <c r="D234" t="s">
        <v>1743</v>
      </c>
      <c r="F234" t="str">
        <f t="shared" si="12"/>
        <v>SANCHEZ JIMENEZ</v>
      </c>
      <c r="G234" t="str">
        <f t="shared" si="13"/>
        <v>SANCHEZ</v>
      </c>
      <c r="H234" t="str">
        <f t="shared" si="14"/>
        <v>JIMENEZ</v>
      </c>
      <c r="I234" t="str">
        <f t="shared" si="15"/>
        <v xml:space="preserve"> JOSE ARQUIMEDES</v>
      </c>
    </row>
    <row r="235" spans="1:9" x14ac:dyDescent="0.25">
      <c r="A235" t="s">
        <v>445</v>
      </c>
      <c r="B235" t="s">
        <v>446</v>
      </c>
      <c r="C235" s="2">
        <v>37022</v>
      </c>
      <c r="D235" t="s">
        <v>1744</v>
      </c>
      <c r="F235" t="str">
        <f t="shared" si="12"/>
        <v>MEGO ALARCON</v>
      </c>
      <c r="G235" t="str">
        <f t="shared" si="13"/>
        <v>MEGO</v>
      </c>
      <c r="H235" t="str">
        <f t="shared" si="14"/>
        <v>ALARCON</v>
      </c>
      <c r="I235" t="str">
        <f t="shared" si="15"/>
        <v xml:space="preserve"> FELLY ROSARIO</v>
      </c>
    </row>
    <row r="236" spans="1:9" x14ac:dyDescent="0.25">
      <c r="A236" t="s">
        <v>447</v>
      </c>
      <c r="B236" t="s">
        <v>448</v>
      </c>
      <c r="D236" t="s">
        <v>1743</v>
      </c>
      <c r="F236" t="str">
        <f t="shared" si="12"/>
        <v>LEON AGUILAR</v>
      </c>
      <c r="G236" t="str">
        <f t="shared" si="13"/>
        <v>LEON</v>
      </c>
      <c r="H236" t="str">
        <f t="shared" si="14"/>
        <v>AGUILAR</v>
      </c>
      <c r="I236" t="str">
        <f t="shared" si="15"/>
        <v xml:space="preserve"> PERCY EDGARDO</v>
      </c>
    </row>
    <row r="237" spans="1:9" x14ac:dyDescent="0.25">
      <c r="A237" t="s">
        <v>370</v>
      </c>
      <c r="B237" t="s">
        <v>371</v>
      </c>
      <c r="C237" s="2">
        <v>33102</v>
      </c>
      <c r="D237" t="s">
        <v>1743</v>
      </c>
      <c r="F237" t="str">
        <f t="shared" si="12"/>
        <v>CUADRA MONTECINO</v>
      </c>
      <c r="G237" t="str">
        <f t="shared" si="13"/>
        <v>CUADRA</v>
      </c>
      <c r="H237" t="str">
        <f t="shared" si="14"/>
        <v>MONTECINO</v>
      </c>
      <c r="I237" t="str">
        <f t="shared" si="15"/>
        <v xml:space="preserve"> WILMER</v>
      </c>
    </row>
    <row r="238" spans="1:9" x14ac:dyDescent="0.25">
      <c r="A238" t="s">
        <v>166</v>
      </c>
      <c r="B238" t="s">
        <v>167</v>
      </c>
      <c r="C238" s="2">
        <v>35989</v>
      </c>
      <c r="D238" t="s">
        <v>1743</v>
      </c>
      <c r="F238" t="str">
        <f t="shared" si="12"/>
        <v>DE LA CRUZ BARDALES</v>
      </c>
      <c r="G238" t="str">
        <f t="shared" si="13"/>
        <v>DE</v>
      </c>
      <c r="H238" t="str">
        <f t="shared" si="14"/>
        <v>LA CRUZ BARDALES</v>
      </c>
      <c r="I238" t="str">
        <f t="shared" si="15"/>
        <v xml:space="preserve"> JEAN PIERE</v>
      </c>
    </row>
    <row r="239" spans="1:9" x14ac:dyDescent="0.25">
      <c r="A239" t="s">
        <v>449</v>
      </c>
      <c r="B239" t="s">
        <v>450</v>
      </c>
      <c r="C239" s="2">
        <v>33352</v>
      </c>
      <c r="D239" t="s">
        <v>1743</v>
      </c>
      <c r="F239" t="str">
        <f t="shared" si="12"/>
        <v>GARCIA ALVAN</v>
      </c>
      <c r="G239" t="str">
        <f t="shared" si="13"/>
        <v>GARCIA</v>
      </c>
      <c r="H239" t="str">
        <f t="shared" si="14"/>
        <v>ALVAN</v>
      </c>
      <c r="I239" t="str">
        <f t="shared" si="15"/>
        <v xml:space="preserve"> FRANCK JOSE</v>
      </c>
    </row>
    <row r="240" spans="1:9" x14ac:dyDescent="0.25">
      <c r="A240" t="s">
        <v>451</v>
      </c>
      <c r="B240" t="s">
        <v>452</v>
      </c>
      <c r="C240" s="2">
        <v>36463</v>
      </c>
      <c r="D240" t="s">
        <v>1743</v>
      </c>
      <c r="F240" t="str">
        <f t="shared" si="12"/>
        <v>QUISPE YAURI</v>
      </c>
      <c r="G240" t="str">
        <f t="shared" si="13"/>
        <v>QUISPE</v>
      </c>
      <c r="H240" t="str">
        <f t="shared" si="14"/>
        <v>YAURI</v>
      </c>
      <c r="I240" t="str">
        <f t="shared" si="15"/>
        <v xml:space="preserve"> DAVID ELIGIO</v>
      </c>
    </row>
    <row r="241" spans="1:9" x14ac:dyDescent="0.25">
      <c r="A241" t="s">
        <v>313</v>
      </c>
      <c r="B241" t="s">
        <v>453</v>
      </c>
      <c r="C241" s="2">
        <v>34672</v>
      </c>
      <c r="D241" t="s">
        <v>1744</v>
      </c>
      <c r="F241" t="str">
        <f t="shared" si="12"/>
        <v>RODRIGUEZ RISCO</v>
      </c>
      <c r="G241" t="str">
        <f t="shared" si="13"/>
        <v>RODRIGUEZ</v>
      </c>
      <c r="H241" t="str">
        <f t="shared" si="14"/>
        <v>RISCO</v>
      </c>
      <c r="I241" t="str">
        <f t="shared" si="15"/>
        <v xml:space="preserve"> CARLOS YAIR</v>
      </c>
    </row>
    <row r="242" spans="1:9" x14ac:dyDescent="0.25">
      <c r="A242" t="s">
        <v>10</v>
      </c>
      <c r="B242" t="s">
        <v>11</v>
      </c>
      <c r="C242" s="2">
        <v>34399</v>
      </c>
      <c r="D242" t="s">
        <v>1743</v>
      </c>
      <c r="F242" t="str">
        <f t="shared" si="12"/>
        <v>CAMPOS FLORES</v>
      </c>
      <c r="G242" t="str">
        <f t="shared" si="13"/>
        <v>CAMPOS</v>
      </c>
      <c r="H242" t="str">
        <f t="shared" si="14"/>
        <v>FLORES</v>
      </c>
      <c r="I242" t="str">
        <f t="shared" si="15"/>
        <v xml:space="preserve"> JOSÉ BERNARD</v>
      </c>
    </row>
    <row r="243" spans="1:9" x14ac:dyDescent="0.25">
      <c r="A243" t="s">
        <v>454</v>
      </c>
      <c r="B243" t="s">
        <v>455</v>
      </c>
      <c r="C243" s="2">
        <v>35152</v>
      </c>
      <c r="D243" t="s">
        <v>1744</v>
      </c>
      <c r="F243" t="str">
        <f t="shared" si="12"/>
        <v>DURAN CAMONES</v>
      </c>
      <c r="G243" t="str">
        <f t="shared" si="13"/>
        <v>DURAN</v>
      </c>
      <c r="H243" t="str">
        <f t="shared" si="14"/>
        <v>CAMONES</v>
      </c>
      <c r="I243" t="str">
        <f t="shared" si="15"/>
        <v xml:space="preserve"> LARIZA LISETH</v>
      </c>
    </row>
    <row r="244" spans="1:9" x14ac:dyDescent="0.25">
      <c r="A244" t="s">
        <v>456</v>
      </c>
      <c r="B244" t="s">
        <v>457</v>
      </c>
      <c r="C244" s="2">
        <v>36061</v>
      </c>
      <c r="D244" t="s">
        <v>1743</v>
      </c>
      <c r="F244" t="str">
        <f t="shared" si="12"/>
        <v>SUCSO ROJAS</v>
      </c>
      <c r="G244" t="str">
        <f t="shared" si="13"/>
        <v>SUCSO</v>
      </c>
      <c r="H244" t="str">
        <f t="shared" si="14"/>
        <v>ROJAS</v>
      </c>
      <c r="I244" t="str">
        <f t="shared" si="15"/>
        <v xml:space="preserve"> LEONER ADRIAN</v>
      </c>
    </row>
    <row r="245" spans="1:9" x14ac:dyDescent="0.25">
      <c r="A245" t="s">
        <v>458</v>
      </c>
      <c r="B245" t="s">
        <v>459</v>
      </c>
      <c r="D245" t="s">
        <v>1743</v>
      </c>
      <c r="F245" t="str">
        <f t="shared" si="12"/>
        <v>LAZO TICLAVILCA</v>
      </c>
      <c r="G245" t="str">
        <f t="shared" si="13"/>
        <v>LAZO</v>
      </c>
      <c r="H245" t="str">
        <f t="shared" si="14"/>
        <v>TICLAVILCA</v>
      </c>
      <c r="I245" t="str">
        <f t="shared" si="15"/>
        <v xml:space="preserve"> GUSTAVO ALONSO</v>
      </c>
    </row>
    <row r="246" spans="1:9" x14ac:dyDescent="0.25">
      <c r="A246" t="s">
        <v>460</v>
      </c>
      <c r="B246" t="s">
        <v>461</v>
      </c>
      <c r="D246" t="s">
        <v>1743</v>
      </c>
      <c r="F246" t="str">
        <f t="shared" si="12"/>
        <v>ZEVALLOS CASTRO</v>
      </c>
      <c r="G246" t="str">
        <f t="shared" si="13"/>
        <v>ZEVALLOS</v>
      </c>
      <c r="H246" t="str">
        <f t="shared" si="14"/>
        <v>CASTRO</v>
      </c>
      <c r="I246" t="str">
        <f t="shared" si="15"/>
        <v xml:space="preserve"> VICTOR EDUARDO</v>
      </c>
    </row>
    <row r="247" spans="1:9" x14ac:dyDescent="0.25">
      <c r="A247" t="s">
        <v>462</v>
      </c>
      <c r="B247" t="s">
        <v>463</v>
      </c>
      <c r="D247" t="s">
        <v>1743</v>
      </c>
      <c r="F247" t="str">
        <f t="shared" si="12"/>
        <v>ARREGUI NOLORBE</v>
      </c>
      <c r="G247" t="str">
        <f t="shared" si="13"/>
        <v>ARREGUI</v>
      </c>
      <c r="H247" t="str">
        <f t="shared" si="14"/>
        <v>NOLORBE</v>
      </c>
      <c r="I247" t="str">
        <f t="shared" si="15"/>
        <v xml:space="preserve"> CHRISTOPHER MIKE</v>
      </c>
    </row>
    <row r="248" spans="1:9" x14ac:dyDescent="0.25">
      <c r="A248" t="s">
        <v>464</v>
      </c>
      <c r="B248" t="s">
        <v>465</v>
      </c>
      <c r="D248" t="s">
        <v>1743</v>
      </c>
      <c r="F248" t="str">
        <f t="shared" si="12"/>
        <v>DIAZ SAMPAYO</v>
      </c>
      <c r="G248" t="str">
        <f t="shared" si="13"/>
        <v>DIAZ</v>
      </c>
      <c r="H248" t="str">
        <f t="shared" si="14"/>
        <v>SAMPAYO</v>
      </c>
      <c r="I248" t="str">
        <f t="shared" si="15"/>
        <v xml:space="preserve"> WINAIKER STEWEN</v>
      </c>
    </row>
    <row r="249" spans="1:9" x14ac:dyDescent="0.25">
      <c r="A249" t="s">
        <v>466</v>
      </c>
      <c r="B249" t="s">
        <v>467</v>
      </c>
      <c r="D249" t="s">
        <v>1743</v>
      </c>
      <c r="F249" t="str">
        <f t="shared" si="12"/>
        <v>POMAYA PEÑALOZA</v>
      </c>
      <c r="G249" t="str">
        <f t="shared" si="13"/>
        <v>POMAYA</v>
      </c>
      <c r="H249" t="str">
        <f t="shared" si="14"/>
        <v>PEÑALOZA</v>
      </c>
      <c r="I249" t="str">
        <f t="shared" si="15"/>
        <v xml:space="preserve"> ALEJANDRO JESUS</v>
      </c>
    </row>
    <row r="250" spans="1:9" x14ac:dyDescent="0.25">
      <c r="A250" t="s">
        <v>134</v>
      </c>
      <c r="B250" t="s">
        <v>135</v>
      </c>
      <c r="C250" s="2">
        <v>30648</v>
      </c>
      <c r="D250" t="s">
        <v>1743</v>
      </c>
      <c r="E250" t="s">
        <v>1569</v>
      </c>
      <c r="F250" t="str">
        <f t="shared" si="12"/>
        <v>ALVARADO LOPEZ</v>
      </c>
      <c r="G250" t="str">
        <f t="shared" si="13"/>
        <v>ALVARADO</v>
      </c>
      <c r="H250" t="str">
        <f t="shared" si="14"/>
        <v>LOPEZ</v>
      </c>
      <c r="I250" t="str">
        <f t="shared" si="15"/>
        <v xml:space="preserve"> MARDONIO</v>
      </c>
    </row>
    <row r="251" spans="1:9" x14ac:dyDescent="0.25">
      <c r="A251" t="s">
        <v>128</v>
      </c>
      <c r="B251" t="s">
        <v>129</v>
      </c>
      <c r="C251" s="2">
        <v>33696</v>
      </c>
      <c r="D251" t="s">
        <v>1743</v>
      </c>
      <c r="E251" t="s">
        <v>1570</v>
      </c>
      <c r="F251" t="str">
        <f t="shared" si="12"/>
        <v>GATICA MOZOMBITE</v>
      </c>
      <c r="G251" t="str">
        <f t="shared" si="13"/>
        <v>GATICA</v>
      </c>
      <c r="H251" t="str">
        <f t="shared" si="14"/>
        <v>MOZOMBITE</v>
      </c>
      <c r="I251" t="str">
        <f t="shared" si="15"/>
        <v xml:space="preserve"> JEFFERSON JUNIOR</v>
      </c>
    </row>
    <row r="252" spans="1:9" x14ac:dyDescent="0.25">
      <c r="A252" t="s">
        <v>468</v>
      </c>
      <c r="B252" t="s">
        <v>469</v>
      </c>
      <c r="C252" s="2">
        <v>31909</v>
      </c>
      <c r="D252" t="s">
        <v>1743</v>
      </c>
      <c r="F252" t="str">
        <f t="shared" si="12"/>
        <v>ALVARO CACHI</v>
      </c>
      <c r="G252" t="str">
        <f t="shared" si="13"/>
        <v>ALVARO</v>
      </c>
      <c r="H252" t="str">
        <f t="shared" si="14"/>
        <v>CACHI</v>
      </c>
      <c r="I252" t="str">
        <f t="shared" si="15"/>
        <v xml:space="preserve"> FIDEL ANGEL</v>
      </c>
    </row>
    <row r="253" spans="1:9" x14ac:dyDescent="0.25">
      <c r="A253" t="s">
        <v>462</v>
      </c>
      <c r="B253" t="s">
        <v>463</v>
      </c>
      <c r="C253" s="2">
        <v>33841</v>
      </c>
      <c r="D253" t="s">
        <v>1743</v>
      </c>
      <c r="E253" t="s">
        <v>1571</v>
      </c>
      <c r="F253" t="str">
        <f t="shared" si="12"/>
        <v>ARREGUI NOLORBE</v>
      </c>
      <c r="G253" t="str">
        <f t="shared" si="13"/>
        <v>ARREGUI</v>
      </c>
      <c r="H253" t="str">
        <f t="shared" si="14"/>
        <v>NOLORBE</v>
      </c>
      <c r="I253" t="str">
        <f t="shared" si="15"/>
        <v xml:space="preserve"> CHRISTOPHER MIKE</v>
      </c>
    </row>
    <row r="254" spans="1:9" x14ac:dyDescent="0.25">
      <c r="A254" t="s">
        <v>279</v>
      </c>
      <c r="B254" t="s">
        <v>280</v>
      </c>
      <c r="C254" s="2">
        <v>36021</v>
      </c>
      <c r="D254" t="s">
        <v>1744</v>
      </c>
      <c r="F254" t="str">
        <f t="shared" si="12"/>
        <v>CAMPOS POMA</v>
      </c>
      <c r="G254" t="str">
        <f t="shared" si="13"/>
        <v>CAMPOS</v>
      </c>
      <c r="H254" t="str">
        <f t="shared" si="14"/>
        <v>POMA</v>
      </c>
      <c r="I254" t="str">
        <f t="shared" si="15"/>
        <v xml:space="preserve"> CARLA SAIDA</v>
      </c>
    </row>
    <row r="255" spans="1:9" x14ac:dyDescent="0.25">
      <c r="A255" t="s">
        <v>470</v>
      </c>
      <c r="B255" t="s">
        <v>471</v>
      </c>
      <c r="D255" t="s">
        <v>1743</v>
      </c>
      <c r="F255" t="str">
        <f t="shared" si="12"/>
        <v>CORTEZ QUISPE</v>
      </c>
      <c r="G255" t="str">
        <f t="shared" si="13"/>
        <v>CORTEZ</v>
      </c>
      <c r="H255" t="str">
        <f t="shared" si="14"/>
        <v>QUISPE</v>
      </c>
      <c r="I255" t="str">
        <f t="shared" si="15"/>
        <v xml:space="preserve"> JESUS ANGEL</v>
      </c>
    </row>
    <row r="256" spans="1:9" x14ac:dyDescent="0.25">
      <c r="A256" t="s">
        <v>472</v>
      </c>
      <c r="B256" t="s">
        <v>473</v>
      </c>
      <c r="C256" s="2">
        <v>36143</v>
      </c>
      <c r="D256" t="s">
        <v>1744</v>
      </c>
      <c r="F256" t="str">
        <f t="shared" si="12"/>
        <v>DE ALMEIDA LIRA</v>
      </c>
      <c r="G256" t="str">
        <f t="shared" si="13"/>
        <v>DE</v>
      </c>
      <c r="H256" t="str">
        <f t="shared" si="14"/>
        <v>ALMEIDA LIRA</v>
      </c>
      <c r="I256" t="str">
        <f t="shared" si="15"/>
        <v xml:space="preserve"> DAYANNE NICOLE</v>
      </c>
    </row>
    <row r="257" spans="1:9" x14ac:dyDescent="0.25">
      <c r="A257" t="s">
        <v>464</v>
      </c>
      <c r="B257" t="s">
        <v>465</v>
      </c>
      <c r="C257" s="2">
        <v>35281</v>
      </c>
      <c r="D257" t="s">
        <v>1743</v>
      </c>
      <c r="F257" t="str">
        <f t="shared" si="12"/>
        <v>DIAZ SAMPAYO</v>
      </c>
      <c r="G257" t="str">
        <f t="shared" si="13"/>
        <v>DIAZ</v>
      </c>
      <c r="H257" t="str">
        <f t="shared" si="14"/>
        <v>SAMPAYO</v>
      </c>
      <c r="I257" t="str">
        <f t="shared" si="15"/>
        <v xml:space="preserve"> WINAIKER STEWEN</v>
      </c>
    </row>
    <row r="258" spans="1:9" x14ac:dyDescent="0.25">
      <c r="A258" t="s">
        <v>466</v>
      </c>
      <c r="B258" t="s">
        <v>467</v>
      </c>
      <c r="C258" s="2">
        <v>35017</v>
      </c>
      <c r="D258" t="s">
        <v>1743</v>
      </c>
      <c r="F258" t="str">
        <f t="shared" si="12"/>
        <v>POMAYA PEÑALOZA</v>
      </c>
      <c r="G258" t="str">
        <f t="shared" si="13"/>
        <v>POMAYA</v>
      </c>
      <c r="H258" t="str">
        <f t="shared" si="14"/>
        <v>PEÑALOZA</v>
      </c>
      <c r="I258" t="str">
        <f t="shared" si="15"/>
        <v xml:space="preserve"> ALEJANDRO JESUS</v>
      </c>
    </row>
    <row r="259" spans="1:9" x14ac:dyDescent="0.25">
      <c r="A259" t="s">
        <v>210</v>
      </c>
      <c r="B259" t="s">
        <v>211</v>
      </c>
      <c r="C259" s="2">
        <v>36543</v>
      </c>
      <c r="D259" t="s">
        <v>1744</v>
      </c>
      <c r="F259" t="str">
        <f t="shared" ref="F259:F322" si="16">LEFT(B259,SEARCH(",",B259)-1)</f>
        <v>RUIZ CARRILLO</v>
      </c>
      <c r="G259" t="str">
        <f t="shared" ref="G259:G322" si="17">LEFT(F259,SEARCH(" ",F259)-1)</f>
        <v>RUIZ</v>
      </c>
      <c r="H259" t="str">
        <f t="shared" ref="H259:H322" si="18">RIGHT(F259,LEN(F259)- SEARCH(" ",F259))</f>
        <v>CARRILLO</v>
      </c>
      <c r="I259" t="str">
        <f t="shared" ref="I259:I322" si="19">RIGHT(B259,LEN(B259)- SEARCH(",",B259))</f>
        <v xml:space="preserve"> XIOMARA CRISELL</v>
      </c>
    </row>
    <row r="260" spans="1:9" x14ac:dyDescent="0.25">
      <c r="A260" t="s">
        <v>119</v>
      </c>
      <c r="B260" t="s">
        <v>3518</v>
      </c>
      <c r="C260" s="2">
        <v>33729</v>
      </c>
      <c r="D260" t="s">
        <v>1743</v>
      </c>
      <c r="F260" t="str">
        <f t="shared" si="16"/>
        <v>TORREJON GUTIERREZ</v>
      </c>
      <c r="G260" t="str">
        <f t="shared" si="17"/>
        <v>TORREJON</v>
      </c>
      <c r="H260" t="str">
        <f t="shared" si="18"/>
        <v>GUTIERREZ</v>
      </c>
      <c r="I260" t="str">
        <f t="shared" si="19"/>
        <v xml:space="preserve"> JESUS HUMBERTO</v>
      </c>
    </row>
    <row r="261" spans="1:9" x14ac:dyDescent="0.25">
      <c r="A261" t="s">
        <v>474</v>
      </c>
      <c r="B261" t="s">
        <v>475</v>
      </c>
      <c r="C261" s="2">
        <v>32464</v>
      </c>
      <c r="D261" t="s">
        <v>1743</v>
      </c>
      <c r="F261" t="str">
        <f t="shared" si="16"/>
        <v>BUSTAMANTE ZEÑA</v>
      </c>
      <c r="G261" t="str">
        <f t="shared" si="17"/>
        <v>BUSTAMANTE</v>
      </c>
      <c r="H261" t="str">
        <f t="shared" si="18"/>
        <v>ZEÑA</v>
      </c>
      <c r="I261" t="str">
        <f t="shared" si="19"/>
        <v xml:space="preserve"> NILTON NOE</v>
      </c>
    </row>
    <row r="262" spans="1:9" x14ac:dyDescent="0.25">
      <c r="A262" t="s">
        <v>476</v>
      </c>
      <c r="B262" t="s">
        <v>477</v>
      </c>
      <c r="C262" s="2">
        <v>34692</v>
      </c>
      <c r="D262" t="s">
        <v>1743</v>
      </c>
      <c r="F262" t="str">
        <f t="shared" si="16"/>
        <v>ORE CONCHA</v>
      </c>
      <c r="G262" t="str">
        <f t="shared" si="17"/>
        <v>ORE</v>
      </c>
      <c r="H262" t="str">
        <f t="shared" si="18"/>
        <v>CONCHA</v>
      </c>
      <c r="I262" t="str">
        <f t="shared" si="19"/>
        <v xml:space="preserve"> JESUS</v>
      </c>
    </row>
    <row r="263" spans="1:9" x14ac:dyDescent="0.25">
      <c r="A263" t="s">
        <v>478</v>
      </c>
      <c r="B263" t="s">
        <v>479</v>
      </c>
      <c r="C263" s="2">
        <v>32651</v>
      </c>
      <c r="D263" t="s">
        <v>1743</v>
      </c>
      <c r="F263" t="str">
        <f t="shared" si="16"/>
        <v>PUMA CÁCERES</v>
      </c>
      <c r="G263" t="str">
        <f t="shared" si="17"/>
        <v>PUMA</v>
      </c>
      <c r="H263" t="str">
        <f t="shared" si="18"/>
        <v>CÁCERES</v>
      </c>
      <c r="I263" t="str">
        <f t="shared" si="19"/>
        <v>JOSÉ</v>
      </c>
    </row>
    <row r="264" spans="1:9" x14ac:dyDescent="0.25">
      <c r="A264" t="s">
        <v>480</v>
      </c>
      <c r="B264" t="s">
        <v>481</v>
      </c>
      <c r="D264" t="s">
        <v>1744</v>
      </c>
      <c r="F264" t="str">
        <f t="shared" si="16"/>
        <v>SANDOVAL CABELLO</v>
      </c>
      <c r="G264" t="str">
        <f t="shared" si="17"/>
        <v>SANDOVAL</v>
      </c>
      <c r="H264" t="str">
        <f t="shared" si="18"/>
        <v>CABELLO</v>
      </c>
      <c r="I264" t="str">
        <f t="shared" si="19"/>
        <v xml:space="preserve"> KATHERINE MARLENE</v>
      </c>
    </row>
    <row r="265" spans="1:9" x14ac:dyDescent="0.25">
      <c r="A265" t="s">
        <v>482</v>
      </c>
      <c r="B265" t="s">
        <v>483</v>
      </c>
      <c r="C265" s="2">
        <v>34423</v>
      </c>
      <c r="D265" t="s">
        <v>1743</v>
      </c>
      <c r="F265" t="str">
        <f t="shared" si="16"/>
        <v>ARBULU VERGARA</v>
      </c>
      <c r="G265" t="str">
        <f t="shared" si="17"/>
        <v>ARBULU</v>
      </c>
      <c r="H265" t="str">
        <f t="shared" si="18"/>
        <v>VERGARA</v>
      </c>
      <c r="I265" t="str">
        <f t="shared" si="19"/>
        <v xml:space="preserve"> JORGE ARMANDO</v>
      </c>
    </row>
    <row r="266" spans="1:9" x14ac:dyDescent="0.25">
      <c r="A266" t="s">
        <v>484</v>
      </c>
      <c r="B266" t="s">
        <v>485</v>
      </c>
      <c r="C266" s="2">
        <v>33950</v>
      </c>
      <c r="D266" t="s">
        <v>1743</v>
      </c>
      <c r="F266" t="str">
        <f t="shared" si="16"/>
        <v>ATAUCURI QUISPE</v>
      </c>
      <c r="G266" t="str">
        <f t="shared" si="17"/>
        <v>ATAUCURI</v>
      </c>
      <c r="H266" t="str">
        <f t="shared" si="18"/>
        <v>QUISPE</v>
      </c>
      <c r="I266" t="str">
        <f t="shared" si="19"/>
        <v xml:space="preserve"> RICHARD</v>
      </c>
    </row>
    <row r="267" spans="1:9" x14ac:dyDescent="0.25">
      <c r="A267" t="s">
        <v>486</v>
      </c>
      <c r="B267" t="s">
        <v>487</v>
      </c>
      <c r="D267" t="s">
        <v>1743</v>
      </c>
      <c r="F267" t="str">
        <f t="shared" si="16"/>
        <v>ROJAS COBEÑAS</v>
      </c>
      <c r="G267" t="str">
        <f t="shared" si="17"/>
        <v>ROJAS</v>
      </c>
      <c r="H267" t="str">
        <f t="shared" si="18"/>
        <v>COBEÑAS</v>
      </c>
      <c r="I267" t="str">
        <f t="shared" si="19"/>
        <v xml:space="preserve"> JOSÉ LUIS</v>
      </c>
    </row>
    <row r="268" spans="1:9" x14ac:dyDescent="0.25">
      <c r="A268" t="s">
        <v>488</v>
      </c>
      <c r="B268" t="s">
        <v>489</v>
      </c>
      <c r="C268" s="2">
        <v>37158</v>
      </c>
      <c r="D268" t="s">
        <v>1744</v>
      </c>
      <c r="F268" t="str">
        <f t="shared" si="16"/>
        <v>SANCHEZ MARIN</v>
      </c>
      <c r="G268" t="str">
        <f t="shared" si="17"/>
        <v>SANCHEZ</v>
      </c>
      <c r="H268" t="str">
        <f t="shared" si="18"/>
        <v>MARIN</v>
      </c>
      <c r="I268" t="str">
        <f t="shared" si="19"/>
        <v xml:space="preserve"> KELLY LORENA</v>
      </c>
    </row>
    <row r="269" spans="1:9" x14ac:dyDescent="0.25">
      <c r="A269" t="s">
        <v>490</v>
      </c>
      <c r="B269" t="s">
        <v>491</v>
      </c>
      <c r="C269" s="2">
        <v>35275</v>
      </c>
      <c r="D269" t="s">
        <v>1743</v>
      </c>
      <c r="F269" t="str">
        <f t="shared" si="16"/>
        <v>MOTTA ROSADA</v>
      </c>
      <c r="G269" t="str">
        <f t="shared" si="17"/>
        <v>MOTTA</v>
      </c>
      <c r="H269" t="str">
        <f t="shared" si="18"/>
        <v>ROSADA</v>
      </c>
      <c r="I269" t="str">
        <f t="shared" si="19"/>
        <v xml:space="preserve"> FRANGHOAR ANGELLO</v>
      </c>
    </row>
    <row r="270" spans="1:9" x14ac:dyDescent="0.25">
      <c r="A270" t="s">
        <v>492</v>
      </c>
      <c r="B270" t="s">
        <v>493</v>
      </c>
      <c r="D270" t="s">
        <v>1744</v>
      </c>
      <c r="F270" t="str">
        <f t="shared" si="16"/>
        <v>AGUIRRE BANDA</v>
      </c>
      <c r="G270" t="str">
        <f t="shared" si="17"/>
        <v>AGUIRRE</v>
      </c>
      <c r="H270" t="str">
        <f t="shared" si="18"/>
        <v>BANDA</v>
      </c>
      <c r="I270" t="str">
        <f t="shared" si="19"/>
        <v xml:space="preserve"> JOSHUA SABRINA</v>
      </c>
    </row>
    <row r="271" spans="1:9" x14ac:dyDescent="0.25">
      <c r="A271" t="s">
        <v>494</v>
      </c>
      <c r="B271" t="s">
        <v>495</v>
      </c>
      <c r="C271" s="2">
        <v>28367</v>
      </c>
      <c r="D271" t="s">
        <v>1743</v>
      </c>
      <c r="E271" t="s">
        <v>1572</v>
      </c>
      <c r="F271" t="str">
        <f t="shared" si="16"/>
        <v>TEJADA CACERES</v>
      </c>
      <c r="G271" t="str">
        <f t="shared" si="17"/>
        <v>TEJADA</v>
      </c>
      <c r="H271" t="str">
        <f t="shared" si="18"/>
        <v>CACERES</v>
      </c>
      <c r="I271" t="str">
        <f t="shared" si="19"/>
        <v xml:space="preserve"> WILBER RAUL</v>
      </c>
    </row>
    <row r="272" spans="1:9" x14ac:dyDescent="0.25">
      <c r="A272" t="s">
        <v>496</v>
      </c>
      <c r="B272" t="s">
        <v>497</v>
      </c>
      <c r="C272" s="2">
        <v>35234</v>
      </c>
      <c r="D272" t="s">
        <v>1743</v>
      </c>
      <c r="F272" t="str">
        <f t="shared" si="16"/>
        <v>VEGA ARELLAN</v>
      </c>
      <c r="G272" t="str">
        <f t="shared" si="17"/>
        <v>VEGA</v>
      </c>
      <c r="H272" t="str">
        <f t="shared" si="18"/>
        <v>ARELLAN</v>
      </c>
      <c r="I272" t="str">
        <f t="shared" si="19"/>
        <v xml:space="preserve"> JAFFET MAURICIO</v>
      </c>
    </row>
    <row r="273" spans="1:9" x14ac:dyDescent="0.25">
      <c r="A273" t="s">
        <v>498</v>
      </c>
      <c r="B273" t="s">
        <v>499</v>
      </c>
      <c r="C273" s="2">
        <v>34616</v>
      </c>
      <c r="D273" t="s">
        <v>1743</v>
      </c>
      <c r="F273" t="str">
        <f t="shared" si="16"/>
        <v>JARA GOMEZ</v>
      </c>
      <c r="G273" t="str">
        <f t="shared" si="17"/>
        <v>JARA</v>
      </c>
      <c r="H273" t="str">
        <f t="shared" si="18"/>
        <v>GOMEZ</v>
      </c>
      <c r="I273" t="str">
        <f t="shared" si="19"/>
        <v xml:space="preserve"> MIGUEL EDGARDO</v>
      </c>
    </row>
    <row r="274" spans="1:9" x14ac:dyDescent="0.25">
      <c r="A274" t="s">
        <v>500</v>
      </c>
      <c r="B274" t="s">
        <v>501</v>
      </c>
      <c r="C274" s="2">
        <v>35860</v>
      </c>
      <c r="D274" t="s">
        <v>1743</v>
      </c>
      <c r="F274" t="str">
        <f t="shared" si="16"/>
        <v>HUARICALLA PANCCA</v>
      </c>
      <c r="G274" t="str">
        <f t="shared" si="17"/>
        <v>HUARICALLA</v>
      </c>
      <c r="H274" t="str">
        <f t="shared" si="18"/>
        <v>PANCCA</v>
      </c>
      <c r="I274" t="str">
        <f t="shared" si="19"/>
        <v xml:space="preserve"> MARCOS ALBERTO</v>
      </c>
    </row>
    <row r="275" spans="1:9" x14ac:dyDescent="0.25">
      <c r="A275" t="s">
        <v>293</v>
      </c>
      <c r="B275" t="s">
        <v>294</v>
      </c>
      <c r="C275" s="2">
        <v>29823</v>
      </c>
      <c r="D275" t="s">
        <v>1743</v>
      </c>
      <c r="F275" t="str">
        <f t="shared" si="16"/>
        <v>FIGUEROA CCALLA</v>
      </c>
      <c r="G275" t="str">
        <f t="shared" si="17"/>
        <v>FIGUEROA</v>
      </c>
      <c r="H275" t="str">
        <f t="shared" si="18"/>
        <v>CCALLA</v>
      </c>
      <c r="I275" t="str">
        <f t="shared" si="19"/>
        <v xml:space="preserve"> CESAR</v>
      </c>
    </row>
    <row r="276" spans="1:9" x14ac:dyDescent="0.25">
      <c r="A276" t="s">
        <v>502</v>
      </c>
      <c r="B276" t="s">
        <v>503</v>
      </c>
      <c r="C276" s="2">
        <v>35923</v>
      </c>
      <c r="D276" t="s">
        <v>1744</v>
      </c>
      <c r="F276" t="str">
        <f t="shared" si="16"/>
        <v>BENITES PALACIOS</v>
      </c>
      <c r="G276" t="str">
        <f t="shared" si="17"/>
        <v>BENITES</v>
      </c>
      <c r="H276" t="str">
        <f t="shared" si="18"/>
        <v>PALACIOS</v>
      </c>
      <c r="I276" t="str">
        <f t="shared" si="19"/>
        <v xml:space="preserve"> MELANNY KATHY</v>
      </c>
    </row>
    <row r="277" spans="1:9" x14ac:dyDescent="0.25">
      <c r="A277" t="s">
        <v>504</v>
      </c>
      <c r="B277" t="s">
        <v>505</v>
      </c>
      <c r="D277" t="s">
        <v>1743</v>
      </c>
      <c r="F277" t="str">
        <f t="shared" si="16"/>
        <v>CCOLQUE ALATA</v>
      </c>
      <c r="G277" t="str">
        <f t="shared" si="17"/>
        <v>CCOLQUE</v>
      </c>
      <c r="H277" t="str">
        <f t="shared" si="18"/>
        <v>ALATA</v>
      </c>
      <c r="I277" t="str">
        <f t="shared" si="19"/>
        <v xml:space="preserve"> YURI</v>
      </c>
    </row>
    <row r="278" spans="1:9" x14ac:dyDescent="0.25">
      <c r="A278" t="s">
        <v>506</v>
      </c>
      <c r="B278" t="s">
        <v>507</v>
      </c>
      <c r="D278" t="s">
        <v>1743</v>
      </c>
      <c r="F278" t="str">
        <f t="shared" si="16"/>
        <v>DIAZ VASQUEZ</v>
      </c>
      <c r="G278" t="str">
        <f t="shared" si="17"/>
        <v>DIAZ</v>
      </c>
      <c r="H278" t="str">
        <f t="shared" si="18"/>
        <v>VASQUEZ</v>
      </c>
      <c r="I278" t="str">
        <f t="shared" si="19"/>
        <v xml:space="preserve"> YONHATAN ALEXANDER</v>
      </c>
    </row>
    <row r="279" spans="1:9" x14ac:dyDescent="0.25">
      <c r="A279" t="s">
        <v>508</v>
      </c>
      <c r="B279" t="s">
        <v>509</v>
      </c>
      <c r="C279" s="2">
        <v>36768</v>
      </c>
      <c r="D279" t="s">
        <v>1744</v>
      </c>
      <c r="F279" t="str">
        <f t="shared" si="16"/>
        <v>SALAS HERRERA</v>
      </c>
      <c r="G279" t="str">
        <f t="shared" si="17"/>
        <v>SALAS</v>
      </c>
      <c r="H279" t="str">
        <f t="shared" si="18"/>
        <v>HERRERA</v>
      </c>
      <c r="I279" t="str">
        <f t="shared" si="19"/>
        <v xml:space="preserve"> GIANELA ROSA</v>
      </c>
    </row>
    <row r="280" spans="1:9" x14ac:dyDescent="0.25">
      <c r="A280" t="s">
        <v>510</v>
      </c>
      <c r="B280" t="s">
        <v>511</v>
      </c>
      <c r="C280" s="2">
        <v>34643</v>
      </c>
      <c r="D280" t="s">
        <v>1743</v>
      </c>
      <c r="F280" t="str">
        <f t="shared" si="16"/>
        <v>ROBLEDO SANCHEZ</v>
      </c>
      <c r="G280" t="str">
        <f t="shared" si="17"/>
        <v>ROBLEDO</v>
      </c>
      <c r="H280" t="str">
        <f t="shared" si="18"/>
        <v>SANCHEZ</v>
      </c>
      <c r="I280" t="str">
        <f t="shared" si="19"/>
        <v xml:space="preserve"> CRISTHIAN DAVID</v>
      </c>
    </row>
    <row r="281" spans="1:9" x14ac:dyDescent="0.25">
      <c r="A281" t="s">
        <v>512</v>
      </c>
      <c r="B281" t="s">
        <v>513</v>
      </c>
      <c r="C281" s="2">
        <v>35639</v>
      </c>
      <c r="D281" t="s">
        <v>1743</v>
      </c>
      <c r="F281" t="str">
        <f t="shared" si="16"/>
        <v>MOLERO BURGOS</v>
      </c>
      <c r="G281" t="str">
        <f t="shared" si="17"/>
        <v>MOLERO</v>
      </c>
      <c r="H281" t="str">
        <f t="shared" si="18"/>
        <v>BURGOS</v>
      </c>
      <c r="I281" t="str">
        <f t="shared" si="19"/>
        <v xml:space="preserve"> DIEGO ANDRE</v>
      </c>
    </row>
    <row r="282" spans="1:9" x14ac:dyDescent="0.25">
      <c r="A282" t="s">
        <v>514</v>
      </c>
      <c r="B282" t="s">
        <v>515</v>
      </c>
      <c r="D282" t="s">
        <v>1743</v>
      </c>
      <c r="F282" t="str">
        <f t="shared" si="16"/>
        <v>ATAUCHI PALOMINO</v>
      </c>
      <c r="G282" t="str">
        <f t="shared" si="17"/>
        <v>ATAUCHI</v>
      </c>
      <c r="H282" t="str">
        <f t="shared" si="18"/>
        <v>PALOMINO</v>
      </c>
      <c r="I282" t="str">
        <f t="shared" si="19"/>
        <v xml:space="preserve"> WILLY ALEXANDER</v>
      </c>
    </row>
    <row r="283" spans="1:9" x14ac:dyDescent="0.25">
      <c r="A283" t="s">
        <v>516</v>
      </c>
      <c r="B283" t="s">
        <v>517</v>
      </c>
      <c r="C283" s="2">
        <v>32400</v>
      </c>
      <c r="D283" t="s">
        <v>1743</v>
      </c>
      <c r="E283" t="s">
        <v>1573</v>
      </c>
      <c r="F283" t="str">
        <f t="shared" si="16"/>
        <v>RAMOS CHUMBES</v>
      </c>
      <c r="G283" t="str">
        <f t="shared" si="17"/>
        <v>RAMOS</v>
      </c>
      <c r="H283" t="str">
        <f t="shared" si="18"/>
        <v>CHUMBES</v>
      </c>
      <c r="I283" t="str">
        <f t="shared" si="19"/>
        <v xml:space="preserve"> KEVIN ROSSEL</v>
      </c>
    </row>
    <row r="284" spans="1:9" x14ac:dyDescent="0.25">
      <c r="A284" t="s">
        <v>518</v>
      </c>
      <c r="B284" t="s">
        <v>519</v>
      </c>
      <c r="C284" s="2">
        <v>35838</v>
      </c>
      <c r="D284" t="s">
        <v>1743</v>
      </c>
      <c r="F284" t="str">
        <f t="shared" si="16"/>
        <v>MUÑANTE MANCO</v>
      </c>
      <c r="G284" t="str">
        <f t="shared" si="17"/>
        <v>MUÑANTE</v>
      </c>
      <c r="H284" t="str">
        <f t="shared" si="18"/>
        <v>MANCO</v>
      </c>
      <c r="I284" t="str">
        <f t="shared" si="19"/>
        <v xml:space="preserve"> CARLOS MANUEL</v>
      </c>
    </row>
    <row r="285" spans="1:9" x14ac:dyDescent="0.25">
      <c r="A285" t="s">
        <v>520</v>
      </c>
      <c r="B285" t="s">
        <v>521</v>
      </c>
      <c r="C285" s="2">
        <v>36253</v>
      </c>
      <c r="D285" t="s">
        <v>1743</v>
      </c>
      <c r="F285" t="str">
        <f t="shared" si="16"/>
        <v>TALLEDO GUERRERO</v>
      </c>
      <c r="G285" t="str">
        <f t="shared" si="17"/>
        <v>TALLEDO</v>
      </c>
      <c r="H285" t="str">
        <f t="shared" si="18"/>
        <v>GUERRERO</v>
      </c>
      <c r="I285" t="str">
        <f t="shared" si="19"/>
        <v xml:space="preserve"> RENATO</v>
      </c>
    </row>
    <row r="286" spans="1:9" x14ac:dyDescent="0.25">
      <c r="A286" t="s">
        <v>522</v>
      </c>
      <c r="B286" t="s">
        <v>523</v>
      </c>
      <c r="C286" s="2">
        <v>35390</v>
      </c>
      <c r="D286" t="s">
        <v>1743</v>
      </c>
      <c r="F286" t="str">
        <f t="shared" si="16"/>
        <v>FUENTES URDANIGA</v>
      </c>
      <c r="G286" t="str">
        <f t="shared" si="17"/>
        <v>FUENTES</v>
      </c>
      <c r="H286" t="str">
        <f t="shared" si="18"/>
        <v>URDANIGA</v>
      </c>
      <c r="I286" t="str">
        <f t="shared" si="19"/>
        <v xml:space="preserve"> BENJAMÍN OMAR</v>
      </c>
    </row>
    <row r="287" spans="1:9" x14ac:dyDescent="0.25">
      <c r="A287" t="s">
        <v>524</v>
      </c>
      <c r="B287" t="s">
        <v>525</v>
      </c>
      <c r="D287" t="s">
        <v>1743</v>
      </c>
      <c r="F287" t="str">
        <f t="shared" si="16"/>
        <v>SOTO VARGAS</v>
      </c>
      <c r="G287" t="str">
        <f t="shared" si="17"/>
        <v>SOTO</v>
      </c>
      <c r="H287" t="str">
        <f t="shared" si="18"/>
        <v>VARGAS</v>
      </c>
      <c r="I287" t="str">
        <f t="shared" si="19"/>
        <v xml:space="preserve"> HARRY JOHN</v>
      </c>
    </row>
    <row r="288" spans="1:9" x14ac:dyDescent="0.25">
      <c r="A288" t="s">
        <v>526</v>
      </c>
      <c r="B288" t="s">
        <v>527</v>
      </c>
      <c r="C288" s="2">
        <v>33606</v>
      </c>
      <c r="D288" t="s">
        <v>1743</v>
      </c>
      <c r="F288" t="str">
        <f t="shared" si="16"/>
        <v>CABELLO SALAZAR</v>
      </c>
      <c r="G288" t="str">
        <f t="shared" si="17"/>
        <v>CABELLO</v>
      </c>
      <c r="H288" t="str">
        <f t="shared" si="18"/>
        <v>SALAZAR</v>
      </c>
      <c r="I288" t="str">
        <f t="shared" si="19"/>
        <v xml:space="preserve"> MARCO BRUNO</v>
      </c>
    </row>
    <row r="289" spans="1:9" x14ac:dyDescent="0.25">
      <c r="A289" t="s">
        <v>385</v>
      </c>
      <c r="B289" t="s">
        <v>386</v>
      </c>
      <c r="C289" s="2">
        <v>35570</v>
      </c>
      <c r="D289" t="s">
        <v>1744</v>
      </c>
      <c r="F289" t="str">
        <f t="shared" si="16"/>
        <v>CARRILLO ACEVEDO</v>
      </c>
      <c r="G289" t="str">
        <f t="shared" si="17"/>
        <v>CARRILLO</v>
      </c>
      <c r="H289" t="str">
        <f t="shared" si="18"/>
        <v>ACEVEDO</v>
      </c>
      <c r="I289" t="str">
        <f t="shared" si="19"/>
        <v xml:space="preserve"> ALLINSON YOLANDA</v>
      </c>
    </row>
    <row r="290" spans="1:9" x14ac:dyDescent="0.25">
      <c r="A290" t="s">
        <v>528</v>
      </c>
      <c r="B290" t="s">
        <v>529</v>
      </c>
      <c r="C290" s="2">
        <v>36038</v>
      </c>
      <c r="D290" t="s">
        <v>1744</v>
      </c>
      <c r="F290" t="str">
        <f t="shared" si="16"/>
        <v>MAYORÍA VARGAS</v>
      </c>
      <c r="G290" t="str">
        <f t="shared" si="17"/>
        <v>MAYORÍA</v>
      </c>
      <c r="H290" t="str">
        <f t="shared" si="18"/>
        <v>VARGAS</v>
      </c>
      <c r="I290" t="str">
        <f t="shared" si="19"/>
        <v xml:space="preserve"> JIMENA</v>
      </c>
    </row>
    <row r="291" spans="1:9" x14ac:dyDescent="0.25">
      <c r="A291" t="s">
        <v>530</v>
      </c>
      <c r="B291" t="s">
        <v>531</v>
      </c>
      <c r="C291" s="2">
        <v>31622</v>
      </c>
      <c r="D291" t="s">
        <v>1743</v>
      </c>
      <c r="F291" t="str">
        <f t="shared" si="16"/>
        <v>PUPPO CHACON</v>
      </c>
      <c r="G291" t="str">
        <f t="shared" si="17"/>
        <v>PUPPO</v>
      </c>
      <c r="H291" t="str">
        <f t="shared" si="18"/>
        <v>CHACON</v>
      </c>
      <c r="I291" t="str">
        <f t="shared" si="19"/>
        <v xml:space="preserve"> AUGUSTO LUIS</v>
      </c>
    </row>
    <row r="292" spans="1:9" x14ac:dyDescent="0.25">
      <c r="A292" t="s">
        <v>532</v>
      </c>
      <c r="B292" t="s">
        <v>533</v>
      </c>
      <c r="C292" s="2">
        <v>32696</v>
      </c>
      <c r="D292" t="s">
        <v>1743</v>
      </c>
      <c r="F292" t="str">
        <f t="shared" si="16"/>
        <v>SANTIVAÑEZ CANO</v>
      </c>
      <c r="G292" t="str">
        <f t="shared" si="17"/>
        <v>SANTIVAÑEZ</v>
      </c>
      <c r="H292" t="str">
        <f t="shared" si="18"/>
        <v>CANO</v>
      </c>
      <c r="I292" t="str">
        <f t="shared" si="19"/>
        <v xml:space="preserve"> MANUEL JHONATAN</v>
      </c>
    </row>
    <row r="293" spans="1:9" x14ac:dyDescent="0.25">
      <c r="A293" t="s">
        <v>534</v>
      </c>
      <c r="B293" t="s">
        <v>535</v>
      </c>
      <c r="C293" s="2">
        <v>33059</v>
      </c>
      <c r="D293" t="s">
        <v>1743</v>
      </c>
      <c r="F293" t="str">
        <f t="shared" si="16"/>
        <v>VELARDE SALAZAR</v>
      </c>
      <c r="G293" t="str">
        <f t="shared" si="17"/>
        <v>VELARDE</v>
      </c>
      <c r="H293" t="str">
        <f t="shared" si="18"/>
        <v>SALAZAR</v>
      </c>
      <c r="I293" t="str">
        <f t="shared" si="19"/>
        <v xml:space="preserve"> GIANCARLO</v>
      </c>
    </row>
    <row r="294" spans="1:9" x14ac:dyDescent="0.25">
      <c r="A294" t="s">
        <v>536</v>
      </c>
      <c r="B294" t="s">
        <v>537</v>
      </c>
      <c r="C294" s="2">
        <v>33888</v>
      </c>
      <c r="D294" t="s">
        <v>1743</v>
      </c>
      <c r="F294" t="str">
        <f t="shared" si="16"/>
        <v>AVILA ALVARADO</v>
      </c>
      <c r="G294" t="str">
        <f t="shared" si="17"/>
        <v>AVILA</v>
      </c>
      <c r="H294" t="str">
        <f t="shared" si="18"/>
        <v>ALVARADO</v>
      </c>
      <c r="I294" t="str">
        <f t="shared" si="19"/>
        <v xml:space="preserve"> OSBAR JOSELITO</v>
      </c>
    </row>
    <row r="295" spans="1:9" x14ac:dyDescent="0.25">
      <c r="A295" t="s">
        <v>283</v>
      </c>
      <c r="B295" t="s">
        <v>284</v>
      </c>
      <c r="C295" s="2">
        <v>35997</v>
      </c>
      <c r="D295" t="s">
        <v>1743</v>
      </c>
      <c r="F295" t="str">
        <f t="shared" si="16"/>
        <v>DIAZ PARILLO</v>
      </c>
      <c r="G295" t="str">
        <f t="shared" si="17"/>
        <v>DIAZ</v>
      </c>
      <c r="H295" t="str">
        <f t="shared" si="18"/>
        <v>PARILLO</v>
      </c>
      <c r="I295" t="str">
        <f t="shared" si="19"/>
        <v xml:space="preserve"> HUMBERTO RONNY</v>
      </c>
    </row>
    <row r="296" spans="1:9" x14ac:dyDescent="0.25">
      <c r="A296" t="s">
        <v>265</v>
      </c>
      <c r="B296" t="s">
        <v>266</v>
      </c>
      <c r="C296" s="2">
        <v>36574</v>
      </c>
      <c r="D296" t="s">
        <v>1744</v>
      </c>
      <c r="F296" t="str">
        <f t="shared" si="16"/>
        <v>AMACHE AVENDAÑO</v>
      </c>
      <c r="G296" t="str">
        <f t="shared" si="17"/>
        <v>AMACHE</v>
      </c>
      <c r="H296" t="str">
        <f t="shared" si="18"/>
        <v>AVENDAÑO</v>
      </c>
      <c r="I296" t="str">
        <f t="shared" si="19"/>
        <v xml:space="preserve"> YADHIRA</v>
      </c>
    </row>
    <row r="297" spans="1:9" x14ac:dyDescent="0.25">
      <c r="A297" t="s">
        <v>538</v>
      </c>
      <c r="B297" t="s">
        <v>539</v>
      </c>
      <c r="C297" s="2">
        <v>35000</v>
      </c>
      <c r="D297" t="s">
        <v>1743</v>
      </c>
      <c r="F297" t="str">
        <f t="shared" si="16"/>
        <v>GALARZA FEBRES</v>
      </c>
      <c r="G297" t="str">
        <f t="shared" si="17"/>
        <v>GALARZA</v>
      </c>
      <c r="H297" t="str">
        <f t="shared" si="18"/>
        <v>FEBRES</v>
      </c>
      <c r="I297" t="str">
        <f t="shared" si="19"/>
        <v xml:space="preserve"> MARCELO MARTIN</v>
      </c>
    </row>
    <row r="298" spans="1:9" x14ac:dyDescent="0.25">
      <c r="A298" t="s">
        <v>540</v>
      </c>
      <c r="B298" t="s">
        <v>541</v>
      </c>
      <c r="C298" s="2">
        <v>31574</v>
      </c>
      <c r="D298" t="s">
        <v>1743</v>
      </c>
      <c r="F298" t="str">
        <f t="shared" si="16"/>
        <v>PICHARDO RODRIGUEZ</v>
      </c>
      <c r="G298" t="str">
        <f t="shared" si="17"/>
        <v>PICHARDO</v>
      </c>
      <c r="H298" t="str">
        <f t="shared" si="18"/>
        <v>RODRIGUEZ</v>
      </c>
      <c r="I298" t="str">
        <f t="shared" si="19"/>
        <v xml:space="preserve"> NERIO ENRIQUE</v>
      </c>
    </row>
    <row r="299" spans="1:9" x14ac:dyDescent="0.25">
      <c r="A299" t="s">
        <v>542</v>
      </c>
      <c r="B299" t="s">
        <v>543</v>
      </c>
      <c r="C299" s="2">
        <v>34697</v>
      </c>
      <c r="D299" t="s">
        <v>1743</v>
      </c>
      <c r="F299" t="str">
        <f t="shared" si="16"/>
        <v>RAMOS TORRES</v>
      </c>
      <c r="G299" t="str">
        <f t="shared" si="17"/>
        <v>RAMOS</v>
      </c>
      <c r="H299" t="str">
        <f t="shared" si="18"/>
        <v>TORRES</v>
      </c>
      <c r="I299" t="str">
        <f t="shared" si="19"/>
        <v xml:space="preserve"> GUIDO ANTONIO</v>
      </c>
    </row>
    <row r="300" spans="1:9" x14ac:dyDescent="0.25">
      <c r="A300" t="s">
        <v>544</v>
      </c>
      <c r="B300" t="s">
        <v>545</v>
      </c>
      <c r="C300" s="2">
        <v>24410</v>
      </c>
      <c r="D300" t="s">
        <v>1743</v>
      </c>
      <c r="F300" t="str">
        <f t="shared" si="16"/>
        <v>SOVERO URQUÍA</v>
      </c>
      <c r="G300" t="str">
        <f t="shared" si="17"/>
        <v>SOVERO</v>
      </c>
      <c r="H300" t="str">
        <f t="shared" si="18"/>
        <v>URQUÍA</v>
      </c>
      <c r="I300" t="str">
        <f t="shared" si="19"/>
        <v xml:space="preserve"> MÁXIMO</v>
      </c>
    </row>
    <row r="301" spans="1:9" x14ac:dyDescent="0.25">
      <c r="A301" t="s">
        <v>546</v>
      </c>
      <c r="B301" t="s">
        <v>547</v>
      </c>
      <c r="C301" s="2">
        <v>28672</v>
      </c>
      <c r="D301" t="s">
        <v>1743</v>
      </c>
      <c r="F301" t="str">
        <f t="shared" si="16"/>
        <v>PAZ ARICA</v>
      </c>
      <c r="G301" t="str">
        <f t="shared" si="17"/>
        <v>PAZ</v>
      </c>
      <c r="H301" t="str">
        <f t="shared" si="18"/>
        <v>ARICA</v>
      </c>
      <c r="I301" t="str">
        <f t="shared" si="19"/>
        <v xml:space="preserve"> ALVARO ENRIQUE</v>
      </c>
    </row>
    <row r="302" spans="1:9" x14ac:dyDescent="0.25">
      <c r="A302" t="s">
        <v>548</v>
      </c>
      <c r="B302" t="s">
        <v>549</v>
      </c>
      <c r="C302" s="2">
        <v>33412</v>
      </c>
      <c r="D302" t="s">
        <v>1743</v>
      </c>
      <c r="F302" t="str">
        <f t="shared" si="16"/>
        <v>RUFINO PANTA</v>
      </c>
      <c r="G302" t="str">
        <f t="shared" si="17"/>
        <v>RUFINO</v>
      </c>
      <c r="H302" t="str">
        <f t="shared" si="18"/>
        <v>PANTA</v>
      </c>
      <c r="I302" t="str">
        <f t="shared" si="19"/>
        <v xml:space="preserve"> DUBER</v>
      </c>
    </row>
    <row r="303" spans="1:9" x14ac:dyDescent="0.25">
      <c r="A303" t="s">
        <v>550</v>
      </c>
      <c r="B303" t="s">
        <v>551</v>
      </c>
      <c r="D303" t="s">
        <v>1743</v>
      </c>
      <c r="F303" t="str">
        <f t="shared" si="16"/>
        <v>HURTADO CONTRERAS</v>
      </c>
      <c r="G303" t="str">
        <f t="shared" si="17"/>
        <v>HURTADO</v>
      </c>
      <c r="H303" t="str">
        <f t="shared" si="18"/>
        <v>CONTRERAS</v>
      </c>
      <c r="I303" t="str">
        <f t="shared" si="19"/>
        <v xml:space="preserve"> YHOEL YHORDIÑO</v>
      </c>
    </row>
    <row r="304" spans="1:9" x14ac:dyDescent="0.25">
      <c r="A304" t="s">
        <v>552</v>
      </c>
      <c r="B304" t="s">
        <v>553</v>
      </c>
      <c r="C304" s="2">
        <v>31265</v>
      </c>
      <c r="D304" t="s">
        <v>1743</v>
      </c>
      <c r="F304" t="str">
        <f t="shared" si="16"/>
        <v>REVOLLEDO OLIVOS</v>
      </c>
      <c r="G304" t="str">
        <f t="shared" si="17"/>
        <v>REVOLLEDO</v>
      </c>
      <c r="H304" t="str">
        <f t="shared" si="18"/>
        <v>OLIVOS</v>
      </c>
      <c r="I304" t="str">
        <f t="shared" si="19"/>
        <v xml:space="preserve"> JHAN MARTIN</v>
      </c>
    </row>
    <row r="305" spans="1:9" x14ac:dyDescent="0.25">
      <c r="A305" t="s">
        <v>554</v>
      </c>
      <c r="B305" t="s">
        <v>555</v>
      </c>
      <c r="C305" s="2">
        <v>35831</v>
      </c>
      <c r="D305" t="s">
        <v>1743</v>
      </c>
      <c r="F305" t="str">
        <f t="shared" si="16"/>
        <v>ESPINOZA SALAZAR</v>
      </c>
      <c r="G305" t="str">
        <f t="shared" si="17"/>
        <v>ESPINOZA</v>
      </c>
      <c r="H305" t="str">
        <f t="shared" si="18"/>
        <v>SALAZAR</v>
      </c>
      <c r="I305" t="str">
        <f t="shared" si="19"/>
        <v xml:space="preserve"> LINCOLN ARTURO</v>
      </c>
    </row>
    <row r="306" spans="1:9" x14ac:dyDescent="0.25">
      <c r="A306" t="s">
        <v>556</v>
      </c>
      <c r="B306" t="s">
        <v>557</v>
      </c>
      <c r="C306" s="2">
        <v>33930</v>
      </c>
      <c r="D306" t="s">
        <v>1743</v>
      </c>
      <c r="F306" t="str">
        <f t="shared" si="16"/>
        <v>ROJAS CALDERÓN</v>
      </c>
      <c r="G306" t="str">
        <f t="shared" si="17"/>
        <v>ROJAS</v>
      </c>
      <c r="H306" t="str">
        <f t="shared" si="18"/>
        <v>CALDERÓN</v>
      </c>
      <c r="I306" t="str">
        <f t="shared" si="19"/>
        <v xml:space="preserve"> ALVARO JULIO</v>
      </c>
    </row>
    <row r="307" spans="1:9" x14ac:dyDescent="0.25">
      <c r="A307" t="s">
        <v>558</v>
      </c>
      <c r="B307" t="s">
        <v>559</v>
      </c>
      <c r="C307" s="2">
        <v>35923</v>
      </c>
      <c r="D307" t="s">
        <v>1743</v>
      </c>
      <c r="F307" t="str">
        <f t="shared" si="16"/>
        <v>YOVERA RAMIREZ</v>
      </c>
      <c r="G307" t="str">
        <f t="shared" si="17"/>
        <v>YOVERA</v>
      </c>
      <c r="H307" t="str">
        <f t="shared" si="18"/>
        <v>RAMIREZ</v>
      </c>
      <c r="I307" t="str">
        <f t="shared" si="19"/>
        <v xml:space="preserve"> CESAR ADRIÁN</v>
      </c>
    </row>
    <row r="308" spans="1:9" x14ac:dyDescent="0.25">
      <c r="A308" t="s">
        <v>492</v>
      </c>
      <c r="B308" t="s">
        <v>493</v>
      </c>
      <c r="C308" s="2">
        <v>36225</v>
      </c>
      <c r="D308" t="s">
        <v>1744</v>
      </c>
      <c r="F308" t="str">
        <f t="shared" si="16"/>
        <v>AGUIRRE BANDA</v>
      </c>
      <c r="G308" t="str">
        <f t="shared" si="17"/>
        <v>AGUIRRE</v>
      </c>
      <c r="H308" t="str">
        <f t="shared" si="18"/>
        <v>BANDA</v>
      </c>
      <c r="I308" t="str">
        <f t="shared" si="19"/>
        <v xml:space="preserve"> JOSHUA SABRINA</v>
      </c>
    </row>
    <row r="309" spans="1:9" x14ac:dyDescent="0.25">
      <c r="A309" t="s">
        <v>514</v>
      </c>
      <c r="B309" t="s">
        <v>515</v>
      </c>
      <c r="C309" s="2">
        <v>36594</v>
      </c>
      <c r="D309" t="s">
        <v>1743</v>
      </c>
      <c r="F309" t="str">
        <f t="shared" si="16"/>
        <v>ATAUCHI PALOMINO</v>
      </c>
      <c r="G309" t="str">
        <f t="shared" si="17"/>
        <v>ATAUCHI</v>
      </c>
      <c r="H309" t="str">
        <f t="shared" si="18"/>
        <v>PALOMINO</v>
      </c>
      <c r="I309" t="str">
        <f t="shared" si="19"/>
        <v xml:space="preserve"> WILLY ALEXANDER</v>
      </c>
    </row>
    <row r="310" spans="1:9" x14ac:dyDescent="0.25">
      <c r="A310" t="s">
        <v>433</v>
      </c>
      <c r="B310" t="s">
        <v>434</v>
      </c>
      <c r="C310" s="2">
        <v>36049</v>
      </c>
      <c r="D310" t="s">
        <v>1743</v>
      </c>
      <c r="F310" t="str">
        <f t="shared" si="16"/>
        <v>CRUZ MENDOZA</v>
      </c>
      <c r="G310" t="str">
        <f t="shared" si="17"/>
        <v>CRUZ</v>
      </c>
      <c r="H310" t="str">
        <f t="shared" si="18"/>
        <v>MENDOZA</v>
      </c>
      <c r="I310" t="str">
        <f t="shared" si="19"/>
        <v xml:space="preserve"> FRANCISCO GEANNPAUL</v>
      </c>
    </row>
    <row r="311" spans="1:9" x14ac:dyDescent="0.25">
      <c r="A311" t="s">
        <v>560</v>
      </c>
      <c r="B311" t="s">
        <v>561</v>
      </c>
      <c r="C311" s="2">
        <v>32342</v>
      </c>
      <c r="D311" t="s">
        <v>1743</v>
      </c>
      <c r="F311" t="str">
        <f t="shared" si="16"/>
        <v>RUIZ ESPINOZA</v>
      </c>
      <c r="G311" t="str">
        <f t="shared" si="17"/>
        <v>RUIZ</v>
      </c>
      <c r="H311" t="str">
        <f t="shared" si="18"/>
        <v>ESPINOZA</v>
      </c>
      <c r="I311" t="str">
        <f t="shared" si="19"/>
        <v xml:space="preserve"> HOUSTON MARCO</v>
      </c>
    </row>
    <row r="312" spans="1:9" x14ac:dyDescent="0.25">
      <c r="A312" t="s">
        <v>562</v>
      </c>
      <c r="B312" t="s">
        <v>563</v>
      </c>
      <c r="C312" s="2">
        <v>36971</v>
      </c>
      <c r="D312" t="s">
        <v>1743</v>
      </c>
      <c r="F312" t="str">
        <f t="shared" si="16"/>
        <v>GUERRA ZAPATA</v>
      </c>
      <c r="G312" t="str">
        <f t="shared" si="17"/>
        <v>GUERRA</v>
      </c>
      <c r="H312" t="str">
        <f t="shared" si="18"/>
        <v>ZAPATA</v>
      </c>
      <c r="I312" t="str">
        <f t="shared" si="19"/>
        <v xml:space="preserve"> JORGE ANTONIO</v>
      </c>
    </row>
    <row r="313" spans="1:9" x14ac:dyDescent="0.25">
      <c r="A313" t="s">
        <v>564</v>
      </c>
      <c r="B313" t="s">
        <v>565</v>
      </c>
      <c r="C313" s="2">
        <v>37554</v>
      </c>
      <c r="D313" t="s">
        <v>1743</v>
      </c>
      <c r="F313" t="str">
        <f t="shared" si="16"/>
        <v>ROJAS CARDENAS</v>
      </c>
      <c r="G313" t="str">
        <f t="shared" si="17"/>
        <v>ROJAS</v>
      </c>
      <c r="H313" t="str">
        <f t="shared" si="18"/>
        <v>CARDENAS</v>
      </c>
      <c r="I313" t="str">
        <f t="shared" si="19"/>
        <v xml:space="preserve"> JOSEPH EDGAR</v>
      </c>
    </row>
    <row r="314" spans="1:9" x14ac:dyDescent="0.25">
      <c r="A314" t="s">
        <v>566</v>
      </c>
      <c r="B314" t="s">
        <v>567</v>
      </c>
      <c r="C314" s="2">
        <v>34170</v>
      </c>
      <c r="D314" t="s">
        <v>1743</v>
      </c>
      <c r="F314" t="str">
        <f t="shared" si="16"/>
        <v>CAMPANA ATAJO</v>
      </c>
      <c r="G314" t="str">
        <f t="shared" si="17"/>
        <v>CAMPANA</v>
      </c>
      <c r="H314" t="str">
        <f t="shared" si="18"/>
        <v>ATAJO</v>
      </c>
      <c r="I314" t="str">
        <f t="shared" si="19"/>
        <v xml:space="preserve"> ALVARO KEVIN</v>
      </c>
    </row>
    <row r="315" spans="1:9" x14ac:dyDescent="0.25">
      <c r="A315" t="s">
        <v>568</v>
      </c>
      <c r="B315" t="s">
        <v>569</v>
      </c>
      <c r="C315" s="2">
        <v>33195</v>
      </c>
      <c r="D315" t="s">
        <v>1743</v>
      </c>
      <c r="F315" t="str">
        <f t="shared" si="16"/>
        <v>SANDOVAL BARRIENTOS</v>
      </c>
      <c r="G315" t="str">
        <f t="shared" si="17"/>
        <v>SANDOVAL</v>
      </c>
      <c r="H315" t="str">
        <f t="shared" si="18"/>
        <v>BARRIENTOS</v>
      </c>
      <c r="I315" t="str">
        <f t="shared" si="19"/>
        <v xml:space="preserve"> MARCO ANTONIO</v>
      </c>
    </row>
    <row r="316" spans="1:9" x14ac:dyDescent="0.25">
      <c r="A316" t="s">
        <v>570</v>
      </c>
      <c r="B316" t="s">
        <v>571</v>
      </c>
      <c r="C316" s="2">
        <v>31057</v>
      </c>
      <c r="D316" t="s">
        <v>1743</v>
      </c>
      <c r="E316" t="s">
        <v>1574</v>
      </c>
      <c r="F316" t="str">
        <f t="shared" si="16"/>
        <v>TORRES BENITES</v>
      </c>
      <c r="G316" t="str">
        <f t="shared" si="17"/>
        <v>TORRES</v>
      </c>
      <c r="H316" t="str">
        <f t="shared" si="18"/>
        <v>BENITES</v>
      </c>
      <c r="I316" t="str">
        <f t="shared" si="19"/>
        <v xml:space="preserve"> JUAN CARLOS IVAN</v>
      </c>
    </row>
    <row r="317" spans="1:9" x14ac:dyDescent="0.25">
      <c r="A317" t="s">
        <v>572</v>
      </c>
      <c r="B317" t="s">
        <v>573</v>
      </c>
      <c r="C317" s="2">
        <v>31197</v>
      </c>
      <c r="D317" t="s">
        <v>1743</v>
      </c>
      <c r="F317" t="str">
        <f t="shared" si="16"/>
        <v>CHINCHAY MERINO</v>
      </c>
      <c r="G317" t="str">
        <f t="shared" si="17"/>
        <v>CHINCHAY</v>
      </c>
      <c r="H317" t="str">
        <f t="shared" si="18"/>
        <v>MERINO</v>
      </c>
      <c r="I317" t="str">
        <f t="shared" si="19"/>
        <v xml:space="preserve"> JOSE FRANCISCO</v>
      </c>
    </row>
    <row r="318" spans="1:9" x14ac:dyDescent="0.25">
      <c r="A318" t="s">
        <v>574</v>
      </c>
      <c r="B318" t="s">
        <v>575</v>
      </c>
      <c r="C318" s="2">
        <v>33414</v>
      </c>
      <c r="D318" t="s">
        <v>1743</v>
      </c>
      <c r="F318" t="str">
        <f t="shared" si="16"/>
        <v>ZEVALLOS PEREZ</v>
      </c>
      <c r="G318" t="str">
        <f t="shared" si="17"/>
        <v>ZEVALLOS</v>
      </c>
      <c r="H318" t="str">
        <f t="shared" si="18"/>
        <v>PEREZ</v>
      </c>
      <c r="I318" t="str">
        <f t="shared" si="19"/>
        <v xml:space="preserve"> SEGUNDO JOHN</v>
      </c>
    </row>
    <row r="319" spans="1:9" x14ac:dyDescent="0.25">
      <c r="A319" t="s">
        <v>576</v>
      </c>
      <c r="B319" t="s">
        <v>577</v>
      </c>
      <c r="C319" s="2">
        <v>33141</v>
      </c>
      <c r="D319" t="s">
        <v>1743</v>
      </c>
      <c r="F319" t="str">
        <f t="shared" si="16"/>
        <v>MEDINA RAMIREZ</v>
      </c>
      <c r="G319" t="str">
        <f t="shared" si="17"/>
        <v>MEDINA</v>
      </c>
      <c r="H319" t="str">
        <f t="shared" si="18"/>
        <v>RAMIREZ</v>
      </c>
      <c r="I319" t="str">
        <f t="shared" si="19"/>
        <v xml:space="preserve"> CARLOS JHONATAN</v>
      </c>
    </row>
    <row r="320" spans="1:9" x14ac:dyDescent="0.25">
      <c r="A320" t="s">
        <v>578</v>
      </c>
      <c r="B320" t="s">
        <v>579</v>
      </c>
      <c r="C320" s="2">
        <v>31738</v>
      </c>
      <c r="D320" t="s">
        <v>1743</v>
      </c>
      <c r="F320" t="str">
        <f t="shared" si="16"/>
        <v>NUÑEZ SAMANIEGO</v>
      </c>
      <c r="G320" t="str">
        <f t="shared" si="17"/>
        <v>NUÑEZ</v>
      </c>
      <c r="H320" t="str">
        <f t="shared" si="18"/>
        <v>SAMANIEGO</v>
      </c>
      <c r="I320" t="str">
        <f t="shared" si="19"/>
        <v xml:space="preserve"> DARWIN OMAR</v>
      </c>
    </row>
    <row r="321" spans="1:9" x14ac:dyDescent="0.25">
      <c r="A321" t="s">
        <v>580</v>
      </c>
      <c r="B321" t="s">
        <v>581</v>
      </c>
      <c r="C321" s="2">
        <v>33404</v>
      </c>
      <c r="D321" t="s">
        <v>1743</v>
      </c>
      <c r="F321" t="str">
        <f t="shared" si="16"/>
        <v>OBREGON MEJIA</v>
      </c>
      <c r="G321" t="str">
        <f t="shared" si="17"/>
        <v>OBREGON</v>
      </c>
      <c r="H321" t="str">
        <f t="shared" si="18"/>
        <v>MEJIA</v>
      </c>
      <c r="I321" t="str">
        <f t="shared" si="19"/>
        <v xml:space="preserve"> GUILLERMO FRANKLIN</v>
      </c>
    </row>
    <row r="322" spans="1:9" x14ac:dyDescent="0.25">
      <c r="A322" t="s">
        <v>582</v>
      </c>
      <c r="B322" t="s">
        <v>583</v>
      </c>
      <c r="C322" s="2">
        <v>36638</v>
      </c>
      <c r="D322" t="s">
        <v>1743</v>
      </c>
      <c r="F322" t="str">
        <f t="shared" si="16"/>
        <v>CORDOVA GUERRERO</v>
      </c>
      <c r="G322" t="str">
        <f t="shared" si="17"/>
        <v>CORDOVA</v>
      </c>
      <c r="H322" t="str">
        <f t="shared" si="18"/>
        <v>GUERRERO</v>
      </c>
      <c r="I322" t="str">
        <f t="shared" si="19"/>
        <v xml:space="preserve"> EDILMER</v>
      </c>
    </row>
    <row r="323" spans="1:9" x14ac:dyDescent="0.25">
      <c r="A323" t="s">
        <v>584</v>
      </c>
      <c r="B323" t="s">
        <v>585</v>
      </c>
      <c r="C323" s="2">
        <v>35636</v>
      </c>
      <c r="D323" t="s">
        <v>1744</v>
      </c>
      <c r="F323" t="str">
        <f t="shared" ref="F323:F386" si="20">LEFT(B323,SEARCH(",",B323)-1)</f>
        <v>PALOMINO MACHUCA</v>
      </c>
      <c r="G323" t="str">
        <f t="shared" ref="G323:G386" si="21">LEFT(F323,SEARCH(" ",F323)-1)</f>
        <v>PALOMINO</v>
      </c>
      <c r="H323" t="str">
        <f t="shared" ref="H323:H386" si="22">RIGHT(F323,LEN(F323)- SEARCH(" ",F323))</f>
        <v>MACHUCA</v>
      </c>
      <c r="I323" t="str">
        <f t="shared" ref="I323:I386" si="23">RIGHT(B323,LEN(B323)- SEARCH(",",B323))</f>
        <v xml:space="preserve"> MELANY KIMBERLY</v>
      </c>
    </row>
    <row r="324" spans="1:9" x14ac:dyDescent="0.25">
      <c r="A324" t="s">
        <v>586</v>
      </c>
      <c r="B324" t="s">
        <v>587</v>
      </c>
      <c r="C324" s="2">
        <v>36416</v>
      </c>
      <c r="D324" t="s">
        <v>1743</v>
      </c>
      <c r="F324" t="str">
        <f t="shared" si="20"/>
        <v>VILLEGAS GARCIA</v>
      </c>
      <c r="G324" t="str">
        <f t="shared" si="21"/>
        <v>VILLEGAS</v>
      </c>
      <c r="H324" t="str">
        <f t="shared" si="22"/>
        <v>GARCIA</v>
      </c>
      <c r="I324" t="str">
        <f t="shared" si="23"/>
        <v xml:space="preserve"> SEBASTIAN EDILBERTO</v>
      </c>
    </row>
    <row r="325" spans="1:9" x14ac:dyDescent="0.25">
      <c r="A325" t="s">
        <v>588</v>
      </c>
      <c r="B325" t="s">
        <v>589</v>
      </c>
      <c r="C325" s="2">
        <v>35965</v>
      </c>
      <c r="D325" t="s">
        <v>1743</v>
      </c>
      <c r="F325" t="str">
        <f t="shared" si="20"/>
        <v>MEDINA DE LA CRUZ</v>
      </c>
      <c r="G325" t="str">
        <f t="shared" si="21"/>
        <v>MEDINA</v>
      </c>
      <c r="H325" t="str">
        <f t="shared" si="22"/>
        <v>DE LA CRUZ</v>
      </c>
      <c r="I325" t="str">
        <f t="shared" si="23"/>
        <v xml:space="preserve"> JOSE GIANFRANCO</v>
      </c>
    </row>
    <row r="326" spans="1:9" x14ac:dyDescent="0.25">
      <c r="A326" t="s">
        <v>590</v>
      </c>
      <c r="B326" t="s">
        <v>591</v>
      </c>
      <c r="C326" s="2">
        <v>37803</v>
      </c>
      <c r="D326" t="s">
        <v>1743</v>
      </c>
      <c r="F326" t="str">
        <f t="shared" si="20"/>
        <v>CRUZ RIVAS</v>
      </c>
      <c r="G326" t="str">
        <f t="shared" si="21"/>
        <v>CRUZ</v>
      </c>
      <c r="H326" t="str">
        <f t="shared" si="22"/>
        <v>RIVAS</v>
      </c>
      <c r="I326" t="str">
        <f t="shared" si="23"/>
        <v xml:space="preserve"> ALEX JOEL</v>
      </c>
    </row>
    <row r="327" spans="1:9" x14ac:dyDescent="0.25">
      <c r="A327" t="s">
        <v>592</v>
      </c>
      <c r="B327" t="s">
        <v>593</v>
      </c>
      <c r="C327" s="2">
        <v>36697</v>
      </c>
      <c r="D327" t="s">
        <v>1743</v>
      </c>
      <c r="F327" t="str">
        <f t="shared" si="20"/>
        <v>AVELLANEDA DIAZ</v>
      </c>
      <c r="G327" t="str">
        <f t="shared" si="21"/>
        <v>AVELLANEDA</v>
      </c>
      <c r="H327" t="str">
        <f t="shared" si="22"/>
        <v>DIAZ</v>
      </c>
      <c r="I327" t="str">
        <f t="shared" si="23"/>
        <v xml:space="preserve"> IVAN</v>
      </c>
    </row>
    <row r="328" spans="1:9" x14ac:dyDescent="0.25">
      <c r="A328" t="s">
        <v>594</v>
      </c>
      <c r="B328" t="s">
        <v>595</v>
      </c>
      <c r="C328" s="2">
        <v>36884</v>
      </c>
      <c r="D328" t="s">
        <v>1743</v>
      </c>
      <c r="F328" t="str">
        <f t="shared" si="20"/>
        <v>TUPAYACHI CORAL</v>
      </c>
      <c r="G328" t="str">
        <f t="shared" si="21"/>
        <v>TUPAYACHI</v>
      </c>
      <c r="H328" t="str">
        <f t="shared" si="22"/>
        <v>CORAL</v>
      </c>
      <c r="I328" t="str">
        <f t="shared" si="23"/>
        <v xml:space="preserve"> DIEGO AARON</v>
      </c>
    </row>
    <row r="329" spans="1:9" x14ac:dyDescent="0.25">
      <c r="A329" t="s">
        <v>596</v>
      </c>
      <c r="B329" t="s">
        <v>597</v>
      </c>
      <c r="C329" s="2">
        <v>35564</v>
      </c>
      <c r="D329" t="s">
        <v>1743</v>
      </c>
      <c r="F329" t="str">
        <f t="shared" si="20"/>
        <v>RIVA ORBEZO</v>
      </c>
      <c r="G329" t="str">
        <f t="shared" si="21"/>
        <v>RIVA</v>
      </c>
      <c r="H329" t="str">
        <f t="shared" si="22"/>
        <v>ORBEZO</v>
      </c>
      <c r="I329" t="str">
        <f t="shared" si="23"/>
        <v xml:space="preserve"> RONALD JOSUE</v>
      </c>
    </row>
    <row r="330" spans="1:9" x14ac:dyDescent="0.25">
      <c r="A330" t="s">
        <v>598</v>
      </c>
      <c r="B330" t="s">
        <v>599</v>
      </c>
      <c r="C330" s="2">
        <v>29942</v>
      </c>
      <c r="D330" t="s">
        <v>1743</v>
      </c>
      <c r="F330" t="str">
        <f t="shared" si="20"/>
        <v>VIDAL PÉREZ</v>
      </c>
      <c r="G330" t="str">
        <f t="shared" si="21"/>
        <v>VIDAL</v>
      </c>
      <c r="H330" t="str">
        <f t="shared" si="22"/>
        <v>PÉREZ</v>
      </c>
      <c r="I330" t="str">
        <f t="shared" si="23"/>
        <v xml:space="preserve"> HUGO HÉCTOR</v>
      </c>
    </row>
    <row r="331" spans="1:9" x14ac:dyDescent="0.25">
      <c r="A331" t="s">
        <v>490</v>
      </c>
      <c r="B331" t="s">
        <v>491</v>
      </c>
      <c r="C331" s="2">
        <v>35275</v>
      </c>
      <c r="D331" t="s">
        <v>1743</v>
      </c>
      <c r="F331" t="str">
        <f t="shared" si="20"/>
        <v>MOTTA ROSADA</v>
      </c>
      <c r="G331" t="str">
        <f t="shared" si="21"/>
        <v>MOTTA</v>
      </c>
      <c r="H331" t="str">
        <f t="shared" si="22"/>
        <v>ROSADA</v>
      </c>
      <c r="I331" t="str">
        <f t="shared" si="23"/>
        <v xml:space="preserve"> FRANGHOAR ANGELLO</v>
      </c>
    </row>
    <row r="332" spans="1:9" x14ac:dyDescent="0.25">
      <c r="A332" t="s">
        <v>600</v>
      </c>
      <c r="B332" t="s">
        <v>601</v>
      </c>
      <c r="C332" s="2">
        <v>31896</v>
      </c>
      <c r="D332" t="s">
        <v>1743</v>
      </c>
      <c r="F332" t="str">
        <f t="shared" si="20"/>
        <v>RAMIREZ CHALCO</v>
      </c>
      <c r="G332" t="str">
        <f t="shared" si="21"/>
        <v>RAMIREZ</v>
      </c>
      <c r="H332" t="str">
        <f t="shared" si="22"/>
        <v>CHALCO</v>
      </c>
      <c r="I332" t="str">
        <f t="shared" si="23"/>
        <v xml:space="preserve"> NILO</v>
      </c>
    </row>
    <row r="333" spans="1:9" x14ac:dyDescent="0.25">
      <c r="A333" t="s">
        <v>602</v>
      </c>
      <c r="B333" t="s">
        <v>603</v>
      </c>
      <c r="C333" s="2">
        <v>28636</v>
      </c>
      <c r="D333" t="s">
        <v>1743</v>
      </c>
      <c r="F333" t="str">
        <f t="shared" si="20"/>
        <v>ÑAUPARI BALDEON</v>
      </c>
      <c r="G333" t="str">
        <f t="shared" si="21"/>
        <v>ÑAUPARI</v>
      </c>
      <c r="H333" t="str">
        <f t="shared" si="22"/>
        <v>BALDEON</v>
      </c>
      <c r="I333" t="str">
        <f t="shared" si="23"/>
        <v xml:space="preserve"> PABLO FELIPE</v>
      </c>
    </row>
    <row r="334" spans="1:9" x14ac:dyDescent="0.25">
      <c r="A334" t="s">
        <v>604</v>
      </c>
      <c r="B334" t="s">
        <v>605</v>
      </c>
      <c r="C334" s="2">
        <v>35729</v>
      </c>
      <c r="D334" t="s">
        <v>1743</v>
      </c>
      <c r="F334" t="str">
        <f t="shared" si="20"/>
        <v>ERASMO BERRIOS</v>
      </c>
      <c r="G334" t="str">
        <f t="shared" si="21"/>
        <v>ERASMO</v>
      </c>
      <c r="H334" t="str">
        <f t="shared" si="22"/>
        <v>BERRIOS</v>
      </c>
      <c r="I334" t="str">
        <f t="shared" si="23"/>
        <v xml:space="preserve"> ERICK ALEXANDER</v>
      </c>
    </row>
    <row r="335" spans="1:9" x14ac:dyDescent="0.25">
      <c r="A335" t="s">
        <v>606</v>
      </c>
      <c r="B335" t="s">
        <v>607</v>
      </c>
      <c r="C335" s="2">
        <v>34845</v>
      </c>
      <c r="D335" t="s">
        <v>1743</v>
      </c>
      <c r="F335" t="str">
        <f t="shared" si="20"/>
        <v>FLORES VILCA</v>
      </c>
      <c r="G335" t="str">
        <f t="shared" si="21"/>
        <v>FLORES</v>
      </c>
      <c r="H335" t="str">
        <f t="shared" si="22"/>
        <v>VILCA</v>
      </c>
      <c r="I335" t="str">
        <f t="shared" si="23"/>
        <v xml:space="preserve"> CARLOS ENRIQUE</v>
      </c>
    </row>
    <row r="336" spans="1:9" x14ac:dyDescent="0.25">
      <c r="A336" t="s">
        <v>608</v>
      </c>
      <c r="B336" t="s">
        <v>609</v>
      </c>
      <c r="C336" s="2">
        <v>31958</v>
      </c>
      <c r="D336" t="s">
        <v>1743</v>
      </c>
      <c r="F336" t="str">
        <f t="shared" si="20"/>
        <v>OLIVERA MANCO</v>
      </c>
      <c r="G336" t="str">
        <f t="shared" si="21"/>
        <v>OLIVERA</v>
      </c>
      <c r="H336" t="str">
        <f t="shared" si="22"/>
        <v>MANCO</v>
      </c>
      <c r="I336" t="str">
        <f t="shared" si="23"/>
        <v xml:space="preserve"> JORGE AUGUSTO</v>
      </c>
    </row>
    <row r="337" spans="1:9" x14ac:dyDescent="0.25">
      <c r="A337" t="s">
        <v>610</v>
      </c>
      <c r="B337" t="s">
        <v>611</v>
      </c>
      <c r="C337" s="2">
        <v>35743</v>
      </c>
      <c r="D337" t="s">
        <v>1743</v>
      </c>
      <c r="F337" t="str">
        <f t="shared" si="20"/>
        <v>TICONA SAAVEDRA</v>
      </c>
      <c r="G337" t="str">
        <f t="shared" si="21"/>
        <v>TICONA</v>
      </c>
      <c r="H337" t="str">
        <f t="shared" si="22"/>
        <v>SAAVEDRA</v>
      </c>
      <c r="I337" t="str">
        <f t="shared" si="23"/>
        <v xml:space="preserve"> CESAR MARTIN</v>
      </c>
    </row>
    <row r="338" spans="1:9" x14ac:dyDescent="0.25">
      <c r="A338" t="s">
        <v>612</v>
      </c>
      <c r="B338" t="s">
        <v>613</v>
      </c>
      <c r="C338" s="2">
        <v>37561</v>
      </c>
      <c r="D338" t="s">
        <v>1743</v>
      </c>
      <c r="E338" t="s">
        <v>1575</v>
      </c>
      <c r="F338" t="str">
        <f t="shared" si="20"/>
        <v>GUTIERREZ CANRE</v>
      </c>
      <c r="G338" t="str">
        <f t="shared" si="21"/>
        <v>GUTIERREZ</v>
      </c>
      <c r="H338" t="str">
        <f t="shared" si="22"/>
        <v>CANRE</v>
      </c>
      <c r="I338" t="str">
        <f t="shared" si="23"/>
        <v xml:space="preserve"> FELIX GERARDO</v>
      </c>
    </row>
    <row r="339" spans="1:9" x14ac:dyDescent="0.25">
      <c r="A339" t="s">
        <v>614</v>
      </c>
      <c r="B339" t="s">
        <v>615</v>
      </c>
      <c r="C339" s="2">
        <v>35501</v>
      </c>
      <c r="D339" t="s">
        <v>1743</v>
      </c>
      <c r="F339" t="str">
        <f t="shared" si="20"/>
        <v>GUTIERREZ HURTADO</v>
      </c>
      <c r="G339" t="str">
        <f t="shared" si="21"/>
        <v>GUTIERREZ</v>
      </c>
      <c r="H339" t="str">
        <f t="shared" si="22"/>
        <v>HURTADO</v>
      </c>
      <c r="I339" t="str">
        <f t="shared" si="23"/>
        <v xml:space="preserve"> CHRISTOPHER ABILIO</v>
      </c>
    </row>
    <row r="340" spans="1:9" x14ac:dyDescent="0.25">
      <c r="A340" t="s">
        <v>518</v>
      </c>
      <c r="B340" t="s">
        <v>519</v>
      </c>
      <c r="C340" s="2">
        <v>35838</v>
      </c>
      <c r="D340" t="s">
        <v>1743</v>
      </c>
      <c r="F340" t="str">
        <f t="shared" si="20"/>
        <v>MUÑANTE MANCO</v>
      </c>
      <c r="G340" t="str">
        <f t="shared" si="21"/>
        <v>MUÑANTE</v>
      </c>
      <c r="H340" t="str">
        <f t="shared" si="22"/>
        <v>MANCO</v>
      </c>
      <c r="I340" t="str">
        <f t="shared" si="23"/>
        <v xml:space="preserve"> CARLOS MANUEL</v>
      </c>
    </row>
    <row r="341" spans="1:9" x14ac:dyDescent="0.25">
      <c r="A341" t="s">
        <v>616</v>
      </c>
      <c r="B341" t="s">
        <v>617</v>
      </c>
      <c r="C341" s="2">
        <v>34257</v>
      </c>
      <c r="D341" t="s">
        <v>1743</v>
      </c>
      <c r="F341" t="str">
        <f t="shared" si="20"/>
        <v>SALCEDO ORELLANA</v>
      </c>
      <c r="G341" t="str">
        <f t="shared" si="21"/>
        <v>SALCEDO</v>
      </c>
      <c r="H341" t="str">
        <f t="shared" si="22"/>
        <v>ORELLANA</v>
      </c>
      <c r="I341" t="str">
        <f t="shared" si="23"/>
        <v xml:space="preserve"> RICARDO ALFONSO</v>
      </c>
    </row>
    <row r="342" spans="1:9" x14ac:dyDescent="0.25">
      <c r="A342" t="s">
        <v>618</v>
      </c>
      <c r="B342" t="s">
        <v>619</v>
      </c>
      <c r="C342" s="2">
        <v>36428</v>
      </c>
      <c r="D342" t="s">
        <v>1744</v>
      </c>
      <c r="F342" t="str">
        <f t="shared" si="20"/>
        <v>MALPARTIDA SANTOS</v>
      </c>
      <c r="G342" t="str">
        <f t="shared" si="21"/>
        <v>MALPARTIDA</v>
      </c>
      <c r="H342" t="str">
        <f t="shared" si="22"/>
        <v>SANTOS</v>
      </c>
      <c r="I342" t="str">
        <f t="shared" si="23"/>
        <v xml:space="preserve"> ROCIO LISBETH</v>
      </c>
    </row>
    <row r="343" spans="1:9" x14ac:dyDescent="0.25">
      <c r="A343" t="s">
        <v>620</v>
      </c>
      <c r="B343" t="s">
        <v>621</v>
      </c>
      <c r="C343" s="2">
        <v>24178</v>
      </c>
      <c r="D343" t="s">
        <v>1743</v>
      </c>
      <c r="F343" t="str">
        <f t="shared" si="20"/>
        <v>MARTINEZ TERREROS</v>
      </c>
      <c r="G343" t="str">
        <f t="shared" si="21"/>
        <v>MARTINEZ</v>
      </c>
      <c r="H343" t="str">
        <f t="shared" si="22"/>
        <v>TERREROS</v>
      </c>
      <c r="I343" t="str">
        <f t="shared" si="23"/>
        <v xml:space="preserve"> LARRY GREGORIO</v>
      </c>
    </row>
    <row r="344" spans="1:9" x14ac:dyDescent="0.25">
      <c r="A344" t="s">
        <v>622</v>
      </c>
      <c r="B344" t="s">
        <v>623</v>
      </c>
      <c r="C344" s="2">
        <v>35626</v>
      </c>
      <c r="D344" t="s">
        <v>1743</v>
      </c>
      <c r="F344" t="str">
        <f t="shared" si="20"/>
        <v>TORRES RODRÍGUEZ</v>
      </c>
      <c r="G344" t="str">
        <f t="shared" si="21"/>
        <v>TORRES</v>
      </c>
      <c r="H344" t="str">
        <f t="shared" si="22"/>
        <v>RODRÍGUEZ</v>
      </c>
      <c r="I344" t="str">
        <f t="shared" si="23"/>
        <v xml:space="preserve"> CARLOS DIEGO</v>
      </c>
    </row>
    <row r="345" spans="1:9" x14ac:dyDescent="0.25">
      <c r="A345" t="s">
        <v>624</v>
      </c>
      <c r="B345" t="s">
        <v>625</v>
      </c>
      <c r="C345" s="2">
        <v>32483</v>
      </c>
      <c r="D345" t="s">
        <v>1743</v>
      </c>
      <c r="F345" t="str">
        <f t="shared" si="20"/>
        <v>VASQUEZ DAVILA</v>
      </c>
      <c r="G345" t="str">
        <f t="shared" si="21"/>
        <v>VASQUEZ</v>
      </c>
      <c r="H345" t="str">
        <f t="shared" si="22"/>
        <v>DAVILA</v>
      </c>
      <c r="I345" t="str">
        <f t="shared" si="23"/>
        <v xml:space="preserve"> CESAR ABEL</v>
      </c>
    </row>
    <row r="346" spans="1:9" x14ac:dyDescent="0.25">
      <c r="A346" t="s">
        <v>626</v>
      </c>
      <c r="B346" t="s">
        <v>627</v>
      </c>
      <c r="C346" s="2">
        <v>33566</v>
      </c>
      <c r="D346" t="s">
        <v>1743</v>
      </c>
      <c r="F346" t="str">
        <f t="shared" si="20"/>
        <v>DAVILA RAFAEL</v>
      </c>
      <c r="G346" t="str">
        <f t="shared" si="21"/>
        <v>DAVILA</v>
      </c>
      <c r="H346" t="str">
        <f t="shared" si="22"/>
        <v>RAFAEL</v>
      </c>
      <c r="I346" t="str">
        <f t="shared" si="23"/>
        <v xml:space="preserve"> HENNRY</v>
      </c>
    </row>
    <row r="347" spans="1:9" x14ac:dyDescent="0.25">
      <c r="A347" t="s">
        <v>628</v>
      </c>
      <c r="B347" t="s">
        <v>629</v>
      </c>
      <c r="C347" s="2">
        <v>33391</v>
      </c>
      <c r="D347" t="s">
        <v>1743</v>
      </c>
      <c r="F347" t="str">
        <f t="shared" si="20"/>
        <v>VERA FLORES</v>
      </c>
      <c r="G347" t="str">
        <f t="shared" si="21"/>
        <v>VERA</v>
      </c>
      <c r="H347" t="str">
        <f t="shared" si="22"/>
        <v>FLORES</v>
      </c>
      <c r="I347" t="str">
        <f t="shared" si="23"/>
        <v xml:space="preserve"> JESÚS ANTONIO</v>
      </c>
    </row>
    <row r="348" spans="1:9" x14ac:dyDescent="0.25">
      <c r="A348" t="s">
        <v>630</v>
      </c>
      <c r="B348" t="s">
        <v>631</v>
      </c>
      <c r="C348" s="2">
        <v>34651</v>
      </c>
      <c r="D348" t="s">
        <v>1743</v>
      </c>
      <c r="F348" t="str">
        <f t="shared" si="20"/>
        <v>ANCULLE SIERRA</v>
      </c>
      <c r="G348" t="str">
        <f t="shared" si="21"/>
        <v>ANCULLE</v>
      </c>
      <c r="H348" t="str">
        <f t="shared" si="22"/>
        <v>SIERRA</v>
      </c>
      <c r="I348" t="str">
        <f t="shared" si="23"/>
        <v xml:space="preserve"> RUSBEL MILTON</v>
      </c>
    </row>
    <row r="349" spans="1:9" x14ac:dyDescent="0.25">
      <c r="A349" t="s">
        <v>246</v>
      </c>
      <c r="B349" t="s">
        <v>247</v>
      </c>
      <c r="C349" s="2">
        <v>37455</v>
      </c>
      <c r="D349" t="s">
        <v>1743</v>
      </c>
      <c r="F349" t="str">
        <f t="shared" si="20"/>
        <v>BENAVENTE CONTRERAS</v>
      </c>
      <c r="G349" t="str">
        <f t="shared" si="21"/>
        <v>BENAVENTE</v>
      </c>
      <c r="H349" t="str">
        <f t="shared" si="22"/>
        <v>CONTRERAS</v>
      </c>
      <c r="I349" t="str">
        <f t="shared" si="23"/>
        <v xml:space="preserve"> JHOSEPH OSMAR</v>
      </c>
    </row>
    <row r="350" spans="1:9" x14ac:dyDescent="0.25">
      <c r="A350" t="s">
        <v>540</v>
      </c>
      <c r="B350" t="s">
        <v>541</v>
      </c>
      <c r="C350" s="2">
        <v>31574</v>
      </c>
      <c r="D350" t="s">
        <v>1743</v>
      </c>
      <c r="F350" t="str">
        <f t="shared" si="20"/>
        <v>PICHARDO RODRIGUEZ</v>
      </c>
      <c r="G350" t="str">
        <f t="shared" si="21"/>
        <v>PICHARDO</v>
      </c>
      <c r="H350" t="str">
        <f t="shared" si="22"/>
        <v>RODRIGUEZ</v>
      </c>
      <c r="I350" t="str">
        <f t="shared" si="23"/>
        <v xml:space="preserve"> NERIO ENRIQUE</v>
      </c>
    </row>
    <row r="351" spans="1:9" x14ac:dyDescent="0.25">
      <c r="A351" t="s">
        <v>632</v>
      </c>
      <c r="B351" t="s">
        <v>633</v>
      </c>
      <c r="C351" s="2">
        <v>35362</v>
      </c>
      <c r="D351" t="s">
        <v>1743</v>
      </c>
      <c r="F351" t="str">
        <f t="shared" si="20"/>
        <v>BRAVO VALLEJOS</v>
      </c>
      <c r="G351" t="str">
        <f t="shared" si="21"/>
        <v>BRAVO</v>
      </c>
      <c r="H351" t="str">
        <f t="shared" si="22"/>
        <v>VALLEJOS</v>
      </c>
      <c r="I351" t="str">
        <f t="shared" si="23"/>
        <v xml:space="preserve"> KELVIN ARTURO</v>
      </c>
    </row>
    <row r="352" spans="1:9" x14ac:dyDescent="0.25">
      <c r="A352" t="s">
        <v>634</v>
      </c>
      <c r="B352" t="s">
        <v>635</v>
      </c>
      <c r="C352" s="2">
        <v>35685</v>
      </c>
      <c r="D352" t="s">
        <v>1743</v>
      </c>
      <c r="F352" t="str">
        <f t="shared" si="20"/>
        <v>ESPINOZA AYALA</v>
      </c>
      <c r="G352" t="str">
        <f t="shared" si="21"/>
        <v>ESPINOZA</v>
      </c>
      <c r="H352" t="str">
        <f t="shared" si="22"/>
        <v>AYALA</v>
      </c>
      <c r="I352" t="str">
        <f t="shared" si="23"/>
        <v xml:space="preserve"> JAIME DEYVIS</v>
      </c>
    </row>
    <row r="353" spans="1:9" x14ac:dyDescent="0.25">
      <c r="A353" t="s">
        <v>636</v>
      </c>
      <c r="B353" t="s">
        <v>637</v>
      </c>
      <c r="C353" s="2">
        <v>34714</v>
      </c>
      <c r="D353" t="s">
        <v>1743</v>
      </c>
      <c r="F353" t="str">
        <f t="shared" si="20"/>
        <v>LA CRUZ CHEQUERA</v>
      </c>
      <c r="G353" t="str">
        <f t="shared" si="21"/>
        <v>LA</v>
      </c>
      <c r="H353" t="str">
        <f t="shared" si="22"/>
        <v>CRUZ CHEQUERA</v>
      </c>
      <c r="I353" t="str">
        <f t="shared" si="23"/>
        <v xml:space="preserve"> LEOPOLDO ANCI</v>
      </c>
    </row>
    <row r="354" spans="1:9" x14ac:dyDescent="0.25">
      <c r="A354" t="s">
        <v>638</v>
      </c>
      <c r="B354" t="s">
        <v>639</v>
      </c>
      <c r="C354" s="2">
        <v>36761</v>
      </c>
      <c r="D354" t="s">
        <v>1743</v>
      </c>
      <c r="F354" t="str">
        <f t="shared" si="20"/>
        <v>SALAS GALARZA</v>
      </c>
      <c r="G354" t="str">
        <f t="shared" si="21"/>
        <v>SALAS</v>
      </c>
      <c r="H354" t="str">
        <f t="shared" si="22"/>
        <v>GALARZA</v>
      </c>
      <c r="I354" t="str">
        <f t="shared" si="23"/>
        <v xml:space="preserve"> ANDRÉ JAVIER</v>
      </c>
    </row>
    <row r="355" spans="1:9" x14ac:dyDescent="0.25">
      <c r="A355" t="s">
        <v>640</v>
      </c>
      <c r="B355" t="s">
        <v>641</v>
      </c>
      <c r="C355" s="2">
        <v>35232</v>
      </c>
      <c r="D355" t="s">
        <v>1743</v>
      </c>
      <c r="F355" t="str">
        <f t="shared" si="20"/>
        <v>ARIAS MARCES</v>
      </c>
      <c r="G355" t="str">
        <f t="shared" si="21"/>
        <v>ARIAS</v>
      </c>
      <c r="H355" t="str">
        <f t="shared" si="22"/>
        <v>MARCES</v>
      </c>
      <c r="I355" t="str">
        <f t="shared" si="23"/>
        <v xml:space="preserve"> AAROM BRYAM AYRTON</v>
      </c>
    </row>
    <row r="356" spans="1:9" x14ac:dyDescent="0.25">
      <c r="A356" t="s">
        <v>642</v>
      </c>
      <c r="B356" t="s">
        <v>643</v>
      </c>
      <c r="C356" s="2">
        <v>36755</v>
      </c>
      <c r="D356" t="s">
        <v>1743</v>
      </c>
      <c r="F356" t="str">
        <f t="shared" si="20"/>
        <v>CALLE PASAPERA</v>
      </c>
      <c r="G356" t="str">
        <f t="shared" si="21"/>
        <v>CALLE</v>
      </c>
      <c r="H356" t="str">
        <f t="shared" si="22"/>
        <v>PASAPERA</v>
      </c>
      <c r="I356" t="str">
        <f t="shared" si="23"/>
        <v xml:space="preserve"> JORGE JOSEPH</v>
      </c>
    </row>
    <row r="357" spans="1:9" x14ac:dyDescent="0.25">
      <c r="A357" t="s">
        <v>644</v>
      </c>
      <c r="B357" t="s">
        <v>645</v>
      </c>
      <c r="C357" s="2">
        <v>35715</v>
      </c>
      <c r="D357" t="s">
        <v>1743</v>
      </c>
      <c r="F357" t="str">
        <f t="shared" si="20"/>
        <v>QUISPE PALOMINO</v>
      </c>
      <c r="G357" t="str">
        <f t="shared" si="21"/>
        <v>QUISPE</v>
      </c>
      <c r="H357" t="str">
        <f t="shared" si="22"/>
        <v>PALOMINO</v>
      </c>
      <c r="I357" t="str">
        <f t="shared" si="23"/>
        <v xml:space="preserve"> FRANKLIN</v>
      </c>
    </row>
    <row r="358" spans="1:9" x14ac:dyDescent="0.25">
      <c r="A358" t="s">
        <v>454</v>
      </c>
      <c r="B358" t="s">
        <v>455</v>
      </c>
      <c r="C358" s="2">
        <v>35152</v>
      </c>
      <c r="D358" t="s">
        <v>1744</v>
      </c>
      <c r="F358" t="str">
        <f t="shared" si="20"/>
        <v>DURAN CAMONES</v>
      </c>
      <c r="G358" t="str">
        <f t="shared" si="21"/>
        <v>DURAN</v>
      </c>
      <c r="H358" t="str">
        <f t="shared" si="22"/>
        <v>CAMONES</v>
      </c>
      <c r="I358" t="str">
        <f t="shared" si="23"/>
        <v xml:space="preserve"> LARIZA LISETH</v>
      </c>
    </row>
    <row r="359" spans="1:9" x14ac:dyDescent="0.25">
      <c r="A359" t="s">
        <v>646</v>
      </c>
      <c r="B359" t="s">
        <v>647</v>
      </c>
      <c r="C359" s="2">
        <v>35149</v>
      </c>
      <c r="D359" t="s">
        <v>1743</v>
      </c>
      <c r="F359" t="str">
        <f t="shared" si="20"/>
        <v>PEÑA MARTÍNEZ</v>
      </c>
      <c r="G359" t="str">
        <f t="shared" si="21"/>
        <v>PEÑA</v>
      </c>
      <c r="H359" t="str">
        <f t="shared" si="22"/>
        <v>MARTÍNEZ</v>
      </c>
      <c r="I359" t="str">
        <f t="shared" si="23"/>
        <v xml:space="preserve"> NELSON ALEXANDER</v>
      </c>
    </row>
    <row r="360" spans="1:9" x14ac:dyDescent="0.25">
      <c r="A360" t="s">
        <v>648</v>
      </c>
      <c r="B360" t="s">
        <v>649</v>
      </c>
      <c r="C360" s="2">
        <v>29760</v>
      </c>
      <c r="D360" t="s">
        <v>1743</v>
      </c>
      <c r="F360" t="str">
        <f t="shared" si="20"/>
        <v>YALTA ARÉVALO</v>
      </c>
      <c r="G360" t="str">
        <f t="shared" si="21"/>
        <v>YALTA</v>
      </c>
      <c r="H360" t="str">
        <f t="shared" si="22"/>
        <v>ARÉVALO</v>
      </c>
      <c r="I360" t="str">
        <f t="shared" si="23"/>
        <v xml:space="preserve"> HUGO JOEL</v>
      </c>
    </row>
    <row r="361" spans="1:9" x14ac:dyDescent="0.25">
      <c r="A361" t="s">
        <v>650</v>
      </c>
      <c r="B361" t="s">
        <v>651</v>
      </c>
      <c r="C361" s="2">
        <v>34726</v>
      </c>
      <c r="D361" t="s">
        <v>1744</v>
      </c>
      <c r="F361" t="str">
        <f t="shared" si="20"/>
        <v>EGUES HUACHACA</v>
      </c>
      <c r="G361" t="str">
        <f t="shared" si="21"/>
        <v>EGUES</v>
      </c>
      <c r="H361" t="str">
        <f t="shared" si="22"/>
        <v>HUACHACA</v>
      </c>
      <c r="I361" t="str">
        <f t="shared" si="23"/>
        <v xml:space="preserve"> KRISTEL XIMENA</v>
      </c>
    </row>
    <row r="362" spans="1:9" x14ac:dyDescent="0.25">
      <c r="A362" t="s">
        <v>316</v>
      </c>
      <c r="B362" t="s">
        <v>3529</v>
      </c>
      <c r="C362" s="2">
        <v>34241</v>
      </c>
      <c r="D362" t="s">
        <v>1743</v>
      </c>
      <c r="F362" t="str">
        <f t="shared" si="20"/>
        <v>VARGAS HARO</v>
      </c>
      <c r="G362" t="str">
        <f t="shared" si="21"/>
        <v>VARGAS</v>
      </c>
      <c r="H362" t="str">
        <f t="shared" si="22"/>
        <v>HARO</v>
      </c>
      <c r="I362" t="str">
        <f t="shared" si="23"/>
        <v xml:space="preserve"> GARY JUNIOR</v>
      </c>
    </row>
    <row r="363" spans="1:9" x14ac:dyDescent="0.25">
      <c r="A363" t="s">
        <v>652</v>
      </c>
      <c r="B363" t="s">
        <v>653</v>
      </c>
      <c r="C363" s="2">
        <v>34646</v>
      </c>
      <c r="D363" t="s">
        <v>1743</v>
      </c>
      <c r="F363" t="str">
        <f t="shared" si="20"/>
        <v>MURAYARI PAIMA</v>
      </c>
      <c r="G363" t="str">
        <f t="shared" si="21"/>
        <v>MURAYARI</v>
      </c>
      <c r="H363" t="str">
        <f t="shared" si="22"/>
        <v>PAIMA</v>
      </c>
      <c r="I363" t="str">
        <f t="shared" si="23"/>
        <v xml:space="preserve"> JHON GLEIN</v>
      </c>
    </row>
    <row r="364" spans="1:9" x14ac:dyDescent="0.25">
      <c r="A364" t="s">
        <v>654</v>
      </c>
      <c r="B364" t="s">
        <v>655</v>
      </c>
      <c r="C364" s="2">
        <v>36157</v>
      </c>
      <c r="D364" t="s">
        <v>1743</v>
      </c>
      <c r="F364" t="str">
        <f t="shared" si="20"/>
        <v>LAZARTE FERNANDEZ</v>
      </c>
      <c r="G364" t="str">
        <f t="shared" si="21"/>
        <v>LAZARTE</v>
      </c>
      <c r="H364" t="str">
        <f t="shared" si="22"/>
        <v>FERNANDEZ</v>
      </c>
      <c r="I364" t="str">
        <f t="shared" si="23"/>
        <v xml:space="preserve"> ELIAS ANDREE</v>
      </c>
    </row>
    <row r="365" spans="1:9" x14ac:dyDescent="0.25">
      <c r="A365" t="s">
        <v>299</v>
      </c>
      <c r="B365" t="s">
        <v>300</v>
      </c>
      <c r="C365" s="2">
        <v>33215</v>
      </c>
      <c r="D365" t="s">
        <v>1743</v>
      </c>
      <c r="F365" t="str">
        <f t="shared" si="20"/>
        <v>CHOQUE VILCA</v>
      </c>
      <c r="G365" t="str">
        <f t="shared" si="21"/>
        <v>CHOQUE</v>
      </c>
      <c r="H365" t="str">
        <f t="shared" si="22"/>
        <v>VILCA</v>
      </c>
      <c r="I365" t="str">
        <f t="shared" si="23"/>
        <v xml:space="preserve"> ALEXANDER RAUL</v>
      </c>
    </row>
    <row r="366" spans="1:9" x14ac:dyDescent="0.25">
      <c r="A366" t="s">
        <v>656</v>
      </c>
      <c r="B366" t="s">
        <v>657</v>
      </c>
      <c r="C366" s="2">
        <v>37844</v>
      </c>
      <c r="D366" t="s">
        <v>1743</v>
      </c>
      <c r="F366" t="str">
        <f t="shared" si="20"/>
        <v>CHOQUEHUANCA MAMANI</v>
      </c>
      <c r="G366" t="str">
        <f t="shared" si="21"/>
        <v>CHOQUEHUANCA</v>
      </c>
      <c r="H366" t="str">
        <f t="shared" si="22"/>
        <v>MAMANI</v>
      </c>
      <c r="I366" t="str">
        <f t="shared" si="23"/>
        <v xml:space="preserve"> BRAX ARNY</v>
      </c>
    </row>
    <row r="367" spans="1:9" x14ac:dyDescent="0.25">
      <c r="A367" t="s">
        <v>658</v>
      </c>
      <c r="B367" t="s">
        <v>659</v>
      </c>
      <c r="C367" s="2">
        <v>36833</v>
      </c>
      <c r="D367" t="s">
        <v>1744</v>
      </c>
      <c r="F367" t="str">
        <f t="shared" si="20"/>
        <v>CUELLO TORRES</v>
      </c>
      <c r="G367" t="str">
        <f t="shared" si="21"/>
        <v>CUELLO</v>
      </c>
      <c r="H367" t="str">
        <f t="shared" si="22"/>
        <v>TORRES</v>
      </c>
      <c r="I367" t="str">
        <f t="shared" si="23"/>
        <v xml:space="preserve"> CYNTHIA ANDREA</v>
      </c>
    </row>
    <row r="368" spans="1:9" x14ac:dyDescent="0.25">
      <c r="A368" t="s">
        <v>660</v>
      </c>
      <c r="B368" t="s">
        <v>661</v>
      </c>
      <c r="C368" s="2">
        <v>36937</v>
      </c>
      <c r="D368" t="s">
        <v>1743</v>
      </c>
      <c r="F368" t="str">
        <f t="shared" si="20"/>
        <v>PINEDO SOLANO</v>
      </c>
      <c r="G368" t="str">
        <f t="shared" si="21"/>
        <v>PINEDO</v>
      </c>
      <c r="H368" t="str">
        <f t="shared" si="22"/>
        <v>SOLANO</v>
      </c>
      <c r="I368" t="str">
        <f t="shared" si="23"/>
        <v xml:space="preserve"> PELAYO</v>
      </c>
    </row>
    <row r="369" spans="1:9" x14ac:dyDescent="0.25">
      <c r="A369" t="s">
        <v>244</v>
      </c>
      <c r="B369" t="s">
        <v>245</v>
      </c>
      <c r="C369" s="2">
        <v>36537</v>
      </c>
      <c r="D369" t="s">
        <v>1743</v>
      </c>
      <c r="F369" t="str">
        <f t="shared" si="20"/>
        <v>COVA LOPEZ</v>
      </c>
      <c r="G369" t="str">
        <f t="shared" si="21"/>
        <v>COVA</v>
      </c>
      <c r="H369" t="str">
        <f t="shared" si="22"/>
        <v>LOPEZ</v>
      </c>
      <c r="I369" t="str">
        <f t="shared" si="23"/>
        <v xml:space="preserve"> JULIO CESAR</v>
      </c>
    </row>
    <row r="370" spans="1:9" x14ac:dyDescent="0.25">
      <c r="A370" t="s">
        <v>662</v>
      </c>
      <c r="B370" t="s">
        <v>663</v>
      </c>
      <c r="C370" s="2">
        <v>33354</v>
      </c>
      <c r="D370" t="s">
        <v>1743</v>
      </c>
      <c r="F370" t="str">
        <f t="shared" si="20"/>
        <v>BERNAL CRUZ</v>
      </c>
      <c r="G370" t="str">
        <f t="shared" si="21"/>
        <v>BERNAL</v>
      </c>
      <c r="H370" t="str">
        <f t="shared" si="22"/>
        <v>CRUZ</v>
      </c>
      <c r="I370" t="str">
        <f t="shared" si="23"/>
        <v xml:space="preserve"> JHON DARWIN</v>
      </c>
    </row>
    <row r="371" spans="1:9" x14ac:dyDescent="0.25">
      <c r="A371" t="s">
        <v>664</v>
      </c>
      <c r="B371" t="s">
        <v>665</v>
      </c>
      <c r="C371" s="2">
        <v>34547</v>
      </c>
      <c r="D371" t="s">
        <v>1743</v>
      </c>
      <c r="F371" t="str">
        <f t="shared" si="20"/>
        <v>VILCHEZ ZAPATA</v>
      </c>
      <c r="G371" t="str">
        <f t="shared" si="21"/>
        <v>VILCHEZ</v>
      </c>
      <c r="H371" t="str">
        <f t="shared" si="22"/>
        <v>ZAPATA</v>
      </c>
      <c r="I371" t="str">
        <f t="shared" si="23"/>
        <v xml:space="preserve"> MARVIN EMANUEL</v>
      </c>
    </row>
    <row r="372" spans="1:9" x14ac:dyDescent="0.25">
      <c r="A372" t="s">
        <v>666</v>
      </c>
      <c r="B372" t="s">
        <v>667</v>
      </c>
      <c r="C372" s="2">
        <v>36601</v>
      </c>
      <c r="D372" t="s">
        <v>1743</v>
      </c>
      <c r="F372" t="str">
        <f t="shared" si="20"/>
        <v>CARDENAS LICAS</v>
      </c>
      <c r="G372" t="str">
        <f t="shared" si="21"/>
        <v>CARDENAS</v>
      </c>
      <c r="H372" t="str">
        <f t="shared" si="22"/>
        <v>LICAS</v>
      </c>
      <c r="I372" t="str">
        <f t="shared" si="23"/>
        <v xml:space="preserve"> JOSE ANDRE</v>
      </c>
    </row>
    <row r="373" spans="1:9" x14ac:dyDescent="0.25">
      <c r="A373" t="s">
        <v>668</v>
      </c>
      <c r="B373" t="s">
        <v>669</v>
      </c>
      <c r="C373" s="2">
        <v>35330</v>
      </c>
      <c r="D373" t="s">
        <v>1743</v>
      </c>
      <c r="F373" t="str">
        <f t="shared" si="20"/>
        <v>TAMAYO MENDOZA</v>
      </c>
      <c r="G373" t="str">
        <f t="shared" si="21"/>
        <v>TAMAYO</v>
      </c>
      <c r="H373" t="str">
        <f t="shared" si="22"/>
        <v>MENDOZA</v>
      </c>
      <c r="I373" t="str">
        <f t="shared" si="23"/>
        <v xml:space="preserve"> CHARLI</v>
      </c>
    </row>
    <row r="374" spans="1:9" x14ac:dyDescent="0.25">
      <c r="A374" t="s">
        <v>670</v>
      </c>
      <c r="B374" t="s">
        <v>671</v>
      </c>
      <c r="C374" s="2">
        <v>31385</v>
      </c>
      <c r="D374" t="s">
        <v>1743</v>
      </c>
      <c r="F374" t="str">
        <f t="shared" si="20"/>
        <v>AGURTO MOGOLLON</v>
      </c>
      <c r="G374" t="str">
        <f t="shared" si="21"/>
        <v>AGURTO</v>
      </c>
      <c r="H374" t="str">
        <f t="shared" si="22"/>
        <v>MOGOLLON</v>
      </c>
      <c r="I374" t="str">
        <f t="shared" si="23"/>
        <v xml:space="preserve"> JUNIOR EDUARDO</v>
      </c>
    </row>
    <row r="375" spans="1:9" x14ac:dyDescent="0.25">
      <c r="A375" t="s">
        <v>672</v>
      </c>
      <c r="B375" t="s">
        <v>673</v>
      </c>
      <c r="C375" s="2">
        <v>36161</v>
      </c>
      <c r="D375" t="s">
        <v>1743</v>
      </c>
      <c r="F375" t="str">
        <f t="shared" si="20"/>
        <v>CRUZ SERNAQUE</v>
      </c>
      <c r="G375" t="str">
        <f t="shared" si="21"/>
        <v>CRUZ</v>
      </c>
      <c r="H375" t="str">
        <f t="shared" si="22"/>
        <v>SERNAQUE</v>
      </c>
      <c r="I375" t="str">
        <f t="shared" si="23"/>
        <v xml:space="preserve"> VICTOR MANUEL</v>
      </c>
    </row>
    <row r="376" spans="1:9" x14ac:dyDescent="0.25">
      <c r="A376" t="s">
        <v>674</v>
      </c>
      <c r="B376" t="s">
        <v>675</v>
      </c>
      <c r="C376" s="2">
        <v>33391</v>
      </c>
      <c r="D376" t="s">
        <v>1743</v>
      </c>
      <c r="F376" t="str">
        <f t="shared" si="20"/>
        <v>MONTOYA LAUREANO</v>
      </c>
      <c r="G376" t="str">
        <f t="shared" si="21"/>
        <v>MONTOYA</v>
      </c>
      <c r="H376" t="str">
        <f t="shared" si="22"/>
        <v>LAUREANO</v>
      </c>
      <c r="I376" t="str">
        <f t="shared" si="23"/>
        <v xml:space="preserve"> MILWARD JORGE</v>
      </c>
    </row>
    <row r="377" spans="1:9" x14ac:dyDescent="0.25">
      <c r="A377" t="s">
        <v>676</v>
      </c>
      <c r="B377" t="s">
        <v>677</v>
      </c>
      <c r="C377" s="2">
        <v>33715</v>
      </c>
      <c r="D377" t="s">
        <v>1743</v>
      </c>
      <c r="F377" t="str">
        <f t="shared" si="20"/>
        <v>CARUAJULCA SANTILLAN</v>
      </c>
      <c r="G377" t="str">
        <f t="shared" si="21"/>
        <v>CARUAJULCA</v>
      </c>
      <c r="H377" t="str">
        <f t="shared" si="22"/>
        <v>SANTILLAN</v>
      </c>
      <c r="I377" t="str">
        <f t="shared" si="23"/>
        <v xml:space="preserve"> JHONY</v>
      </c>
    </row>
    <row r="378" spans="1:9" x14ac:dyDescent="0.25">
      <c r="A378" t="s">
        <v>678</v>
      </c>
      <c r="B378" t="s">
        <v>679</v>
      </c>
      <c r="C378" s="2">
        <v>35226</v>
      </c>
      <c r="D378" t="s">
        <v>1743</v>
      </c>
      <c r="F378" t="str">
        <f t="shared" si="20"/>
        <v>SISNIEGAS VALDIVIA</v>
      </c>
      <c r="G378" t="str">
        <f t="shared" si="21"/>
        <v>SISNIEGAS</v>
      </c>
      <c r="H378" t="str">
        <f t="shared" si="22"/>
        <v>VALDIVIA</v>
      </c>
      <c r="I378" t="str">
        <f t="shared" si="23"/>
        <v xml:space="preserve"> MIGUEL ANGEL</v>
      </c>
    </row>
    <row r="379" spans="1:9" x14ac:dyDescent="0.25">
      <c r="A379" t="s">
        <v>680</v>
      </c>
      <c r="B379" t="s">
        <v>681</v>
      </c>
      <c r="C379" s="2">
        <v>33978</v>
      </c>
      <c r="D379" t="s">
        <v>1743</v>
      </c>
      <c r="F379" t="str">
        <f t="shared" si="20"/>
        <v>HUAMAN PEÑA</v>
      </c>
      <c r="G379" t="str">
        <f t="shared" si="21"/>
        <v>HUAMAN</v>
      </c>
      <c r="H379" t="str">
        <f t="shared" si="22"/>
        <v>PEÑA</v>
      </c>
      <c r="I379" t="str">
        <f t="shared" si="23"/>
        <v xml:space="preserve"> EDUARDO MARTIN</v>
      </c>
    </row>
    <row r="380" spans="1:9" x14ac:dyDescent="0.25">
      <c r="A380" t="s">
        <v>682</v>
      </c>
      <c r="B380" t="s">
        <v>683</v>
      </c>
      <c r="C380" s="2">
        <v>35526</v>
      </c>
      <c r="D380" t="s">
        <v>1743</v>
      </c>
      <c r="F380" t="str">
        <f t="shared" si="20"/>
        <v>MONASTERIO TORREZ</v>
      </c>
      <c r="G380" t="str">
        <f t="shared" si="21"/>
        <v>MONASTERIO</v>
      </c>
      <c r="H380" t="str">
        <f t="shared" si="22"/>
        <v>TORREZ</v>
      </c>
      <c r="I380" t="str">
        <f t="shared" si="23"/>
        <v xml:space="preserve"> EMIL BERNARD</v>
      </c>
    </row>
    <row r="381" spans="1:9" x14ac:dyDescent="0.25">
      <c r="A381" t="s">
        <v>684</v>
      </c>
      <c r="B381" t="s">
        <v>685</v>
      </c>
      <c r="C381" s="2">
        <v>35700</v>
      </c>
      <c r="D381" t="s">
        <v>1743</v>
      </c>
      <c r="F381" t="str">
        <f t="shared" si="20"/>
        <v>CARRION ORTIZ</v>
      </c>
      <c r="G381" t="str">
        <f t="shared" si="21"/>
        <v>CARRION</v>
      </c>
      <c r="H381" t="str">
        <f t="shared" si="22"/>
        <v>ORTIZ</v>
      </c>
      <c r="I381" t="str">
        <f t="shared" si="23"/>
        <v xml:space="preserve"> YESENIA MERCEDES</v>
      </c>
    </row>
    <row r="382" spans="1:9" x14ac:dyDescent="0.25">
      <c r="A382" t="s">
        <v>686</v>
      </c>
      <c r="B382" t="s">
        <v>687</v>
      </c>
      <c r="C382" s="2">
        <v>38408</v>
      </c>
      <c r="D382" t="s">
        <v>1743</v>
      </c>
      <c r="F382" t="str">
        <f t="shared" si="20"/>
        <v>CHUCO ROJAS</v>
      </c>
      <c r="G382" t="str">
        <f t="shared" si="21"/>
        <v>CHUCO</v>
      </c>
      <c r="H382" t="str">
        <f t="shared" si="22"/>
        <v>ROJAS</v>
      </c>
      <c r="I382" t="str">
        <f t="shared" si="23"/>
        <v xml:space="preserve"> JEAN PIER</v>
      </c>
    </row>
    <row r="383" spans="1:9" x14ac:dyDescent="0.25">
      <c r="A383" t="s">
        <v>688</v>
      </c>
      <c r="B383" t="s">
        <v>689</v>
      </c>
      <c r="C383" s="2">
        <v>33679</v>
      </c>
      <c r="D383" t="s">
        <v>1743</v>
      </c>
      <c r="F383" t="str">
        <f t="shared" si="20"/>
        <v>DURAND VENEGAS</v>
      </c>
      <c r="G383" t="str">
        <f t="shared" si="21"/>
        <v>DURAND</v>
      </c>
      <c r="H383" t="str">
        <f t="shared" si="22"/>
        <v>VENEGAS</v>
      </c>
      <c r="I383" t="str">
        <f t="shared" si="23"/>
        <v xml:space="preserve"> XAVIER</v>
      </c>
    </row>
    <row r="384" spans="1:9" x14ac:dyDescent="0.25">
      <c r="A384" t="s">
        <v>690</v>
      </c>
      <c r="B384" t="s">
        <v>691</v>
      </c>
      <c r="C384" s="2">
        <v>35401</v>
      </c>
      <c r="D384" t="s">
        <v>1743</v>
      </c>
      <c r="F384" t="str">
        <f t="shared" si="20"/>
        <v>FEBRES ANCAJIMA</v>
      </c>
      <c r="G384" t="str">
        <f t="shared" si="21"/>
        <v>FEBRES</v>
      </c>
      <c r="H384" t="str">
        <f t="shared" si="22"/>
        <v>ANCAJIMA</v>
      </c>
      <c r="I384" t="str">
        <f t="shared" si="23"/>
        <v xml:space="preserve"> CARLOS ALBERTO</v>
      </c>
    </row>
    <row r="385" spans="1:9" x14ac:dyDescent="0.25">
      <c r="A385" t="s">
        <v>692</v>
      </c>
      <c r="B385" t="s">
        <v>693</v>
      </c>
      <c r="C385" s="2">
        <v>26209</v>
      </c>
      <c r="D385" t="s">
        <v>1743</v>
      </c>
      <c r="F385" t="str">
        <f t="shared" si="20"/>
        <v>BARRENECHEA FLORES</v>
      </c>
      <c r="G385" t="str">
        <f t="shared" si="21"/>
        <v>BARRENECHEA</v>
      </c>
      <c r="H385" t="str">
        <f t="shared" si="22"/>
        <v>FLORES</v>
      </c>
      <c r="I385" t="str">
        <f t="shared" si="23"/>
        <v xml:space="preserve"> NILS</v>
      </c>
    </row>
    <row r="386" spans="1:9" x14ac:dyDescent="0.25">
      <c r="A386" t="s">
        <v>694</v>
      </c>
      <c r="B386" t="s">
        <v>695</v>
      </c>
      <c r="C386" s="2">
        <v>32405</v>
      </c>
      <c r="D386" t="s">
        <v>1743</v>
      </c>
      <c r="F386" t="str">
        <f t="shared" si="20"/>
        <v>GALLARDO ARCOS</v>
      </c>
      <c r="G386" t="str">
        <f t="shared" si="21"/>
        <v>GALLARDO</v>
      </c>
      <c r="H386" t="str">
        <f t="shared" si="22"/>
        <v>ARCOS</v>
      </c>
      <c r="I386" t="str">
        <f t="shared" si="23"/>
        <v xml:space="preserve"> GIANCARLO</v>
      </c>
    </row>
    <row r="387" spans="1:9" x14ac:dyDescent="0.25">
      <c r="A387" t="s">
        <v>616</v>
      </c>
      <c r="B387" t="s">
        <v>617</v>
      </c>
      <c r="C387" s="2">
        <v>34257</v>
      </c>
      <c r="D387" t="s">
        <v>1743</v>
      </c>
      <c r="F387" t="str">
        <f t="shared" ref="F387:F450" si="24">LEFT(B387,SEARCH(",",B387)-1)</f>
        <v>SALCEDO ORELLANA</v>
      </c>
      <c r="G387" t="str">
        <f t="shared" ref="G387:G450" si="25">LEFT(F387,SEARCH(" ",F387)-1)</f>
        <v>SALCEDO</v>
      </c>
      <c r="H387" t="str">
        <f t="shared" ref="H387:H450" si="26">RIGHT(F387,LEN(F387)- SEARCH(" ",F387))</f>
        <v>ORELLANA</v>
      </c>
      <c r="I387" t="str">
        <f t="shared" ref="I387:I450" si="27">RIGHT(B387,LEN(B387)- SEARCH(",",B387))</f>
        <v xml:space="preserve"> RICARDO ALFONSO</v>
      </c>
    </row>
    <row r="388" spans="1:9" x14ac:dyDescent="0.25">
      <c r="A388" t="s">
        <v>269</v>
      </c>
      <c r="B388" t="s">
        <v>270</v>
      </c>
      <c r="C388" s="2">
        <v>34939</v>
      </c>
      <c r="D388" t="s">
        <v>1743</v>
      </c>
      <c r="F388" t="str">
        <f t="shared" si="24"/>
        <v>UTURUNCO ARAPA</v>
      </c>
      <c r="G388" t="str">
        <f t="shared" si="25"/>
        <v>UTURUNCO</v>
      </c>
      <c r="H388" t="str">
        <f t="shared" si="26"/>
        <v>ARAPA</v>
      </c>
      <c r="I388" t="str">
        <f t="shared" si="27"/>
        <v xml:space="preserve"> HOBARD VIDAL</v>
      </c>
    </row>
    <row r="389" spans="1:9" x14ac:dyDescent="0.25">
      <c r="A389" t="s">
        <v>696</v>
      </c>
      <c r="B389" t="s">
        <v>697</v>
      </c>
      <c r="C389" s="2">
        <v>32207</v>
      </c>
      <c r="D389" t="s">
        <v>1743</v>
      </c>
      <c r="F389" t="str">
        <f t="shared" si="24"/>
        <v>QUISPE ANCO</v>
      </c>
      <c r="G389" t="str">
        <f t="shared" si="25"/>
        <v>QUISPE</v>
      </c>
      <c r="H389" t="str">
        <f t="shared" si="26"/>
        <v>ANCO</v>
      </c>
      <c r="I389" t="str">
        <f t="shared" si="27"/>
        <v xml:space="preserve"> GUIDO HERNAN</v>
      </c>
    </row>
    <row r="390" spans="1:9" x14ac:dyDescent="0.25">
      <c r="A390" t="s">
        <v>698</v>
      </c>
      <c r="B390" t="s">
        <v>699</v>
      </c>
      <c r="C390" s="2">
        <v>30284</v>
      </c>
      <c r="D390" t="s">
        <v>1743</v>
      </c>
      <c r="F390" t="str">
        <f t="shared" si="24"/>
        <v>PINO MORON</v>
      </c>
      <c r="G390" t="str">
        <f t="shared" si="25"/>
        <v>PINO</v>
      </c>
      <c r="H390" t="str">
        <f t="shared" si="26"/>
        <v>MORON</v>
      </c>
      <c r="I390" t="str">
        <f t="shared" si="27"/>
        <v xml:space="preserve"> ALEXANDER</v>
      </c>
    </row>
    <row r="391" spans="1:9" x14ac:dyDescent="0.25">
      <c r="A391" t="s">
        <v>700</v>
      </c>
      <c r="B391" t="s">
        <v>701</v>
      </c>
      <c r="C391" s="2">
        <v>33809</v>
      </c>
      <c r="D391" t="s">
        <v>1743</v>
      </c>
      <c r="F391" t="str">
        <f t="shared" si="24"/>
        <v>BUITRON CUSI</v>
      </c>
      <c r="G391" t="str">
        <f t="shared" si="25"/>
        <v>BUITRON</v>
      </c>
      <c r="H391" t="str">
        <f t="shared" si="26"/>
        <v>CUSI</v>
      </c>
      <c r="I391" t="str">
        <f t="shared" si="27"/>
        <v xml:space="preserve"> ANGEL</v>
      </c>
    </row>
    <row r="392" spans="1:9" x14ac:dyDescent="0.25">
      <c r="A392" t="s">
        <v>496</v>
      </c>
      <c r="B392" t="s">
        <v>497</v>
      </c>
      <c r="C392" s="2">
        <v>35234</v>
      </c>
      <c r="D392" t="s">
        <v>1743</v>
      </c>
      <c r="F392" t="str">
        <f t="shared" si="24"/>
        <v>VEGA ARELLAN</v>
      </c>
      <c r="G392" t="str">
        <f t="shared" si="25"/>
        <v>VEGA</v>
      </c>
      <c r="H392" t="str">
        <f t="shared" si="26"/>
        <v>ARELLAN</v>
      </c>
      <c r="I392" t="str">
        <f t="shared" si="27"/>
        <v xml:space="preserve"> JAFFET MAURICIO</v>
      </c>
    </row>
    <row r="393" spans="1:9" x14ac:dyDescent="0.25">
      <c r="A393" t="s">
        <v>702</v>
      </c>
      <c r="B393" t="s">
        <v>3536</v>
      </c>
      <c r="C393" s="2">
        <v>30466</v>
      </c>
      <c r="D393" t="s">
        <v>1743</v>
      </c>
      <c r="F393" t="str">
        <f t="shared" si="24"/>
        <v>MIRANDA ANAMPA</v>
      </c>
      <c r="G393" t="str">
        <f t="shared" si="25"/>
        <v>MIRANDA</v>
      </c>
      <c r="H393" t="str">
        <f t="shared" si="26"/>
        <v>ANAMPA</v>
      </c>
      <c r="I393" t="str">
        <f t="shared" si="27"/>
        <v xml:space="preserve"> OSCAR</v>
      </c>
    </row>
    <row r="394" spans="1:9" x14ac:dyDescent="0.25">
      <c r="A394" t="s">
        <v>447</v>
      </c>
      <c r="B394" t="s">
        <v>448</v>
      </c>
      <c r="C394" s="2">
        <v>25362</v>
      </c>
      <c r="D394" t="s">
        <v>1743</v>
      </c>
      <c r="F394" t="str">
        <f t="shared" si="24"/>
        <v>LEON AGUILAR</v>
      </c>
      <c r="G394" t="str">
        <f t="shared" si="25"/>
        <v>LEON</v>
      </c>
      <c r="H394" t="str">
        <f t="shared" si="26"/>
        <v>AGUILAR</v>
      </c>
      <c r="I394" t="str">
        <f t="shared" si="27"/>
        <v xml:space="preserve"> PERCY EDGARDO</v>
      </c>
    </row>
    <row r="395" spans="1:9" x14ac:dyDescent="0.25">
      <c r="A395" t="s">
        <v>703</v>
      </c>
      <c r="B395" t="s">
        <v>704</v>
      </c>
      <c r="C395" s="2">
        <v>35840</v>
      </c>
      <c r="D395" t="s">
        <v>1743</v>
      </c>
      <c r="F395" t="str">
        <f t="shared" si="24"/>
        <v>CHUQUIPOMA DOLORES</v>
      </c>
      <c r="G395" t="str">
        <f t="shared" si="25"/>
        <v>CHUQUIPOMA</v>
      </c>
      <c r="H395" t="str">
        <f t="shared" si="26"/>
        <v>DOLORES</v>
      </c>
      <c r="I395" t="str">
        <f t="shared" si="27"/>
        <v xml:space="preserve"> JOSE ANTONIO</v>
      </c>
    </row>
    <row r="396" spans="1:9" x14ac:dyDescent="0.25">
      <c r="A396" t="s">
        <v>705</v>
      </c>
      <c r="B396" t="s">
        <v>706</v>
      </c>
      <c r="C396" s="2">
        <v>35057</v>
      </c>
      <c r="D396" t="s">
        <v>1743</v>
      </c>
      <c r="F396" t="str">
        <f t="shared" si="24"/>
        <v>BEGAZO QUENAYA</v>
      </c>
      <c r="G396" t="str">
        <f t="shared" si="25"/>
        <v>BEGAZO</v>
      </c>
      <c r="H396" t="str">
        <f t="shared" si="26"/>
        <v>QUENAYA</v>
      </c>
      <c r="I396" t="str">
        <f t="shared" si="27"/>
        <v xml:space="preserve"> JEANCARLO JESUS</v>
      </c>
    </row>
    <row r="397" spans="1:9" x14ac:dyDescent="0.25">
      <c r="A397" t="s">
        <v>707</v>
      </c>
      <c r="B397" t="s">
        <v>708</v>
      </c>
      <c r="C397" s="2">
        <v>36460</v>
      </c>
      <c r="D397" t="s">
        <v>1743</v>
      </c>
      <c r="F397" t="str">
        <f t="shared" si="24"/>
        <v>MUÑICO ALEJO</v>
      </c>
      <c r="G397" t="str">
        <f t="shared" si="25"/>
        <v>MUÑICO</v>
      </c>
      <c r="H397" t="str">
        <f t="shared" si="26"/>
        <v>ALEJO</v>
      </c>
      <c r="I397" t="str">
        <f t="shared" si="27"/>
        <v xml:space="preserve"> ERICK JAIR</v>
      </c>
    </row>
    <row r="398" spans="1:9" x14ac:dyDescent="0.25">
      <c r="A398" t="s">
        <v>709</v>
      </c>
      <c r="B398" t="s">
        <v>710</v>
      </c>
      <c r="C398" s="2">
        <v>34603</v>
      </c>
      <c r="D398" t="s">
        <v>1743</v>
      </c>
      <c r="F398" t="str">
        <f t="shared" si="24"/>
        <v>SILVA CORDOVA</v>
      </c>
      <c r="G398" t="str">
        <f t="shared" si="25"/>
        <v>SILVA</v>
      </c>
      <c r="H398" t="str">
        <f t="shared" si="26"/>
        <v>CORDOVA</v>
      </c>
      <c r="I398" t="str">
        <f t="shared" si="27"/>
        <v xml:space="preserve"> DIEGO YAMIL</v>
      </c>
    </row>
    <row r="399" spans="1:9" x14ac:dyDescent="0.25">
      <c r="A399" t="s">
        <v>711</v>
      </c>
      <c r="B399" t="s">
        <v>712</v>
      </c>
      <c r="C399" s="2">
        <v>36139</v>
      </c>
      <c r="D399" t="s">
        <v>1743</v>
      </c>
      <c r="F399" t="str">
        <f t="shared" si="24"/>
        <v>VALENTIN MEZA</v>
      </c>
      <c r="G399" t="str">
        <f t="shared" si="25"/>
        <v>VALENTIN</v>
      </c>
      <c r="H399" t="str">
        <f t="shared" si="26"/>
        <v>MEZA</v>
      </c>
      <c r="I399" t="str">
        <f t="shared" si="27"/>
        <v xml:space="preserve"> ANGEL IVAN</v>
      </c>
    </row>
    <row r="400" spans="1:9" x14ac:dyDescent="0.25">
      <c r="A400" t="s">
        <v>713</v>
      </c>
      <c r="B400" t="s">
        <v>714</v>
      </c>
      <c r="C400" s="2">
        <v>37607</v>
      </c>
      <c r="D400" t="s">
        <v>1744</v>
      </c>
      <c r="F400" t="str">
        <f t="shared" si="24"/>
        <v>ANAMPA MACHUCA</v>
      </c>
      <c r="G400" t="str">
        <f t="shared" si="25"/>
        <v>ANAMPA</v>
      </c>
      <c r="H400" t="str">
        <f t="shared" si="26"/>
        <v>MACHUCA</v>
      </c>
      <c r="I400" t="str">
        <f t="shared" si="27"/>
        <v xml:space="preserve"> JEYSA ALEXANDRA</v>
      </c>
    </row>
    <row r="401" spans="1:9" x14ac:dyDescent="0.25">
      <c r="A401" t="s">
        <v>715</v>
      </c>
      <c r="B401" t="s">
        <v>716</v>
      </c>
      <c r="C401" s="2">
        <v>36659</v>
      </c>
      <c r="D401" t="s">
        <v>1743</v>
      </c>
      <c r="F401" t="str">
        <f t="shared" si="24"/>
        <v>CHUMACERO ESPINOZA</v>
      </c>
      <c r="G401" t="str">
        <f t="shared" si="25"/>
        <v>CHUMACERO</v>
      </c>
      <c r="H401" t="str">
        <f t="shared" si="26"/>
        <v>ESPINOZA</v>
      </c>
      <c r="I401" t="str">
        <f t="shared" si="27"/>
        <v xml:space="preserve"> MANUEL</v>
      </c>
    </row>
    <row r="402" spans="1:9" x14ac:dyDescent="0.25">
      <c r="A402" t="s">
        <v>717</v>
      </c>
      <c r="B402" t="s">
        <v>718</v>
      </c>
      <c r="C402" s="2">
        <v>31706</v>
      </c>
      <c r="D402" t="s">
        <v>1743</v>
      </c>
      <c r="F402" t="str">
        <f t="shared" si="24"/>
        <v>TORRES SALAS</v>
      </c>
      <c r="G402" t="str">
        <f t="shared" si="25"/>
        <v>TORRES</v>
      </c>
      <c r="H402" t="str">
        <f t="shared" si="26"/>
        <v>SALAS</v>
      </c>
      <c r="I402" t="str">
        <f t="shared" si="27"/>
        <v xml:space="preserve"> SEGUNDO PEDRO</v>
      </c>
    </row>
    <row r="403" spans="1:9" x14ac:dyDescent="0.25">
      <c r="A403" t="s">
        <v>719</v>
      </c>
      <c r="B403" t="s">
        <v>720</v>
      </c>
      <c r="C403" s="2">
        <v>35741</v>
      </c>
      <c r="D403" t="s">
        <v>1743</v>
      </c>
      <c r="F403" t="str">
        <f t="shared" si="24"/>
        <v>PHACSI CRUZ</v>
      </c>
      <c r="G403" t="str">
        <f t="shared" si="25"/>
        <v>PHACSI</v>
      </c>
      <c r="H403" t="str">
        <f t="shared" si="26"/>
        <v>CRUZ</v>
      </c>
      <c r="I403" t="str">
        <f t="shared" si="27"/>
        <v xml:space="preserve"> HERNAN</v>
      </c>
    </row>
    <row r="404" spans="1:9" x14ac:dyDescent="0.25">
      <c r="A404" t="s">
        <v>721</v>
      </c>
      <c r="B404" t="s">
        <v>722</v>
      </c>
      <c r="C404" s="2">
        <v>34714</v>
      </c>
      <c r="D404" t="s">
        <v>1743</v>
      </c>
      <c r="F404" t="str">
        <f t="shared" si="24"/>
        <v>GONZALES REJAS</v>
      </c>
      <c r="G404" t="str">
        <f t="shared" si="25"/>
        <v>GONZALES</v>
      </c>
      <c r="H404" t="str">
        <f t="shared" si="26"/>
        <v>REJAS</v>
      </c>
      <c r="I404" t="str">
        <f t="shared" si="27"/>
        <v xml:space="preserve"> JHONATAN JOEL</v>
      </c>
    </row>
    <row r="405" spans="1:9" x14ac:dyDescent="0.25">
      <c r="A405" t="s">
        <v>723</v>
      </c>
      <c r="B405" t="s">
        <v>724</v>
      </c>
      <c r="C405" s="2">
        <v>33319</v>
      </c>
      <c r="D405" t="s">
        <v>1743</v>
      </c>
      <c r="F405" t="str">
        <f t="shared" si="24"/>
        <v>GUZMAN TEJEDA</v>
      </c>
      <c r="G405" t="str">
        <f t="shared" si="25"/>
        <v>GUZMAN</v>
      </c>
      <c r="H405" t="str">
        <f t="shared" si="26"/>
        <v>TEJEDA</v>
      </c>
      <c r="I405" t="str">
        <f t="shared" si="27"/>
        <v xml:space="preserve"> SAUL MOISES</v>
      </c>
    </row>
    <row r="406" spans="1:9" x14ac:dyDescent="0.25">
      <c r="A406" t="s">
        <v>725</v>
      </c>
      <c r="B406" t="s">
        <v>726</v>
      </c>
      <c r="C406" s="2">
        <v>36297</v>
      </c>
      <c r="D406" t="s">
        <v>1743</v>
      </c>
      <c r="F406" t="str">
        <f t="shared" si="24"/>
        <v>NUÑEZ BREÑA</v>
      </c>
      <c r="G406" t="str">
        <f t="shared" si="25"/>
        <v>NUÑEZ</v>
      </c>
      <c r="H406" t="str">
        <f t="shared" si="26"/>
        <v>BREÑA</v>
      </c>
      <c r="I406" t="str">
        <f t="shared" si="27"/>
        <v xml:space="preserve"> EDGAR</v>
      </c>
    </row>
    <row r="407" spans="1:9" x14ac:dyDescent="0.25">
      <c r="A407" t="s">
        <v>727</v>
      </c>
      <c r="B407" t="s">
        <v>728</v>
      </c>
      <c r="C407" s="2">
        <v>36588</v>
      </c>
      <c r="D407" t="s">
        <v>1743</v>
      </c>
      <c r="F407" t="str">
        <f t="shared" si="24"/>
        <v>JIMENEZ MORALES</v>
      </c>
      <c r="G407" t="str">
        <f t="shared" si="25"/>
        <v>JIMENEZ</v>
      </c>
      <c r="H407" t="str">
        <f t="shared" si="26"/>
        <v>MORALES</v>
      </c>
      <c r="I407" t="str">
        <f t="shared" si="27"/>
        <v xml:space="preserve"> CELSO LUIS</v>
      </c>
    </row>
    <row r="408" spans="1:9" x14ac:dyDescent="0.25">
      <c r="A408" t="s">
        <v>729</v>
      </c>
      <c r="B408" t="s">
        <v>730</v>
      </c>
      <c r="C408" s="2">
        <v>33340</v>
      </c>
      <c r="D408" t="s">
        <v>1743</v>
      </c>
      <c r="F408" t="str">
        <f t="shared" si="24"/>
        <v>USCAMAYTA RIVERA</v>
      </c>
      <c r="G408" t="str">
        <f t="shared" si="25"/>
        <v>USCAMAYTA</v>
      </c>
      <c r="H408" t="str">
        <f t="shared" si="26"/>
        <v>RIVERA</v>
      </c>
      <c r="I408" t="str">
        <f t="shared" si="27"/>
        <v xml:space="preserve"> JHONATAN MAURO</v>
      </c>
    </row>
    <row r="409" spans="1:9" x14ac:dyDescent="0.25">
      <c r="A409" t="s">
        <v>731</v>
      </c>
      <c r="B409" t="s">
        <v>732</v>
      </c>
      <c r="C409" s="2">
        <v>37063</v>
      </c>
      <c r="D409" t="s">
        <v>1744</v>
      </c>
      <c r="F409" t="str">
        <f t="shared" si="24"/>
        <v>LEON PATIÑO</v>
      </c>
      <c r="G409" t="str">
        <f t="shared" si="25"/>
        <v>LEON</v>
      </c>
      <c r="H409" t="str">
        <f t="shared" si="26"/>
        <v>PATIÑO</v>
      </c>
      <c r="I409" t="str">
        <f t="shared" si="27"/>
        <v xml:space="preserve"> MARIA FERNANDA ROSA</v>
      </c>
    </row>
    <row r="410" spans="1:9" x14ac:dyDescent="0.25">
      <c r="A410" t="s">
        <v>733</v>
      </c>
      <c r="B410" t="s">
        <v>3537</v>
      </c>
      <c r="C410" s="2">
        <v>33917</v>
      </c>
      <c r="D410" t="s">
        <v>1743</v>
      </c>
      <c r="F410" t="str">
        <f t="shared" si="24"/>
        <v>CAVERO JUNGBLUTH</v>
      </c>
      <c r="G410" t="str">
        <f t="shared" si="25"/>
        <v>CAVERO</v>
      </c>
      <c r="H410" t="str">
        <f t="shared" si="26"/>
        <v>JUNGBLUTH</v>
      </c>
      <c r="I410" t="str">
        <f t="shared" si="27"/>
        <v xml:space="preserve"> LUIS ERNETO GERMAN</v>
      </c>
    </row>
    <row r="411" spans="1:9" x14ac:dyDescent="0.25">
      <c r="A411" t="s">
        <v>397</v>
      </c>
      <c r="B411" t="s">
        <v>398</v>
      </c>
      <c r="C411" s="2">
        <v>32524</v>
      </c>
      <c r="D411" t="s">
        <v>1743</v>
      </c>
      <c r="F411" t="str">
        <f t="shared" si="24"/>
        <v>HUAMAN SUPA</v>
      </c>
      <c r="G411" t="str">
        <f t="shared" si="25"/>
        <v>HUAMAN</v>
      </c>
      <c r="H411" t="str">
        <f t="shared" si="26"/>
        <v>SUPA</v>
      </c>
      <c r="I411" t="str">
        <f t="shared" si="27"/>
        <v xml:space="preserve"> LUIS ALBERTO</v>
      </c>
    </row>
    <row r="412" spans="1:9" x14ac:dyDescent="0.25">
      <c r="A412" t="s">
        <v>734</v>
      </c>
      <c r="B412" t="s">
        <v>735</v>
      </c>
      <c r="C412" s="2">
        <v>36986</v>
      </c>
      <c r="D412" t="s">
        <v>1744</v>
      </c>
      <c r="F412" t="str">
        <f t="shared" si="24"/>
        <v>BOZA PRATO</v>
      </c>
      <c r="G412" t="str">
        <f t="shared" si="25"/>
        <v>BOZA</v>
      </c>
      <c r="H412" t="str">
        <f t="shared" si="26"/>
        <v>PRATO</v>
      </c>
      <c r="I412" t="str">
        <f t="shared" si="27"/>
        <v xml:space="preserve"> MICHELLE</v>
      </c>
    </row>
    <row r="413" spans="1:9" x14ac:dyDescent="0.25">
      <c r="A413" t="s">
        <v>736</v>
      </c>
      <c r="B413" t="s">
        <v>737</v>
      </c>
      <c r="C413" s="2">
        <v>33093</v>
      </c>
      <c r="D413" t="s">
        <v>1744</v>
      </c>
      <c r="F413" t="str">
        <f t="shared" si="24"/>
        <v>DIAZ GUEVARA</v>
      </c>
      <c r="G413" t="str">
        <f t="shared" si="25"/>
        <v>DIAZ</v>
      </c>
      <c r="H413" t="str">
        <f t="shared" si="26"/>
        <v>GUEVARA</v>
      </c>
      <c r="I413" t="str">
        <f t="shared" si="27"/>
        <v xml:space="preserve"> FIORELLA</v>
      </c>
    </row>
    <row r="414" spans="1:9" x14ac:dyDescent="0.25">
      <c r="A414" t="s">
        <v>738</v>
      </c>
      <c r="B414" t="s">
        <v>739</v>
      </c>
      <c r="C414" s="2">
        <v>34424</v>
      </c>
      <c r="D414" t="s">
        <v>1744</v>
      </c>
      <c r="F414" t="str">
        <f t="shared" si="24"/>
        <v>ALVARADO VERA</v>
      </c>
      <c r="G414" t="str">
        <f t="shared" si="25"/>
        <v>ALVARADO</v>
      </c>
      <c r="H414" t="str">
        <f t="shared" si="26"/>
        <v>VERA</v>
      </c>
      <c r="I414" t="str">
        <f t="shared" si="27"/>
        <v xml:space="preserve"> LISSET GERALDINE</v>
      </c>
    </row>
    <row r="415" spans="1:9" x14ac:dyDescent="0.25">
      <c r="A415" t="s">
        <v>740</v>
      </c>
      <c r="B415" t="s">
        <v>741</v>
      </c>
      <c r="C415" s="2">
        <v>34162</v>
      </c>
      <c r="D415" t="s">
        <v>1744</v>
      </c>
      <c r="F415" t="str">
        <f t="shared" si="24"/>
        <v>HUAMANI TORRES</v>
      </c>
      <c r="G415" t="str">
        <f t="shared" si="25"/>
        <v>HUAMANI</v>
      </c>
      <c r="H415" t="str">
        <f t="shared" si="26"/>
        <v>TORRES</v>
      </c>
      <c r="I415" t="str">
        <f t="shared" si="27"/>
        <v xml:space="preserve"> GERALDINE</v>
      </c>
    </row>
    <row r="416" spans="1:9" x14ac:dyDescent="0.25">
      <c r="A416" t="s">
        <v>114</v>
      </c>
      <c r="B416" t="s">
        <v>115</v>
      </c>
      <c r="C416" s="2">
        <v>29266</v>
      </c>
      <c r="D416" t="s">
        <v>1743</v>
      </c>
      <c r="E416" t="s">
        <v>1576</v>
      </c>
      <c r="F416" t="str">
        <f t="shared" si="24"/>
        <v>CALERO LOPEZ</v>
      </c>
      <c r="G416" t="str">
        <f t="shared" si="25"/>
        <v>CALERO</v>
      </c>
      <c r="H416" t="str">
        <f t="shared" si="26"/>
        <v>LOPEZ</v>
      </c>
      <c r="I416" t="str">
        <f t="shared" si="27"/>
        <v xml:space="preserve"> EULALIO</v>
      </c>
    </row>
    <row r="417" spans="1:9" x14ac:dyDescent="0.25">
      <c r="A417" t="s">
        <v>168</v>
      </c>
      <c r="B417" t="s">
        <v>3519</v>
      </c>
      <c r="C417" s="2">
        <v>28180</v>
      </c>
      <c r="D417" t="s">
        <v>1743</v>
      </c>
      <c r="E417" t="s">
        <v>1577</v>
      </c>
      <c r="F417" t="str">
        <f t="shared" si="24"/>
        <v>MAGUIÑA MALDONADO</v>
      </c>
      <c r="G417" t="str">
        <f t="shared" si="25"/>
        <v>MAGUIÑA</v>
      </c>
      <c r="H417" t="str">
        <f t="shared" si="26"/>
        <v>MALDONADO</v>
      </c>
      <c r="I417" t="str">
        <f t="shared" si="27"/>
        <v xml:space="preserve"> LUCIO ALFREDO</v>
      </c>
    </row>
    <row r="418" spans="1:9" x14ac:dyDescent="0.25">
      <c r="A418" t="s">
        <v>256</v>
      </c>
      <c r="B418" t="s">
        <v>3523</v>
      </c>
      <c r="C418" s="2">
        <v>36271</v>
      </c>
      <c r="D418" t="s">
        <v>1743</v>
      </c>
      <c r="F418" t="str">
        <f t="shared" si="24"/>
        <v>MANAYAY SERQUEN</v>
      </c>
      <c r="G418" t="str">
        <f t="shared" si="25"/>
        <v>MANAYAY</v>
      </c>
      <c r="H418" t="str">
        <f t="shared" si="26"/>
        <v>SERQUEN</v>
      </c>
      <c r="I418" t="str">
        <f t="shared" si="27"/>
        <v xml:space="preserve"> BERNANDINO ALEXANDER</v>
      </c>
    </row>
    <row r="419" spans="1:9" x14ac:dyDescent="0.25">
      <c r="A419" t="s">
        <v>530</v>
      </c>
      <c r="B419" t="s">
        <v>531</v>
      </c>
      <c r="C419" s="2">
        <v>31622</v>
      </c>
      <c r="D419" t="s">
        <v>1743</v>
      </c>
      <c r="E419" t="s">
        <v>1578</v>
      </c>
      <c r="F419" t="str">
        <f t="shared" si="24"/>
        <v>PUPPO CHACON</v>
      </c>
      <c r="G419" t="str">
        <f t="shared" si="25"/>
        <v>PUPPO</v>
      </c>
      <c r="H419" t="str">
        <f t="shared" si="26"/>
        <v>CHACON</v>
      </c>
      <c r="I419" t="str">
        <f t="shared" si="27"/>
        <v xml:space="preserve"> AUGUSTO LUIS</v>
      </c>
    </row>
    <row r="420" spans="1:9" x14ac:dyDescent="0.25">
      <c r="A420" t="s">
        <v>358</v>
      </c>
      <c r="B420" t="s">
        <v>359</v>
      </c>
      <c r="C420" s="2">
        <v>33558</v>
      </c>
      <c r="D420" t="s">
        <v>1743</v>
      </c>
      <c r="F420" t="str">
        <f t="shared" si="24"/>
        <v>SALDIVAR SEQUEIROS</v>
      </c>
      <c r="G420" t="str">
        <f t="shared" si="25"/>
        <v>SALDIVAR</v>
      </c>
      <c r="H420" t="str">
        <f t="shared" si="26"/>
        <v>SEQUEIROS</v>
      </c>
      <c r="I420" t="str">
        <f t="shared" si="27"/>
        <v xml:space="preserve"> RENZO JUVENAL</v>
      </c>
    </row>
    <row r="421" spans="1:9" x14ac:dyDescent="0.25">
      <c r="A421" t="s">
        <v>742</v>
      </c>
      <c r="B421" t="s">
        <v>743</v>
      </c>
      <c r="C421" s="2">
        <v>33451</v>
      </c>
      <c r="D421" t="s">
        <v>1743</v>
      </c>
      <c r="F421" t="str">
        <f t="shared" si="24"/>
        <v>SOSA LALUPU</v>
      </c>
      <c r="G421" t="str">
        <f t="shared" si="25"/>
        <v>SOSA</v>
      </c>
      <c r="H421" t="str">
        <f t="shared" si="26"/>
        <v>LALUPU</v>
      </c>
      <c r="I421" t="str">
        <f t="shared" si="27"/>
        <v xml:space="preserve"> JULIO CESAR</v>
      </c>
    </row>
    <row r="422" spans="1:9" x14ac:dyDescent="0.25">
      <c r="A422" t="s">
        <v>744</v>
      </c>
      <c r="B422" t="s">
        <v>745</v>
      </c>
      <c r="C422" s="2">
        <v>33427</v>
      </c>
      <c r="D422" t="s">
        <v>1743</v>
      </c>
      <c r="F422" t="str">
        <f t="shared" si="24"/>
        <v>SIVINA AGUILAR</v>
      </c>
      <c r="G422" t="str">
        <f t="shared" si="25"/>
        <v>SIVINA</v>
      </c>
      <c r="H422" t="str">
        <f t="shared" si="26"/>
        <v>AGUILAR</v>
      </c>
      <c r="I422" t="str">
        <f t="shared" si="27"/>
        <v xml:space="preserve"> FABIAN</v>
      </c>
    </row>
    <row r="423" spans="1:9" x14ac:dyDescent="0.25">
      <c r="A423" t="s">
        <v>218</v>
      </c>
      <c r="B423" t="s">
        <v>219</v>
      </c>
      <c r="C423" s="2">
        <v>32463</v>
      </c>
      <c r="D423" t="s">
        <v>1743</v>
      </c>
      <c r="F423" t="str">
        <f t="shared" si="24"/>
        <v>MACHACA AROCUTIPA</v>
      </c>
      <c r="G423" t="str">
        <f t="shared" si="25"/>
        <v>MACHACA</v>
      </c>
      <c r="H423" t="str">
        <f t="shared" si="26"/>
        <v>AROCUTIPA</v>
      </c>
      <c r="I423" t="str">
        <f t="shared" si="27"/>
        <v xml:space="preserve"> CESAR</v>
      </c>
    </row>
    <row r="424" spans="1:9" x14ac:dyDescent="0.25">
      <c r="A424" t="s">
        <v>746</v>
      </c>
      <c r="B424" t="s">
        <v>747</v>
      </c>
      <c r="C424" s="2">
        <v>30455</v>
      </c>
      <c r="D424" t="s">
        <v>1743</v>
      </c>
      <c r="F424" t="str">
        <f t="shared" si="24"/>
        <v>PONCE GUTIERREZ</v>
      </c>
      <c r="G424" t="str">
        <f t="shared" si="25"/>
        <v>PONCE</v>
      </c>
      <c r="H424" t="str">
        <f t="shared" si="26"/>
        <v>GUTIERREZ</v>
      </c>
      <c r="I424" t="str">
        <f t="shared" si="27"/>
        <v xml:space="preserve"> BRIAN BROWN</v>
      </c>
    </row>
    <row r="425" spans="1:9" x14ac:dyDescent="0.25">
      <c r="A425" t="s">
        <v>748</v>
      </c>
      <c r="B425" t="s">
        <v>749</v>
      </c>
      <c r="C425" s="2">
        <v>34321</v>
      </c>
      <c r="D425" t="s">
        <v>1743</v>
      </c>
      <c r="F425" t="str">
        <f t="shared" si="24"/>
        <v>SANCHEZ CRUZADO</v>
      </c>
      <c r="G425" t="str">
        <f t="shared" si="25"/>
        <v>SANCHEZ</v>
      </c>
      <c r="H425" t="str">
        <f t="shared" si="26"/>
        <v>CRUZADO</v>
      </c>
      <c r="I425" t="str">
        <f t="shared" si="27"/>
        <v xml:space="preserve"> JOSE VIDAL</v>
      </c>
    </row>
    <row r="426" spans="1:9" x14ac:dyDescent="0.25">
      <c r="A426" t="s">
        <v>750</v>
      </c>
      <c r="B426" t="s">
        <v>751</v>
      </c>
      <c r="C426" s="2">
        <v>37033</v>
      </c>
      <c r="D426" t="s">
        <v>1743</v>
      </c>
      <c r="F426" t="str">
        <f t="shared" si="24"/>
        <v>CATASI MIRANDA</v>
      </c>
      <c r="G426" t="str">
        <f t="shared" si="25"/>
        <v>CATASI</v>
      </c>
      <c r="H426" t="str">
        <f t="shared" si="26"/>
        <v>MIRANDA</v>
      </c>
      <c r="I426" t="str">
        <f t="shared" si="27"/>
        <v xml:space="preserve"> WILBER RUBEN </v>
      </c>
    </row>
    <row r="427" spans="1:9" x14ac:dyDescent="0.25">
      <c r="A427" t="s">
        <v>752</v>
      </c>
      <c r="B427" t="s">
        <v>753</v>
      </c>
      <c r="C427" s="2">
        <v>35641</v>
      </c>
      <c r="D427" t="s">
        <v>1744</v>
      </c>
      <c r="F427" t="str">
        <f t="shared" si="24"/>
        <v>GALVEZ CAJAS</v>
      </c>
      <c r="G427" t="str">
        <f t="shared" si="25"/>
        <v>GALVEZ</v>
      </c>
      <c r="H427" t="str">
        <f t="shared" si="26"/>
        <v>CAJAS</v>
      </c>
      <c r="I427" t="str">
        <f t="shared" si="27"/>
        <v xml:space="preserve"> JOSELYN ROBINSON</v>
      </c>
    </row>
    <row r="428" spans="1:9" x14ac:dyDescent="0.25">
      <c r="A428" t="s">
        <v>754</v>
      </c>
      <c r="B428" t="s">
        <v>755</v>
      </c>
      <c r="C428" s="2">
        <v>34072</v>
      </c>
      <c r="D428" t="s">
        <v>1743</v>
      </c>
      <c r="F428" t="str">
        <f t="shared" si="24"/>
        <v>CHAPOÑAN FARROÑAN</v>
      </c>
      <c r="G428" t="str">
        <f t="shared" si="25"/>
        <v>CHAPOÑAN</v>
      </c>
      <c r="H428" t="str">
        <f t="shared" si="26"/>
        <v>FARROÑAN</v>
      </c>
      <c r="I428" t="str">
        <f t="shared" si="27"/>
        <v xml:space="preserve"> MARIO JOEL</v>
      </c>
    </row>
    <row r="429" spans="1:9" x14ac:dyDescent="0.25">
      <c r="A429" t="s">
        <v>756</v>
      </c>
      <c r="B429" t="s">
        <v>757</v>
      </c>
      <c r="C429" s="2">
        <v>26838</v>
      </c>
      <c r="D429" t="s">
        <v>1743</v>
      </c>
      <c r="F429" t="str">
        <f t="shared" si="24"/>
        <v>TEJADA CACERES</v>
      </c>
      <c r="G429" t="str">
        <f t="shared" si="25"/>
        <v>TEJADA</v>
      </c>
      <c r="H429" t="str">
        <f t="shared" si="26"/>
        <v>CACERES</v>
      </c>
      <c r="I429" t="str">
        <f t="shared" si="27"/>
        <v xml:space="preserve"> EDGARD LEONCIO</v>
      </c>
    </row>
    <row r="430" spans="1:9" x14ac:dyDescent="0.25">
      <c r="A430" t="s">
        <v>354</v>
      </c>
      <c r="B430" t="s">
        <v>355</v>
      </c>
      <c r="C430" s="2">
        <v>36279</v>
      </c>
      <c r="D430" t="s">
        <v>1743</v>
      </c>
      <c r="F430" t="str">
        <f t="shared" si="24"/>
        <v>RIOS MENDOZA</v>
      </c>
      <c r="G430" t="str">
        <f t="shared" si="25"/>
        <v>RIOS</v>
      </c>
      <c r="H430" t="str">
        <f t="shared" si="26"/>
        <v>MENDOZA</v>
      </c>
      <c r="I430" t="str">
        <f t="shared" si="27"/>
        <v xml:space="preserve"> LEONARDO ANTONIO</v>
      </c>
    </row>
    <row r="431" spans="1:9" x14ac:dyDescent="0.25">
      <c r="A431" t="s">
        <v>502</v>
      </c>
      <c r="B431" t="s">
        <v>503</v>
      </c>
      <c r="C431" s="2">
        <v>35923</v>
      </c>
      <c r="D431" t="s">
        <v>1744</v>
      </c>
      <c r="F431" t="str">
        <f t="shared" si="24"/>
        <v>BENITES PALACIOS</v>
      </c>
      <c r="G431" t="str">
        <f t="shared" si="25"/>
        <v>BENITES</v>
      </c>
      <c r="H431" t="str">
        <f t="shared" si="26"/>
        <v>PALACIOS</v>
      </c>
      <c r="I431" t="str">
        <f t="shared" si="27"/>
        <v xml:space="preserve"> MELANNY KATHY</v>
      </c>
    </row>
    <row r="432" spans="1:9" x14ac:dyDescent="0.25">
      <c r="A432" t="s">
        <v>303</v>
      </c>
      <c r="B432" t="s">
        <v>3526</v>
      </c>
      <c r="C432" s="2">
        <v>36117</v>
      </c>
      <c r="D432" t="s">
        <v>1743</v>
      </c>
      <c r="E432" t="s">
        <v>1567</v>
      </c>
      <c r="F432" t="str">
        <f t="shared" si="24"/>
        <v>ORTEGA TELLO</v>
      </c>
      <c r="G432" t="str">
        <f t="shared" si="25"/>
        <v>ORTEGA</v>
      </c>
      <c r="H432" t="str">
        <f t="shared" si="26"/>
        <v>TELLO</v>
      </c>
      <c r="I432" t="str">
        <f t="shared" si="27"/>
        <v xml:space="preserve"> HENRY LUIS</v>
      </c>
    </row>
    <row r="433" spans="1:9" x14ac:dyDescent="0.25">
      <c r="A433" t="s">
        <v>758</v>
      </c>
      <c r="B433" t="s">
        <v>759</v>
      </c>
      <c r="C433" s="2">
        <v>36320</v>
      </c>
      <c r="D433" t="s">
        <v>1743</v>
      </c>
      <c r="E433" t="s">
        <v>1579</v>
      </c>
      <c r="F433" t="str">
        <f t="shared" si="24"/>
        <v>CABANA PAUCARA</v>
      </c>
      <c r="G433" t="str">
        <f t="shared" si="25"/>
        <v>CABANA</v>
      </c>
      <c r="H433" t="str">
        <f t="shared" si="26"/>
        <v>PAUCARA</v>
      </c>
      <c r="I433" t="str">
        <f t="shared" si="27"/>
        <v xml:space="preserve"> LENYN</v>
      </c>
    </row>
    <row r="434" spans="1:9" x14ac:dyDescent="0.25">
      <c r="A434" t="s">
        <v>572</v>
      </c>
      <c r="B434" t="s">
        <v>573</v>
      </c>
      <c r="C434" s="2">
        <v>31197</v>
      </c>
      <c r="D434" t="s">
        <v>1743</v>
      </c>
      <c r="F434" t="str">
        <f t="shared" si="24"/>
        <v>CHINCHAY MERINO</v>
      </c>
      <c r="G434" t="str">
        <f t="shared" si="25"/>
        <v>CHINCHAY</v>
      </c>
      <c r="H434" t="str">
        <f t="shared" si="26"/>
        <v>MERINO</v>
      </c>
      <c r="I434" t="str">
        <f t="shared" si="27"/>
        <v xml:space="preserve"> JOSE FRANCISCO</v>
      </c>
    </row>
    <row r="435" spans="1:9" x14ac:dyDescent="0.25">
      <c r="A435" t="s">
        <v>614</v>
      </c>
      <c r="B435" t="s">
        <v>615</v>
      </c>
      <c r="C435" s="2">
        <v>35501</v>
      </c>
      <c r="D435" t="s">
        <v>1743</v>
      </c>
      <c r="F435" t="str">
        <f t="shared" si="24"/>
        <v>GUTIERREZ HURTADO</v>
      </c>
      <c r="G435" t="str">
        <f t="shared" si="25"/>
        <v>GUTIERREZ</v>
      </c>
      <c r="H435" t="str">
        <f t="shared" si="26"/>
        <v>HURTADO</v>
      </c>
      <c r="I435" t="str">
        <f t="shared" si="27"/>
        <v xml:space="preserve"> CHRISTOPHER ABILIO</v>
      </c>
    </row>
    <row r="436" spans="1:9" x14ac:dyDescent="0.25">
      <c r="A436" t="s">
        <v>488</v>
      </c>
      <c r="B436" t="s">
        <v>489</v>
      </c>
      <c r="C436" s="2">
        <v>37158</v>
      </c>
      <c r="D436" t="s">
        <v>1744</v>
      </c>
      <c r="F436" t="str">
        <f t="shared" si="24"/>
        <v>SANCHEZ MARIN</v>
      </c>
      <c r="G436" t="str">
        <f t="shared" si="25"/>
        <v>SANCHEZ</v>
      </c>
      <c r="H436" t="str">
        <f t="shared" si="26"/>
        <v>MARIN</v>
      </c>
      <c r="I436" t="str">
        <f t="shared" si="27"/>
        <v xml:space="preserve"> KELLY LORENA</v>
      </c>
    </row>
    <row r="437" spans="1:9" x14ac:dyDescent="0.25">
      <c r="A437" t="s">
        <v>760</v>
      </c>
      <c r="B437" t="s">
        <v>761</v>
      </c>
      <c r="C437" s="2">
        <v>31958</v>
      </c>
      <c r="D437" t="s">
        <v>1743</v>
      </c>
      <c r="F437" t="str">
        <f t="shared" si="24"/>
        <v>LAYME VALDIVIA</v>
      </c>
      <c r="G437" t="str">
        <f t="shared" si="25"/>
        <v>LAYME</v>
      </c>
      <c r="H437" t="str">
        <f t="shared" si="26"/>
        <v>VALDIVIA</v>
      </c>
      <c r="I437" t="str">
        <f t="shared" si="27"/>
        <v xml:space="preserve"> PABLO CESAR</v>
      </c>
    </row>
    <row r="438" spans="1:9" x14ac:dyDescent="0.25">
      <c r="A438" t="s">
        <v>762</v>
      </c>
      <c r="B438" t="s">
        <v>763</v>
      </c>
      <c r="C438" s="2">
        <v>35103</v>
      </c>
      <c r="D438" t="s">
        <v>1743</v>
      </c>
      <c r="F438" t="str">
        <f t="shared" si="24"/>
        <v>SANTOS LAURA</v>
      </c>
      <c r="G438" t="str">
        <f t="shared" si="25"/>
        <v>SANTOS</v>
      </c>
      <c r="H438" t="str">
        <f t="shared" si="26"/>
        <v>LAURA</v>
      </c>
      <c r="I438" t="str">
        <f t="shared" si="27"/>
        <v xml:space="preserve"> FREDDY WALDIR</v>
      </c>
    </row>
    <row r="439" spans="1:9" x14ac:dyDescent="0.25">
      <c r="A439" t="s">
        <v>764</v>
      </c>
      <c r="B439" t="s">
        <v>765</v>
      </c>
      <c r="C439" s="2">
        <v>31708</v>
      </c>
      <c r="D439" t="s">
        <v>1743</v>
      </c>
      <c r="F439" t="str">
        <f t="shared" si="24"/>
        <v>ATAMARI CHAHUARA</v>
      </c>
      <c r="G439" t="str">
        <f t="shared" si="25"/>
        <v>ATAMARI</v>
      </c>
      <c r="H439" t="str">
        <f t="shared" si="26"/>
        <v>CHAHUARA</v>
      </c>
      <c r="I439" t="str">
        <f t="shared" si="27"/>
        <v xml:space="preserve"> LUIS CARLOS</v>
      </c>
    </row>
    <row r="440" spans="1:9" x14ac:dyDescent="0.25">
      <c r="A440" t="s">
        <v>766</v>
      </c>
      <c r="B440" t="s">
        <v>767</v>
      </c>
      <c r="C440" s="2">
        <v>33124</v>
      </c>
      <c r="D440" t="s">
        <v>1743</v>
      </c>
      <c r="F440" t="str">
        <f t="shared" si="24"/>
        <v>SANCHEZ ZUÑIGA</v>
      </c>
      <c r="G440" t="str">
        <f t="shared" si="25"/>
        <v>SANCHEZ</v>
      </c>
      <c r="H440" t="str">
        <f t="shared" si="26"/>
        <v>ZUÑIGA</v>
      </c>
      <c r="I440" t="str">
        <f t="shared" si="27"/>
        <v xml:space="preserve"> JESUS ERICK</v>
      </c>
    </row>
    <row r="441" spans="1:9" x14ac:dyDescent="0.25">
      <c r="A441" t="s">
        <v>768</v>
      </c>
      <c r="B441" t="s">
        <v>769</v>
      </c>
      <c r="C441" s="2">
        <v>35601</v>
      </c>
      <c r="D441" t="s">
        <v>1743</v>
      </c>
      <c r="F441" t="str">
        <f t="shared" si="24"/>
        <v>HUAYTA ARNERO</v>
      </c>
      <c r="G441" t="str">
        <f t="shared" si="25"/>
        <v>HUAYTA</v>
      </c>
      <c r="H441" t="str">
        <f t="shared" si="26"/>
        <v>ARNERO</v>
      </c>
      <c r="I441" t="str">
        <f t="shared" si="27"/>
        <v xml:space="preserve"> CRISTHIAN CRISTOFER</v>
      </c>
    </row>
    <row r="442" spans="1:9" x14ac:dyDescent="0.25">
      <c r="A442" t="s">
        <v>770</v>
      </c>
      <c r="B442" t="s">
        <v>771</v>
      </c>
      <c r="C442" s="2">
        <v>32850</v>
      </c>
      <c r="D442" t="s">
        <v>1743</v>
      </c>
      <c r="F442" t="str">
        <f t="shared" si="24"/>
        <v>BARRETO HUILLCA</v>
      </c>
      <c r="G442" t="str">
        <f t="shared" si="25"/>
        <v>BARRETO</v>
      </c>
      <c r="H442" t="str">
        <f t="shared" si="26"/>
        <v>HUILLCA</v>
      </c>
      <c r="I442" t="str">
        <f t="shared" si="27"/>
        <v xml:space="preserve"> STIVENSON JONATHAN</v>
      </c>
    </row>
    <row r="443" spans="1:9" x14ac:dyDescent="0.25">
      <c r="A443" t="s">
        <v>311</v>
      </c>
      <c r="B443" t="s">
        <v>312</v>
      </c>
      <c r="C443" s="2">
        <v>36073</v>
      </c>
      <c r="D443" t="s">
        <v>1743</v>
      </c>
      <c r="E443" t="s">
        <v>1568</v>
      </c>
      <c r="F443" t="str">
        <f t="shared" si="24"/>
        <v>APAZA PUMA</v>
      </c>
      <c r="G443" t="str">
        <f t="shared" si="25"/>
        <v>APAZA</v>
      </c>
      <c r="H443" t="str">
        <f t="shared" si="26"/>
        <v>PUMA</v>
      </c>
      <c r="I443" t="str">
        <f t="shared" si="27"/>
        <v xml:space="preserve"> WILFREDO</v>
      </c>
    </row>
    <row r="444" spans="1:9" x14ac:dyDescent="0.25">
      <c r="A444" t="s">
        <v>772</v>
      </c>
      <c r="B444" t="s">
        <v>773</v>
      </c>
      <c r="C444" s="2">
        <v>33795</v>
      </c>
      <c r="D444" t="s">
        <v>1743</v>
      </c>
      <c r="F444" t="str">
        <f t="shared" si="24"/>
        <v>BARRIENTOS RAVINES</v>
      </c>
      <c r="G444" t="str">
        <f t="shared" si="25"/>
        <v>BARRIENTOS</v>
      </c>
      <c r="H444" t="str">
        <f t="shared" si="26"/>
        <v>RAVINES</v>
      </c>
      <c r="I444" t="str">
        <f t="shared" si="27"/>
        <v xml:space="preserve"> ALEJANDRO EUDOCIO</v>
      </c>
    </row>
    <row r="445" spans="1:9" x14ac:dyDescent="0.25">
      <c r="A445" t="s">
        <v>774</v>
      </c>
      <c r="B445" t="s">
        <v>775</v>
      </c>
      <c r="C445" s="2">
        <v>36910</v>
      </c>
      <c r="D445" t="s">
        <v>1743</v>
      </c>
      <c r="F445" t="str">
        <f t="shared" si="24"/>
        <v>AVILA CANO</v>
      </c>
      <c r="G445" t="str">
        <f t="shared" si="25"/>
        <v>AVILA</v>
      </c>
      <c r="H445" t="str">
        <f t="shared" si="26"/>
        <v>CANO</v>
      </c>
      <c r="I445" t="str">
        <f t="shared" si="27"/>
        <v xml:space="preserve"> SEBASTIAN PIERO</v>
      </c>
    </row>
    <row r="446" spans="1:9" x14ac:dyDescent="0.25">
      <c r="A446" t="s">
        <v>776</v>
      </c>
      <c r="B446" t="s">
        <v>777</v>
      </c>
      <c r="C446" s="2">
        <v>35184</v>
      </c>
      <c r="D446" t="s">
        <v>1743</v>
      </c>
      <c r="F446" t="str">
        <f t="shared" si="24"/>
        <v>ENRIQUEZ CUEVA</v>
      </c>
      <c r="G446" t="str">
        <f t="shared" si="25"/>
        <v>ENRIQUEZ</v>
      </c>
      <c r="H446" t="str">
        <f t="shared" si="26"/>
        <v>CUEVA</v>
      </c>
      <c r="I446" t="str">
        <f t="shared" si="27"/>
        <v xml:space="preserve"> JEREMY HAROLD</v>
      </c>
    </row>
    <row r="447" spans="1:9" x14ac:dyDescent="0.25">
      <c r="A447" t="s">
        <v>778</v>
      </c>
      <c r="B447" t="s">
        <v>779</v>
      </c>
      <c r="C447" s="2">
        <v>29745</v>
      </c>
      <c r="D447" t="s">
        <v>1743</v>
      </c>
      <c r="F447" t="str">
        <f t="shared" si="24"/>
        <v>ORTEGA MOLLO</v>
      </c>
      <c r="G447" t="str">
        <f t="shared" si="25"/>
        <v>ORTEGA</v>
      </c>
      <c r="H447" t="str">
        <f t="shared" si="26"/>
        <v>MOLLO</v>
      </c>
      <c r="I447" t="str">
        <f t="shared" si="27"/>
        <v xml:space="preserve"> OMAR</v>
      </c>
    </row>
    <row r="448" spans="1:9" x14ac:dyDescent="0.25">
      <c r="A448" t="s">
        <v>780</v>
      </c>
      <c r="B448" t="s">
        <v>781</v>
      </c>
      <c r="C448" s="2">
        <v>35756</v>
      </c>
      <c r="D448" t="s">
        <v>1743</v>
      </c>
      <c r="E448" t="s">
        <v>1580</v>
      </c>
      <c r="F448" t="str">
        <f t="shared" si="24"/>
        <v>ACUÑA ESTELA</v>
      </c>
      <c r="G448" t="str">
        <f t="shared" si="25"/>
        <v>ACUÑA</v>
      </c>
      <c r="H448" t="str">
        <f t="shared" si="26"/>
        <v>ESTELA</v>
      </c>
      <c r="I448" t="str">
        <f t="shared" si="27"/>
        <v xml:space="preserve"> MIGUEL ANGEL</v>
      </c>
    </row>
    <row r="449" spans="1:9" x14ac:dyDescent="0.25">
      <c r="A449" t="s">
        <v>782</v>
      </c>
      <c r="B449" t="s">
        <v>783</v>
      </c>
      <c r="C449" s="2">
        <v>28238</v>
      </c>
      <c r="D449" t="s">
        <v>1743</v>
      </c>
      <c r="F449" t="str">
        <f t="shared" si="24"/>
        <v>DONAYRE DIAZ</v>
      </c>
      <c r="G449" t="str">
        <f t="shared" si="25"/>
        <v>DONAYRE</v>
      </c>
      <c r="H449" t="str">
        <f t="shared" si="26"/>
        <v>DIAZ</v>
      </c>
      <c r="I449" t="str">
        <f t="shared" si="27"/>
        <v xml:space="preserve"> MAKINO MIJAIL</v>
      </c>
    </row>
    <row r="450" spans="1:9" x14ac:dyDescent="0.25">
      <c r="A450" t="s">
        <v>784</v>
      </c>
      <c r="B450" t="s">
        <v>785</v>
      </c>
      <c r="C450" s="2">
        <v>34484</v>
      </c>
      <c r="D450" t="s">
        <v>1743</v>
      </c>
      <c r="F450" t="str">
        <f t="shared" si="24"/>
        <v>MORA PORTALATINO</v>
      </c>
      <c r="G450" t="str">
        <f t="shared" si="25"/>
        <v>MORA</v>
      </c>
      <c r="H450" t="str">
        <f t="shared" si="26"/>
        <v>PORTALATINO</v>
      </c>
      <c r="I450" t="str">
        <f t="shared" si="27"/>
        <v xml:space="preserve"> BENJY ROCKY</v>
      </c>
    </row>
    <row r="451" spans="1:9" x14ac:dyDescent="0.25">
      <c r="A451" t="s">
        <v>786</v>
      </c>
      <c r="B451" t="s">
        <v>787</v>
      </c>
      <c r="C451" s="2">
        <v>34061</v>
      </c>
      <c r="D451" t="s">
        <v>1744</v>
      </c>
      <c r="F451" t="str">
        <f t="shared" ref="F451:F514" si="28">LEFT(B451,SEARCH(",",B451)-1)</f>
        <v>NINA VARGAS</v>
      </c>
      <c r="G451" t="str">
        <f t="shared" ref="G451:G514" si="29">LEFT(F451,SEARCH(" ",F451)-1)</f>
        <v>NINA</v>
      </c>
      <c r="H451" t="str">
        <f t="shared" ref="H451:H514" si="30">RIGHT(F451,LEN(F451)- SEARCH(" ",F451))</f>
        <v>VARGAS</v>
      </c>
      <c r="I451" t="str">
        <f t="shared" ref="I451:I514" si="31">RIGHT(B451,LEN(B451)- SEARCH(",",B451))</f>
        <v xml:space="preserve"> GERALDYNE JAZMYN</v>
      </c>
    </row>
    <row r="452" spans="1:9" x14ac:dyDescent="0.25">
      <c r="A452" t="s">
        <v>788</v>
      </c>
      <c r="B452" t="s">
        <v>3538</v>
      </c>
      <c r="C452" s="2">
        <v>35296</v>
      </c>
      <c r="D452" t="s">
        <v>1743</v>
      </c>
      <c r="F452" t="str">
        <f t="shared" si="28"/>
        <v>GARCÍA REGALADO</v>
      </c>
      <c r="G452" t="str">
        <f t="shared" si="29"/>
        <v>GARCÍA</v>
      </c>
      <c r="H452" t="str">
        <f t="shared" si="30"/>
        <v>REGALADO</v>
      </c>
      <c r="I452" t="str">
        <f t="shared" si="31"/>
        <v xml:space="preserve"> CESAR FERNANDO JUNNIOR</v>
      </c>
    </row>
    <row r="453" spans="1:9" x14ac:dyDescent="0.25">
      <c r="A453" t="s">
        <v>789</v>
      </c>
      <c r="B453" t="s">
        <v>790</v>
      </c>
      <c r="C453" s="2">
        <v>35676</v>
      </c>
      <c r="D453" t="s">
        <v>1743</v>
      </c>
      <c r="F453" t="str">
        <f t="shared" si="28"/>
        <v>VELARDE PASAPERA</v>
      </c>
      <c r="G453" t="str">
        <f t="shared" si="29"/>
        <v>VELARDE</v>
      </c>
      <c r="H453" t="str">
        <f t="shared" si="30"/>
        <v>PASAPERA</v>
      </c>
      <c r="I453" t="str">
        <f t="shared" si="31"/>
        <v xml:space="preserve"> ANTONY BRANCO</v>
      </c>
    </row>
    <row r="454" spans="1:9" x14ac:dyDescent="0.25">
      <c r="A454" t="s">
        <v>791</v>
      </c>
      <c r="B454" t="s">
        <v>792</v>
      </c>
      <c r="C454" s="2">
        <v>36659</v>
      </c>
      <c r="D454" t="s">
        <v>1743</v>
      </c>
      <c r="F454" t="str">
        <f t="shared" si="28"/>
        <v>BAUTISTA QUINTANILLA</v>
      </c>
      <c r="G454" t="str">
        <f t="shared" si="29"/>
        <v>BAUTISTA</v>
      </c>
      <c r="H454" t="str">
        <f t="shared" si="30"/>
        <v>QUINTANILLA</v>
      </c>
      <c r="I454" t="str">
        <f t="shared" si="31"/>
        <v xml:space="preserve"> URIEL AUGUSTO</v>
      </c>
    </row>
    <row r="455" spans="1:9" x14ac:dyDescent="0.25">
      <c r="A455" t="s">
        <v>793</v>
      </c>
      <c r="B455" t="s">
        <v>794</v>
      </c>
      <c r="C455" s="2">
        <v>36408</v>
      </c>
      <c r="D455" t="s">
        <v>1743</v>
      </c>
      <c r="F455" t="str">
        <f t="shared" si="28"/>
        <v>CARDOZO JARA</v>
      </c>
      <c r="G455" t="str">
        <f t="shared" si="29"/>
        <v>CARDOZO</v>
      </c>
      <c r="H455" t="str">
        <f t="shared" si="30"/>
        <v>JARA</v>
      </c>
      <c r="I455" t="str">
        <f t="shared" si="31"/>
        <v xml:space="preserve"> LUIS GUSTAVO</v>
      </c>
    </row>
    <row r="456" spans="1:9" x14ac:dyDescent="0.25">
      <c r="A456" t="s">
        <v>795</v>
      </c>
      <c r="B456" t="s">
        <v>796</v>
      </c>
      <c r="C456" s="2">
        <v>34534</v>
      </c>
      <c r="D456" t="s">
        <v>1743</v>
      </c>
      <c r="F456" t="str">
        <f t="shared" si="28"/>
        <v>HUAMANCAYO GARCIA</v>
      </c>
      <c r="G456" t="str">
        <f t="shared" si="29"/>
        <v>HUAMANCAYO</v>
      </c>
      <c r="H456" t="str">
        <f t="shared" si="30"/>
        <v>GARCIA</v>
      </c>
      <c r="I456" t="str">
        <f t="shared" si="31"/>
        <v xml:space="preserve"> JUNIOR</v>
      </c>
    </row>
    <row r="457" spans="1:9" x14ac:dyDescent="0.25">
      <c r="A457" t="s">
        <v>797</v>
      </c>
      <c r="B457" t="s">
        <v>798</v>
      </c>
      <c r="C457" s="2">
        <v>34451</v>
      </c>
      <c r="D457" t="s">
        <v>1743</v>
      </c>
      <c r="F457" t="str">
        <f t="shared" si="28"/>
        <v>GONZALES VICENTE</v>
      </c>
      <c r="G457" t="str">
        <f t="shared" si="29"/>
        <v>GONZALES</v>
      </c>
      <c r="H457" t="str">
        <f t="shared" si="30"/>
        <v>VICENTE</v>
      </c>
      <c r="I457" t="str">
        <f t="shared" si="31"/>
        <v xml:space="preserve"> JACK FELIPE</v>
      </c>
    </row>
    <row r="458" spans="1:9" x14ac:dyDescent="0.25">
      <c r="A458" t="s">
        <v>799</v>
      </c>
      <c r="B458" t="s">
        <v>800</v>
      </c>
      <c r="C458" s="2">
        <v>35448</v>
      </c>
      <c r="D458" t="s">
        <v>1744</v>
      </c>
      <c r="F458" t="str">
        <f t="shared" si="28"/>
        <v>LAZARTE ACOSTA</v>
      </c>
      <c r="G458" t="str">
        <f t="shared" si="29"/>
        <v>LAZARTE</v>
      </c>
      <c r="H458" t="str">
        <f t="shared" si="30"/>
        <v>ACOSTA</v>
      </c>
      <c r="I458" t="str">
        <f t="shared" si="31"/>
        <v xml:space="preserve"> BELEN ALEXANDRA</v>
      </c>
    </row>
    <row r="459" spans="1:9" x14ac:dyDescent="0.25">
      <c r="A459" t="s">
        <v>801</v>
      </c>
      <c r="B459" t="s">
        <v>802</v>
      </c>
      <c r="C459" s="2">
        <v>36305</v>
      </c>
      <c r="D459" t="s">
        <v>1743</v>
      </c>
      <c r="F459" t="str">
        <f t="shared" si="28"/>
        <v>VELASQUEZ PACHERRE</v>
      </c>
      <c r="G459" t="str">
        <f t="shared" si="29"/>
        <v>VELASQUEZ</v>
      </c>
      <c r="H459" t="str">
        <f t="shared" si="30"/>
        <v>PACHERRE</v>
      </c>
      <c r="I459" t="str">
        <f t="shared" si="31"/>
        <v xml:space="preserve"> KEVIN GABRIEL</v>
      </c>
    </row>
    <row r="460" spans="1:9" x14ac:dyDescent="0.25">
      <c r="A460" t="s">
        <v>803</v>
      </c>
      <c r="B460" t="s">
        <v>804</v>
      </c>
      <c r="C460" s="2">
        <v>35338</v>
      </c>
      <c r="D460" t="s">
        <v>1743</v>
      </c>
      <c r="F460" t="str">
        <f t="shared" si="28"/>
        <v>TRUJILLO JULCA</v>
      </c>
      <c r="G460" t="str">
        <f t="shared" si="29"/>
        <v>TRUJILLO</v>
      </c>
      <c r="H460" t="str">
        <f t="shared" si="30"/>
        <v>JULCA</v>
      </c>
      <c r="I460" t="str">
        <f t="shared" si="31"/>
        <v xml:space="preserve"> PABLO</v>
      </c>
    </row>
    <row r="461" spans="1:9" x14ac:dyDescent="0.25">
      <c r="A461" t="s">
        <v>805</v>
      </c>
      <c r="B461" t="s">
        <v>806</v>
      </c>
      <c r="C461" s="2">
        <v>35511</v>
      </c>
      <c r="D461" t="s">
        <v>1743</v>
      </c>
      <c r="E461" t="s">
        <v>1581</v>
      </c>
      <c r="F461" t="str">
        <f t="shared" si="28"/>
        <v>MUCHA ESPIRITU</v>
      </c>
      <c r="G461" t="str">
        <f t="shared" si="29"/>
        <v>MUCHA</v>
      </c>
      <c r="H461" t="str">
        <f t="shared" si="30"/>
        <v>ESPIRITU</v>
      </c>
      <c r="I461" t="str">
        <f t="shared" si="31"/>
        <v xml:space="preserve"> BLADIMIR</v>
      </c>
    </row>
    <row r="462" spans="1:9" x14ac:dyDescent="0.25">
      <c r="A462" t="s">
        <v>807</v>
      </c>
      <c r="B462" t="s">
        <v>808</v>
      </c>
      <c r="C462" s="2">
        <v>36300</v>
      </c>
      <c r="D462" t="s">
        <v>1743</v>
      </c>
      <c r="F462" t="str">
        <f t="shared" si="28"/>
        <v>HUAMAN ALIAGA</v>
      </c>
      <c r="G462" t="str">
        <f t="shared" si="29"/>
        <v>HUAMAN</v>
      </c>
      <c r="H462" t="str">
        <f t="shared" si="30"/>
        <v>ALIAGA</v>
      </c>
      <c r="I462" t="str">
        <f t="shared" si="31"/>
        <v xml:space="preserve"> JEAN PIERRE ALEJANDRO</v>
      </c>
    </row>
    <row r="463" spans="1:9" x14ac:dyDescent="0.25">
      <c r="A463" t="s">
        <v>809</v>
      </c>
      <c r="B463" t="s">
        <v>810</v>
      </c>
      <c r="C463" s="2">
        <v>31783</v>
      </c>
      <c r="D463" t="s">
        <v>1743</v>
      </c>
      <c r="F463" t="str">
        <f t="shared" si="28"/>
        <v>PANDURO RAMOS</v>
      </c>
      <c r="G463" t="str">
        <f t="shared" si="29"/>
        <v>PANDURO</v>
      </c>
      <c r="H463" t="str">
        <f t="shared" si="30"/>
        <v>RAMOS</v>
      </c>
      <c r="I463" t="str">
        <f t="shared" si="31"/>
        <v xml:space="preserve"> CHRISTIAN JESUS</v>
      </c>
    </row>
    <row r="464" spans="1:9" x14ac:dyDescent="0.25">
      <c r="A464" t="s">
        <v>811</v>
      </c>
      <c r="B464" t="s">
        <v>812</v>
      </c>
      <c r="C464" s="2">
        <v>30862</v>
      </c>
      <c r="D464" t="s">
        <v>1743</v>
      </c>
      <c r="F464" t="str">
        <f t="shared" si="28"/>
        <v>CCALLO CHOQUEHUANCA</v>
      </c>
      <c r="G464" t="str">
        <f t="shared" si="29"/>
        <v>CCALLO</v>
      </c>
      <c r="H464" t="str">
        <f t="shared" si="30"/>
        <v>CHOQUEHUANCA</v>
      </c>
      <c r="I464" t="str">
        <f t="shared" si="31"/>
        <v xml:space="preserve"> JESÚS ERASMO </v>
      </c>
    </row>
    <row r="465" spans="1:9" x14ac:dyDescent="0.25">
      <c r="A465" t="s">
        <v>813</v>
      </c>
      <c r="B465" t="s">
        <v>814</v>
      </c>
      <c r="C465" s="2">
        <v>35824</v>
      </c>
      <c r="D465" t="s">
        <v>1743</v>
      </c>
      <c r="F465" t="str">
        <f t="shared" si="28"/>
        <v>VALENZUELA BARROSO</v>
      </c>
      <c r="G465" t="str">
        <f t="shared" si="29"/>
        <v>VALENZUELA</v>
      </c>
      <c r="H465" t="str">
        <f t="shared" si="30"/>
        <v>BARROSO</v>
      </c>
      <c r="I465" t="str">
        <f t="shared" si="31"/>
        <v xml:space="preserve"> EDUARDO</v>
      </c>
    </row>
    <row r="466" spans="1:9" x14ac:dyDescent="0.25">
      <c r="A466" t="s">
        <v>815</v>
      </c>
      <c r="B466" t="s">
        <v>816</v>
      </c>
      <c r="C466" s="2">
        <v>30082</v>
      </c>
      <c r="D466" t="s">
        <v>1743</v>
      </c>
      <c r="F466" t="str">
        <f t="shared" si="28"/>
        <v>ROJAS TUMBA</v>
      </c>
      <c r="G466" t="str">
        <f t="shared" si="29"/>
        <v>ROJAS</v>
      </c>
      <c r="H466" t="str">
        <f t="shared" si="30"/>
        <v>TUMBA</v>
      </c>
      <c r="I466" t="str">
        <f t="shared" si="31"/>
        <v xml:space="preserve"> MARIO MANUEL</v>
      </c>
    </row>
    <row r="467" spans="1:9" x14ac:dyDescent="0.25">
      <c r="A467" t="s">
        <v>817</v>
      </c>
      <c r="B467" t="s">
        <v>818</v>
      </c>
      <c r="C467" s="2">
        <v>37722</v>
      </c>
      <c r="D467" t="s">
        <v>1743</v>
      </c>
      <c r="F467" t="str">
        <f t="shared" si="28"/>
        <v>SANCHO HUARSAYA</v>
      </c>
      <c r="G467" t="str">
        <f t="shared" si="29"/>
        <v>SANCHO</v>
      </c>
      <c r="H467" t="str">
        <f t="shared" si="30"/>
        <v>HUARSAYA</v>
      </c>
      <c r="I467" t="str">
        <f t="shared" si="31"/>
        <v xml:space="preserve"> YERSON FABRISIO</v>
      </c>
    </row>
    <row r="468" spans="1:9" x14ac:dyDescent="0.25">
      <c r="A468" t="s">
        <v>819</v>
      </c>
      <c r="B468" t="s">
        <v>820</v>
      </c>
      <c r="C468" s="2">
        <v>31146</v>
      </c>
      <c r="D468" t="s">
        <v>1743</v>
      </c>
      <c r="F468" t="str">
        <f t="shared" si="28"/>
        <v>VICTORIO SERNA</v>
      </c>
      <c r="G468" t="str">
        <f t="shared" si="29"/>
        <v>VICTORIO</v>
      </c>
      <c r="H468" t="str">
        <f t="shared" si="30"/>
        <v>SERNA</v>
      </c>
      <c r="I468" t="str">
        <f t="shared" si="31"/>
        <v xml:space="preserve"> JHONSON</v>
      </c>
    </row>
    <row r="469" spans="1:9" x14ac:dyDescent="0.25">
      <c r="A469" t="s">
        <v>821</v>
      </c>
      <c r="B469" t="s">
        <v>822</v>
      </c>
      <c r="C469" s="2">
        <v>32764</v>
      </c>
      <c r="D469" t="s">
        <v>1743</v>
      </c>
      <c r="F469" t="str">
        <f t="shared" si="28"/>
        <v>VIDAL CARAZAS</v>
      </c>
      <c r="G469" t="str">
        <f t="shared" si="29"/>
        <v>VIDAL</v>
      </c>
      <c r="H469" t="str">
        <f t="shared" si="30"/>
        <v>CARAZAS</v>
      </c>
      <c r="I469" t="str">
        <f t="shared" si="31"/>
        <v xml:space="preserve"> XUAN ARMANDO</v>
      </c>
    </row>
    <row r="470" spans="1:9" x14ac:dyDescent="0.25">
      <c r="A470" t="s">
        <v>823</v>
      </c>
      <c r="B470" t="s">
        <v>824</v>
      </c>
      <c r="C470" s="2">
        <v>37575</v>
      </c>
      <c r="D470" t="s">
        <v>1743</v>
      </c>
      <c r="F470" t="str">
        <f t="shared" si="28"/>
        <v>BALDEON SALAZAR</v>
      </c>
      <c r="G470" t="str">
        <f t="shared" si="29"/>
        <v>BALDEON</v>
      </c>
      <c r="H470" t="str">
        <f t="shared" si="30"/>
        <v>SALAZAR</v>
      </c>
      <c r="I470" t="str">
        <f t="shared" si="31"/>
        <v xml:space="preserve"> JESUS WALTER HUMBERTO</v>
      </c>
    </row>
    <row r="471" spans="1:9" x14ac:dyDescent="0.25">
      <c r="A471" t="s">
        <v>825</v>
      </c>
      <c r="B471" t="s">
        <v>826</v>
      </c>
      <c r="C471" s="2">
        <v>31657</v>
      </c>
      <c r="D471" t="s">
        <v>1743</v>
      </c>
      <c r="F471" t="str">
        <f t="shared" si="28"/>
        <v>LLONTOP MONTES</v>
      </c>
      <c r="G471" t="str">
        <f t="shared" si="29"/>
        <v>LLONTOP</v>
      </c>
      <c r="H471" t="str">
        <f t="shared" si="30"/>
        <v>MONTES</v>
      </c>
      <c r="I471" t="str">
        <f t="shared" si="31"/>
        <v xml:space="preserve"> LUIS ALFREDO</v>
      </c>
    </row>
    <row r="472" spans="1:9" x14ac:dyDescent="0.25">
      <c r="A472" t="s">
        <v>719</v>
      </c>
      <c r="B472" t="s">
        <v>720</v>
      </c>
      <c r="C472" s="2">
        <v>35741</v>
      </c>
      <c r="D472" t="s">
        <v>1743</v>
      </c>
      <c r="F472" t="str">
        <f t="shared" si="28"/>
        <v>PHACSI CRUZ</v>
      </c>
      <c r="G472" t="str">
        <f t="shared" si="29"/>
        <v>PHACSI</v>
      </c>
      <c r="H472" t="str">
        <f t="shared" si="30"/>
        <v>CRUZ</v>
      </c>
      <c r="I472" t="str">
        <f t="shared" si="31"/>
        <v xml:space="preserve"> HERNAN</v>
      </c>
    </row>
    <row r="473" spans="1:9" x14ac:dyDescent="0.25">
      <c r="A473" t="s">
        <v>827</v>
      </c>
      <c r="B473" t="s">
        <v>828</v>
      </c>
      <c r="C473" s="2">
        <v>37072</v>
      </c>
      <c r="D473" t="s">
        <v>1743</v>
      </c>
      <c r="F473" t="str">
        <f t="shared" si="28"/>
        <v>HENRIQUEZ CRISPIN</v>
      </c>
      <c r="G473" t="str">
        <f t="shared" si="29"/>
        <v>HENRIQUEZ</v>
      </c>
      <c r="H473" t="str">
        <f t="shared" si="30"/>
        <v>CRISPIN</v>
      </c>
      <c r="I473" t="str">
        <f t="shared" si="31"/>
        <v xml:space="preserve"> BRAD</v>
      </c>
    </row>
    <row r="474" spans="1:9" x14ac:dyDescent="0.25">
      <c r="A474" t="s">
        <v>397</v>
      </c>
      <c r="B474" t="s">
        <v>398</v>
      </c>
      <c r="C474" s="2">
        <v>32524</v>
      </c>
      <c r="D474" t="s">
        <v>1743</v>
      </c>
      <c r="F474" t="str">
        <f t="shared" si="28"/>
        <v>HUAMAN SUPA</v>
      </c>
      <c r="G474" t="str">
        <f t="shared" si="29"/>
        <v>HUAMAN</v>
      </c>
      <c r="H474" t="str">
        <f t="shared" si="30"/>
        <v>SUPA</v>
      </c>
      <c r="I474" t="str">
        <f t="shared" si="31"/>
        <v xml:space="preserve"> LUIS ALBERTO</v>
      </c>
    </row>
    <row r="475" spans="1:9" x14ac:dyDescent="0.25">
      <c r="A475" t="s">
        <v>829</v>
      </c>
      <c r="B475" t="s">
        <v>830</v>
      </c>
      <c r="C475" s="2">
        <v>37272</v>
      </c>
      <c r="D475" t="s">
        <v>1743</v>
      </c>
      <c r="F475" t="str">
        <f t="shared" si="28"/>
        <v>ROBLEDILLO DEL CASTILLO</v>
      </c>
      <c r="G475" t="str">
        <f t="shared" si="29"/>
        <v>ROBLEDILLO</v>
      </c>
      <c r="H475" t="str">
        <f t="shared" si="30"/>
        <v>DEL CASTILLO</v>
      </c>
      <c r="I475" t="str">
        <f t="shared" si="31"/>
        <v xml:space="preserve"> MARCELO</v>
      </c>
    </row>
    <row r="476" spans="1:9" x14ac:dyDescent="0.25">
      <c r="A476" t="s">
        <v>831</v>
      </c>
      <c r="B476" t="s">
        <v>832</v>
      </c>
      <c r="C476" s="2">
        <v>37430</v>
      </c>
      <c r="D476" t="s">
        <v>1743</v>
      </c>
      <c r="F476" t="str">
        <f t="shared" si="28"/>
        <v>GUANILO GALLARDO</v>
      </c>
      <c r="G476" t="str">
        <f t="shared" si="29"/>
        <v>GUANILO</v>
      </c>
      <c r="H476" t="str">
        <f t="shared" si="30"/>
        <v>GALLARDO</v>
      </c>
      <c r="I476" t="str">
        <f t="shared" si="31"/>
        <v xml:space="preserve"> RAFAEL AUGUSTO</v>
      </c>
    </row>
    <row r="477" spans="1:9" x14ac:dyDescent="0.25">
      <c r="A477" t="s">
        <v>833</v>
      </c>
      <c r="B477" t="s">
        <v>834</v>
      </c>
      <c r="C477" s="2">
        <v>34920</v>
      </c>
      <c r="D477" t="s">
        <v>1743</v>
      </c>
      <c r="F477" t="str">
        <f t="shared" si="28"/>
        <v>SALDAÑA COSTA</v>
      </c>
      <c r="G477" t="str">
        <f t="shared" si="29"/>
        <v>SALDAÑA</v>
      </c>
      <c r="H477" t="str">
        <f t="shared" si="30"/>
        <v>COSTA</v>
      </c>
      <c r="I477" t="str">
        <f t="shared" si="31"/>
        <v xml:space="preserve"> KEVIN JOSEPH</v>
      </c>
    </row>
    <row r="478" spans="1:9" x14ac:dyDescent="0.25">
      <c r="A478" t="s">
        <v>835</v>
      </c>
      <c r="B478" t="s">
        <v>836</v>
      </c>
      <c r="C478" s="2">
        <v>25532</v>
      </c>
      <c r="D478" t="s">
        <v>1743</v>
      </c>
      <c r="F478" t="str">
        <f t="shared" si="28"/>
        <v>ALCALA GALLARDO</v>
      </c>
      <c r="G478" t="str">
        <f t="shared" si="29"/>
        <v>ALCALA</v>
      </c>
      <c r="H478" t="str">
        <f t="shared" si="30"/>
        <v>GALLARDO</v>
      </c>
      <c r="I478" t="str">
        <f t="shared" si="31"/>
        <v xml:space="preserve">  JOSE VICTOR MARTIN</v>
      </c>
    </row>
    <row r="479" spans="1:9" x14ac:dyDescent="0.25">
      <c r="A479" t="s">
        <v>837</v>
      </c>
      <c r="B479" t="s">
        <v>838</v>
      </c>
      <c r="C479" s="2">
        <v>34138</v>
      </c>
      <c r="D479" t="s">
        <v>1743</v>
      </c>
      <c r="F479" t="str">
        <f t="shared" si="28"/>
        <v>CASTILLO CASTILLO</v>
      </c>
      <c r="G479" t="str">
        <f t="shared" si="29"/>
        <v>CASTILLO</v>
      </c>
      <c r="H479" t="str">
        <f t="shared" si="30"/>
        <v>CASTILLO</v>
      </c>
      <c r="I479" t="str">
        <f t="shared" si="31"/>
        <v xml:space="preserve"> MANUEL ZEUXIS VICTOR JOHN </v>
      </c>
    </row>
    <row r="480" spans="1:9" x14ac:dyDescent="0.25">
      <c r="A480" t="s">
        <v>839</v>
      </c>
      <c r="B480" t="s">
        <v>840</v>
      </c>
      <c r="C480" s="2">
        <v>35146</v>
      </c>
      <c r="D480" t="s">
        <v>1743</v>
      </c>
      <c r="F480" t="str">
        <f t="shared" si="28"/>
        <v>ESTRELLA SALOMÉ</v>
      </c>
      <c r="G480" t="str">
        <f t="shared" si="29"/>
        <v>ESTRELLA</v>
      </c>
      <c r="H480" t="str">
        <f t="shared" si="30"/>
        <v>SALOMÉ</v>
      </c>
      <c r="I480" t="str">
        <f t="shared" si="31"/>
        <v xml:space="preserve"> JEAN MANUEL</v>
      </c>
    </row>
    <row r="481" spans="1:9" x14ac:dyDescent="0.25">
      <c r="A481" t="s">
        <v>445</v>
      </c>
      <c r="B481" t="s">
        <v>446</v>
      </c>
      <c r="C481" s="2">
        <v>37022</v>
      </c>
      <c r="D481" t="s">
        <v>1743</v>
      </c>
      <c r="F481" t="str">
        <f t="shared" si="28"/>
        <v>MEGO ALARCON</v>
      </c>
      <c r="G481" t="str">
        <f t="shared" si="29"/>
        <v>MEGO</v>
      </c>
      <c r="H481" t="str">
        <f t="shared" si="30"/>
        <v>ALARCON</v>
      </c>
      <c r="I481" t="str">
        <f t="shared" si="31"/>
        <v xml:space="preserve"> FELLY ROSARIO</v>
      </c>
    </row>
    <row r="482" spans="1:9" x14ac:dyDescent="0.25">
      <c r="A482" t="s">
        <v>841</v>
      </c>
      <c r="B482" t="s">
        <v>842</v>
      </c>
      <c r="C482" s="2">
        <v>35429</v>
      </c>
      <c r="D482" t="s">
        <v>1744</v>
      </c>
      <c r="F482" t="str">
        <f t="shared" si="28"/>
        <v>MENDIZABAL VELASQUEZ</v>
      </c>
      <c r="G482" t="str">
        <f t="shared" si="29"/>
        <v>MENDIZABAL</v>
      </c>
      <c r="H482" t="str">
        <f t="shared" si="30"/>
        <v>VELASQUEZ</v>
      </c>
      <c r="I482" t="str">
        <f t="shared" si="31"/>
        <v xml:space="preserve"> KARLA ESTHER</v>
      </c>
    </row>
    <row r="483" spans="1:9" x14ac:dyDescent="0.25">
      <c r="A483" t="s">
        <v>843</v>
      </c>
      <c r="B483" t="s">
        <v>844</v>
      </c>
      <c r="C483" s="2">
        <v>36060</v>
      </c>
      <c r="D483" t="s">
        <v>1743</v>
      </c>
      <c r="F483" t="str">
        <f t="shared" si="28"/>
        <v>PAREDES TELLO</v>
      </c>
      <c r="G483" t="str">
        <f t="shared" si="29"/>
        <v>PAREDES</v>
      </c>
      <c r="H483" t="str">
        <f t="shared" si="30"/>
        <v>TELLO</v>
      </c>
      <c r="I483" t="str">
        <f t="shared" si="31"/>
        <v xml:space="preserve"> OWIN RENATO</v>
      </c>
    </row>
    <row r="484" spans="1:9" x14ac:dyDescent="0.25">
      <c r="A484" t="s">
        <v>845</v>
      </c>
      <c r="B484" t="s">
        <v>846</v>
      </c>
      <c r="C484" s="2">
        <v>32737</v>
      </c>
      <c r="D484" t="s">
        <v>1743</v>
      </c>
      <c r="F484" t="str">
        <f t="shared" si="28"/>
        <v>VASQUEZ SANDOVAL</v>
      </c>
      <c r="G484" t="str">
        <f t="shared" si="29"/>
        <v>VASQUEZ</v>
      </c>
      <c r="H484" t="str">
        <f t="shared" si="30"/>
        <v>SANDOVAL</v>
      </c>
      <c r="I484" t="str">
        <f t="shared" si="31"/>
        <v xml:space="preserve"> JUNIOR EDINSON </v>
      </c>
    </row>
    <row r="485" spans="1:9" x14ac:dyDescent="0.25">
      <c r="A485" t="s">
        <v>847</v>
      </c>
      <c r="B485" t="s">
        <v>848</v>
      </c>
      <c r="C485" s="2">
        <v>36158</v>
      </c>
      <c r="D485" t="s">
        <v>1743</v>
      </c>
      <c r="F485" t="str">
        <f t="shared" si="28"/>
        <v>RUIZ CALDERÓN</v>
      </c>
      <c r="G485" t="str">
        <f t="shared" si="29"/>
        <v>RUIZ</v>
      </c>
      <c r="H485" t="str">
        <f t="shared" si="30"/>
        <v>CALDERÓN</v>
      </c>
      <c r="I485" t="str">
        <f t="shared" si="31"/>
        <v xml:space="preserve"> JACK LEANDRO</v>
      </c>
    </row>
    <row r="486" spans="1:9" x14ac:dyDescent="0.25">
      <c r="A486" t="s">
        <v>849</v>
      </c>
      <c r="B486" t="s">
        <v>850</v>
      </c>
      <c r="C486" s="2">
        <v>32867</v>
      </c>
      <c r="D486" t="s">
        <v>1743</v>
      </c>
      <c r="F486" t="str">
        <f t="shared" si="28"/>
        <v>PAREDES ROJAS</v>
      </c>
      <c r="G486" t="str">
        <f t="shared" si="29"/>
        <v>PAREDES</v>
      </c>
      <c r="H486" t="str">
        <f t="shared" si="30"/>
        <v>ROJAS</v>
      </c>
      <c r="I486" t="str">
        <f t="shared" si="31"/>
        <v xml:space="preserve"> PIERO ANTONIO</v>
      </c>
    </row>
    <row r="487" spans="1:9" x14ac:dyDescent="0.25">
      <c r="A487" t="s">
        <v>851</v>
      </c>
      <c r="B487" t="s">
        <v>852</v>
      </c>
      <c r="C487" s="2">
        <v>30871</v>
      </c>
      <c r="D487" t="s">
        <v>1743</v>
      </c>
      <c r="F487" t="str">
        <f t="shared" si="28"/>
        <v>BARDALES AGUILA</v>
      </c>
      <c r="G487" t="str">
        <f t="shared" si="29"/>
        <v>BARDALES</v>
      </c>
      <c r="H487" t="str">
        <f t="shared" si="30"/>
        <v>AGUILA</v>
      </c>
      <c r="I487" t="str">
        <f t="shared" si="31"/>
        <v xml:space="preserve"> JULIO CARLOS</v>
      </c>
    </row>
    <row r="488" spans="1:9" x14ac:dyDescent="0.25">
      <c r="A488" t="s">
        <v>853</v>
      </c>
      <c r="B488" t="s">
        <v>854</v>
      </c>
      <c r="C488" s="2">
        <v>36984</v>
      </c>
      <c r="D488" t="s">
        <v>1743</v>
      </c>
      <c r="E488" t="s">
        <v>1582</v>
      </c>
      <c r="F488" t="str">
        <f t="shared" si="28"/>
        <v>CASQUI GARCIA</v>
      </c>
      <c r="G488" t="str">
        <f t="shared" si="29"/>
        <v>CASQUI</v>
      </c>
      <c r="H488" t="str">
        <f t="shared" si="30"/>
        <v>GARCIA</v>
      </c>
      <c r="I488" t="str">
        <f t="shared" si="31"/>
        <v xml:space="preserve"> ALEXANDER JHON</v>
      </c>
    </row>
    <row r="489" spans="1:9" x14ac:dyDescent="0.25">
      <c r="A489" t="s">
        <v>855</v>
      </c>
      <c r="B489" t="s">
        <v>856</v>
      </c>
      <c r="C489" s="2">
        <v>36784</v>
      </c>
      <c r="D489" t="s">
        <v>1743</v>
      </c>
      <c r="F489" t="str">
        <f t="shared" si="28"/>
        <v>ROJAS IPANAQUE</v>
      </c>
      <c r="G489" t="str">
        <f t="shared" si="29"/>
        <v>ROJAS</v>
      </c>
      <c r="H489" t="str">
        <f t="shared" si="30"/>
        <v>IPANAQUE</v>
      </c>
      <c r="I489" t="str">
        <f t="shared" si="31"/>
        <v xml:space="preserve"> LUIS MIGUEL</v>
      </c>
    </row>
    <row r="490" spans="1:9" x14ac:dyDescent="0.25">
      <c r="A490" t="s">
        <v>857</v>
      </c>
      <c r="B490" t="s">
        <v>858</v>
      </c>
      <c r="C490" s="2">
        <v>30997</v>
      </c>
      <c r="D490" t="s">
        <v>1743</v>
      </c>
      <c r="F490" t="str">
        <f t="shared" si="28"/>
        <v>QUIÑONES ALEJO</v>
      </c>
      <c r="G490" t="str">
        <f t="shared" si="29"/>
        <v>QUIÑONES</v>
      </c>
      <c r="H490" t="str">
        <f t="shared" si="30"/>
        <v>ALEJO</v>
      </c>
      <c r="I490" t="str">
        <f t="shared" si="31"/>
        <v xml:space="preserve"> MIGUEL SANTOS</v>
      </c>
    </row>
    <row r="491" spans="1:9" x14ac:dyDescent="0.25">
      <c r="A491" t="s">
        <v>859</v>
      </c>
      <c r="B491" t="s">
        <v>860</v>
      </c>
      <c r="C491" s="2">
        <v>32511</v>
      </c>
      <c r="D491" t="s">
        <v>1743</v>
      </c>
      <c r="F491" t="str">
        <f t="shared" si="28"/>
        <v>CAMPOS MORALES</v>
      </c>
      <c r="G491" t="str">
        <f t="shared" si="29"/>
        <v>CAMPOS</v>
      </c>
      <c r="H491" t="str">
        <f t="shared" si="30"/>
        <v>MORALES</v>
      </c>
      <c r="I491" t="str">
        <f t="shared" si="31"/>
        <v xml:space="preserve"> JUAN CARLOS</v>
      </c>
    </row>
    <row r="492" spans="1:9" x14ac:dyDescent="0.25">
      <c r="A492" t="s">
        <v>861</v>
      </c>
      <c r="B492" t="s">
        <v>862</v>
      </c>
      <c r="C492" s="2">
        <v>36497</v>
      </c>
      <c r="D492" t="s">
        <v>1743</v>
      </c>
      <c r="F492" t="str">
        <f t="shared" si="28"/>
        <v>HERNANDEZ CONDE</v>
      </c>
      <c r="G492" t="str">
        <f t="shared" si="29"/>
        <v>HERNANDEZ</v>
      </c>
      <c r="H492" t="str">
        <f t="shared" si="30"/>
        <v>CONDE</v>
      </c>
      <c r="I492" t="str">
        <f t="shared" si="31"/>
        <v xml:space="preserve"> ANTONIO JESUS</v>
      </c>
    </row>
    <row r="493" spans="1:9" x14ac:dyDescent="0.25">
      <c r="A493" t="s">
        <v>723</v>
      </c>
      <c r="B493" t="s">
        <v>724</v>
      </c>
      <c r="C493" s="2">
        <v>33319</v>
      </c>
      <c r="D493" t="s">
        <v>1743</v>
      </c>
      <c r="F493" t="str">
        <f t="shared" si="28"/>
        <v>GUZMAN TEJEDA</v>
      </c>
      <c r="G493" t="str">
        <f t="shared" si="29"/>
        <v>GUZMAN</v>
      </c>
      <c r="H493" t="str">
        <f t="shared" si="30"/>
        <v>TEJEDA</v>
      </c>
      <c r="I493" t="str">
        <f t="shared" si="31"/>
        <v xml:space="preserve"> SAUL MOISES</v>
      </c>
    </row>
    <row r="494" spans="1:9" x14ac:dyDescent="0.25">
      <c r="A494" t="s">
        <v>863</v>
      </c>
      <c r="B494" t="s">
        <v>864</v>
      </c>
      <c r="C494" s="2">
        <v>36052</v>
      </c>
      <c r="D494" t="s">
        <v>1743</v>
      </c>
      <c r="F494" t="str">
        <f t="shared" si="28"/>
        <v>DONAIRES GABRIEL</v>
      </c>
      <c r="G494" t="str">
        <f t="shared" si="29"/>
        <v>DONAIRES</v>
      </c>
      <c r="H494" t="str">
        <f t="shared" si="30"/>
        <v>GABRIEL</v>
      </c>
      <c r="I494" t="str">
        <f t="shared" si="31"/>
        <v xml:space="preserve"> ERICK VLADIMIR</v>
      </c>
    </row>
    <row r="495" spans="1:9" x14ac:dyDescent="0.25">
      <c r="A495" t="s">
        <v>865</v>
      </c>
      <c r="B495" t="s">
        <v>866</v>
      </c>
      <c r="C495" s="2">
        <v>37525</v>
      </c>
      <c r="D495" t="s">
        <v>1743</v>
      </c>
      <c r="F495" t="str">
        <f t="shared" si="28"/>
        <v>RAMIREZ PAUCAR</v>
      </c>
      <c r="G495" t="str">
        <f t="shared" si="29"/>
        <v>RAMIREZ</v>
      </c>
      <c r="H495" t="str">
        <f t="shared" si="30"/>
        <v>PAUCAR</v>
      </c>
      <c r="I495" t="str">
        <f t="shared" si="31"/>
        <v xml:space="preserve"> ALVARO DANIEL</v>
      </c>
    </row>
    <row r="496" spans="1:9" x14ac:dyDescent="0.25">
      <c r="A496" t="s">
        <v>867</v>
      </c>
      <c r="B496" t="s">
        <v>868</v>
      </c>
      <c r="C496" s="2">
        <v>37604</v>
      </c>
      <c r="D496" t="s">
        <v>1743</v>
      </c>
      <c r="F496" t="str">
        <f t="shared" si="28"/>
        <v>RIVAS CINCE</v>
      </c>
      <c r="G496" t="str">
        <f t="shared" si="29"/>
        <v>RIVAS</v>
      </c>
      <c r="H496" t="str">
        <f t="shared" si="30"/>
        <v>CINCE</v>
      </c>
      <c r="I496" t="str">
        <f t="shared" si="31"/>
        <v xml:space="preserve"> MAYCOLT JORDI</v>
      </c>
    </row>
    <row r="497" spans="1:9" x14ac:dyDescent="0.25">
      <c r="A497" t="s">
        <v>869</v>
      </c>
      <c r="B497" t="s">
        <v>870</v>
      </c>
      <c r="C497" s="2">
        <v>34857</v>
      </c>
      <c r="D497" t="s">
        <v>1743</v>
      </c>
      <c r="F497" t="str">
        <f t="shared" si="28"/>
        <v>VALENCIA ASPILCUETA</v>
      </c>
      <c r="G497" t="str">
        <f t="shared" si="29"/>
        <v>VALENCIA</v>
      </c>
      <c r="H497" t="str">
        <f t="shared" si="30"/>
        <v>ASPILCUETA</v>
      </c>
      <c r="I497" t="str">
        <f t="shared" si="31"/>
        <v xml:space="preserve"> JOSE MAURICIO</v>
      </c>
    </row>
    <row r="498" spans="1:9" x14ac:dyDescent="0.25">
      <c r="A498" t="s">
        <v>871</v>
      </c>
      <c r="B498" t="s">
        <v>872</v>
      </c>
      <c r="C498" s="2">
        <v>36315</v>
      </c>
      <c r="D498" t="s">
        <v>1744</v>
      </c>
      <c r="F498" t="str">
        <f t="shared" si="28"/>
        <v>IDONE YUPANQUI</v>
      </c>
      <c r="G498" t="str">
        <f t="shared" si="29"/>
        <v>IDONE</v>
      </c>
      <c r="H498" t="str">
        <f t="shared" si="30"/>
        <v>YUPANQUI</v>
      </c>
      <c r="I498" t="str">
        <f t="shared" si="31"/>
        <v xml:space="preserve"> BRIGITT EMPERATRIZ</v>
      </c>
    </row>
    <row r="499" spans="1:9" x14ac:dyDescent="0.25">
      <c r="A499" t="s">
        <v>873</v>
      </c>
      <c r="B499" t="s">
        <v>874</v>
      </c>
      <c r="C499" s="2">
        <v>38228</v>
      </c>
      <c r="D499" t="s">
        <v>1743</v>
      </c>
      <c r="F499" t="str">
        <f t="shared" si="28"/>
        <v>CUBA HUACCACHI</v>
      </c>
      <c r="G499" t="str">
        <f t="shared" si="29"/>
        <v>CUBA</v>
      </c>
      <c r="H499" t="str">
        <f t="shared" si="30"/>
        <v>HUACCACHI</v>
      </c>
      <c r="I499" t="str">
        <f t="shared" si="31"/>
        <v xml:space="preserve"> MARCOS UBER</v>
      </c>
    </row>
    <row r="500" spans="1:9" x14ac:dyDescent="0.25">
      <c r="A500" t="s">
        <v>875</v>
      </c>
      <c r="B500" t="s">
        <v>876</v>
      </c>
      <c r="C500" s="2">
        <v>37748</v>
      </c>
      <c r="D500" t="s">
        <v>1743</v>
      </c>
      <c r="E500" t="s">
        <v>1583</v>
      </c>
      <c r="F500" t="str">
        <f t="shared" si="28"/>
        <v>YLLAHUAMAN CHIPANA</v>
      </c>
      <c r="G500" t="str">
        <f t="shared" si="29"/>
        <v>YLLAHUAMAN</v>
      </c>
      <c r="H500" t="str">
        <f t="shared" si="30"/>
        <v>CHIPANA</v>
      </c>
      <c r="I500" t="str">
        <f t="shared" si="31"/>
        <v xml:space="preserve"> JAN CARLOS</v>
      </c>
    </row>
    <row r="501" spans="1:9" x14ac:dyDescent="0.25">
      <c r="A501" t="s">
        <v>484</v>
      </c>
      <c r="B501" t="s">
        <v>485</v>
      </c>
      <c r="C501" s="2">
        <v>33950</v>
      </c>
      <c r="D501" t="s">
        <v>1743</v>
      </c>
      <c r="F501" t="str">
        <f t="shared" si="28"/>
        <v>ATAUCURI QUISPE</v>
      </c>
      <c r="G501" t="str">
        <f t="shared" si="29"/>
        <v>ATAUCURI</v>
      </c>
      <c r="H501" t="str">
        <f t="shared" si="30"/>
        <v>QUISPE</v>
      </c>
      <c r="I501" t="str">
        <f t="shared" si="31"/>
        <v xml:space="preserve"> RICHARD</v>
      </c>
    </row>
    <row r="502" spans="1:9" x14ac:dyDescent="0.25">
      <c r="A502" t="s">
        <v>877</v>
      </c>
      <c r="B502" t="s">
        <v>878</v>
      </c>
      <c r="C502" s="2">
        <v>31394</v>
      </c>
      <c r="D502" t="s">
        <v>1743</v>
      </c>
      <c r="F502" t="str">
        <f t="shared" si="28"/>
        <v>GARCIA ESPINOZA</v>
      </c>
      <c r="G502" t="str">
        <f t="shared" si="29"/>
        <v>GARCIA</v>
      </c>
      <c r="H502" t="str">
        <f t="shared" si="30"/>
        <v>ESPINOZA</v>
      </c>
      <c r="I502" t="str">
        <f t="shared" si="31"/>
        <v xml:space="preserve"> LUIS ENRIQUE</v>
      </c>
    </row>
    <row r="503" spans="1:9" x14ac:dyDescent="0.25">
      <c r="A503" t="s">
        <v>879</v>
      </c>
      <c r="B503" t="s">
        <v>880</v>
      </c>
      <c r="C503" s="2">
        <v>37303</v>
      </c>
      <c r="D503" t="s">
        <v>1743</v>
      </c>
      <c r="F503" t="str">
        <f t="shared" si="28"/>
        <v>RAYME LIMA</v>
      </c>
      <c r="G503" t="str">
        <f t="shared" si="29"/>
        <v>RAYME</v>
      </c>
      <c r="H503" t="str">
        <f t="shared" si="30"/>
        <v>LIMA</v>
      </c>
      <c r="I503" t="str">
        <f t="shared" si="31"/>
        <v xml:space="preserve"> JULIO CESAR</v>
      </c>
    </row>
    <row r="504" spans="1:9" x14ac:dyDescent="0.25">
      <c r="A504" t="s">
        <v>881</v>
      </c>
      <c r="B504" t="s">
        <v>882</v>
      </c>
      <c r="C504" s="2">
        <v>31566</v>
      </c>
      <c r="D504" t="s">
        <v>1743</v>
      </c>
      <c r="F504" t="str">
        <f t="shared" si="28"/>
        <v>VIVEROS ESTEVEZ</v>
      </c>
      <c r="G504" t="str">
        <f t="shared" si="29"/>
        <v>VIVEROS</v>
      </c>
      <c r="H504" t="str">
        <f t="shared" si="30"/>
        <v>ESTEVEZ</v>
      </c>
      <c r="I504" t="str">
        <f t="shared" si="31"/>
        <v xml:space="preserve"> RONALD</v>
      </c>
    </row>
    <row r="505" spans="1:9" x14ac:dyDescent="0.25">
      <c r="A505" t="s">
        <v>883</v>
      </c>
      <c r="B505" t="s">
        <v>884</v>
      </c>
      <c r="C505" s="2">
        <v>34051</v>
      </c>
      <c r="D505" t="s">
        <v>1743</v>
      </c>
      <c r="F505" t="str">
        <f t="shared" si="28"/>
        <v>HUIMAN VALVERDE</v>
      </c>
      <c r="G505" t="str">
        <f t="shared" si="29"/>
        <v>HUIMAN</v>
      </c>
      <c r="H505" t="str">
        <f t="shared" si="30"/>
        <v>VALVERDE</v>
      </c>
      <c r="I505" t="str">
        <f t="shared" si="31"/>
        <v xml:space="preserve"> JEAN CARLO</v>
      </c>
    </row>
    <row r="506" spans="1:9" x14ac:dyDescent="0.25">
      <c r="A506" t="s">
        <v>885</v>
      </c>
      <c r="B506" t="s">
        <v>886</v>
      </c>
      <c r="C506" s="2">
        <v>33766</v>
      </c>
      <c r="D506" t="s">
        <v>1743</v>
      </c>
      <c r="F506" t="str">
        <f t="shared" si="28"/>
        <v>GASTELU ZAVALA</v>
      </c>
      <c r="G506" t="str">
        <f t="shared" si="29"/>
        <v>GASTELU</v>
      </c>
      <c r="H506" t="str">
        <f t="shared" si="30"/>
        <v>ZAVALA</v>
      </c>
      <c r="I506" t="str">
        <f t="shared" si="31"/>
        <v xml:space="preserve"> JHONATAN DOUGLAS</v>
      </c>
    </row>
    <row r="507" spans="1:9" x14ac:dyDescent="0.25">
      <c r="A507" t="s">
        <v>887</v>
      </c>
      <c r="B507" t="s">
        <v>888</v>
      </c>
      <c r="C507" s="2">
        <v>28561</v>
      </c>
      <c r="D507" t="s">
        <v>1743</v>
      </c>
      <c r="E507" t="s">
        <v>1584</v>
      </c>
      <c r="F507" t="str">
        <f t="shared" si="28"/>
        <v>ORTIZ FIGUERAS</v>
      </c>
      <c r="G507" t="str">
        <f t="shared" si="29"/>
        <v>ORTIZ</v>
      </c>
      <c r="H507" t="str">
        <f t="shared" si="30"/>
        <v>FIGUERAS</v>
      </c>
      <c r="I507" t="str">
        <f t="shared" si="31"/>
        <v xml:space="preserve"> JARVIN RAFAEL</v>
      </c>
    </row>
    <row r="508" spans="1:9" x14ac:dyDescent="0.25">
      <c r="A508" t="s">
        <v>889</v>
      </c>
      <c r="B508" t="s">
        <v>453</v>
      </c>
      <c r="C508" s="2">
        <v>36232</v>
      </c>
      <c r="D508" t="s">
        <v>1743</v>
      </c>
      <c r="F508" t="str">
        <f t="shared" si="28"/>
        <v>RODRIGUEZ RISCO</v>
      </c>
      <c r="G508" t="str">
        <f t="shared" si="29"/>
        <v>RODRIGUEZ</v>
      </c>
      <c r="H508" t="str">
        <f t="shared" si="30"/>
        <v>RISCO</v>
      </c>
      <c r="I508" t="str">
        <f t="shared" si="31"/>
        <v xml:space="preserve"> CARLOS YAIR</v>
      </c>
    </row>
    <row r="509" spans="1:9" x14ac:dyDescent="0.25">
      <c r="A509" t="s">
        <v>588</v>
      </c>
      <c r="B509" t="s">
        <v>589</v>
      </c>
      <c r="C509" s="2">
        <v>35965</v>
      </c>
      <c r="D509" t="s">
        <v>1743</v>
      </c>
      <c r="F509" t="str">
        <f t="shared" si="28"/>
        <v>MEDINA DE LA CRUZ</v>
      </c>
      <c r="G509" t="str">
        <f t="shared" si="29"/>
        <v>MEDINA</v>
      </c>
      <c r="H509" t="str">
        <f t="shared" si="30"/>
        <v>DE LA CRUZ</v>
      </c>
      <c r="I509" t="str">
        <f t="shared" si="31"/>
        <v xml:space="preserve"> JOSE GIANFRANCO</v>
      </c>
    </row>
    <row r="510" spans="1:9" x14ac:dyDescent="0.25">
      <c r="A510" t="s">
        <v>890</v>
      </c>
      <c r="B510" t="s">
        <v>891</v>
      </c>
      <c r="C510" s="2">
        <v>29761</v>
      </c>
      <c r="D510" t="s">
        <v>1743</v>
      </c>
      <c r="F510" t="str">
        <f t="shared" si="28"/>
        <v>PARIONA CUBA</v>
      </c>
      <c r="G510" t="str">
        <f t="shared" si="29"/>
        <v>PARIONA</v>
      </c>
      <c r="H510" t="str">
        <f t="shared" si="30"/>
        <v>CUBA</v>
      </c>
      <c r="I510" t="str">
        <f t="shared" si="31"/>
        <v xml:space="preserve"> WALTER</v>
      </c>
    </row>
    <row r="511" spans="1:9" x14ac:dyDescent="0.25">
      <c r="A511" t="s">
        <v>892</v>
      </c>
      <c r="B511" t="s">
        <v>893</v>
      </c>
      <c r="C511" s="2">
        <v>36077</v>
      </c>
      <c r="D511" t="s">
        <v>1743</v>
      </c>
      <c r="F511" t="str">
        <f t="shared" si="28"/>
        <v>CERVERA ANDRADE</v>
      </c>
      <c r="G511" t="str">
        <f t="shared" si="29"/>
        <v>CERVERA</v>
      </c>
      <c r="H511" t="str">
        <f t="shared" si="30"/>
        <v>ANDRADE</v>
      </c>
      <c r="I511" t="str">
        <f t="shared" si="31"/>
        <v xml:space="preserve"> JAIR JOSUE</v>
      </c>
    </row>
    <row r="512" spans="1:9" x14ac:dyDescent="0.25">
      <c r="A512" t="s">
        <v>894</v>
      </c>
      <c r="B512" t="s">
        <v>895</v>
      </c>
      <c r="C512" s="2">
        <v>32499</v>
      </c>
      <c r="D512" t="s">
        <v>1743</v>
      </c>
      <c r="F512" t="str">
        <f t="shared" si="28"/>
        <v>MALDONADO YAULI</v>
      </c>
      <c r="G512" t="str">
        <f t="shared" si="29"/>
        <v>MALDONADO</v>
      </c>
      <c r="H512" t="str">
        <f t="shared" si="30"/>
        <v>YAULI</v>
      </c>
      <c r="I512" t="str">
        <f t="shared" si="31"/>
        <v xml:space="preserve"> JOEL FRANKLIN</v>
      </c>
    </row>
    <row r="513" spans="1:9" x14ac:dyDescent="0.25">
      <c r="A513" t="s">
        <v>896</v>
      </c>
      <c r="B513" t="s">
        <v>897</v>
      </c>
      <c r="C513" s="2">
        <v>35877</v>
      </c>
      <c r="D513" t="s">
        <v>1743</v>
      </c>
      <c r="F513" t="str">
        <f t="shared" si="28"/>
        <v>CAMACHO GONZALES</v>
      </c>
      <c r="G513" t="str">
        <f t="shared" si="29"/>
        <v>CAMACHO</v>
      </c>
      <c r="H513" t="str">
        <f t="shared" si="30"/>
        <v>GONZALES</v>
      </c>
      <c r="I513" t="str">
        <f t="shared" si="31"/>
        <v xml:space="preserve"> JONATHA SMITH</v>
      </c>
    </row>
    <row r="514" spans="1:9" x14ac:dyDescent="0.25">
      <c r="A514" t="s">
        <v>898</v>
      </c>
      <c r="B514" t="s">
        <v>899</v>
      </c>
      <c r="C514" s="2">
        <v>32786</v>
      </c>
      <c r="D514" t="s">
        <v>1743</v>
      </c>
      <c r="F514" t="str">
        <f t="shared" si="28"/>
        <v>CONTRERAS GARCIA</v>
      </c>
      <c r="G514" t="str">
        <f t="shared" si="29"/>
        <v>CONTRERAS</v>
      </c>
      <c r="H514" t="str">
        <f t="shared" si="30"/>
        <v>GARCIA</v>
      </c>
      <c r="I514" t="str">
        <f t="shared" si="31"/>
        <v xml:space="preserve"> PIERO ALESSANDRO</v>
      </c>
    </row>
    <row r="515" spans="1:9" x14ac:dyDescent="0.25">
      <c r="A515" t="s">
        <v>900</v>
      </c>
      <c r="B515" t="s">
        <v>901</v>
      </c>
      <c r="C515" s="2">
        <v>35786</v>
      </c>
      <c r="D515" t="s">
        <v>1743</v>
      </c>
      <c r="F515" t="str">
        <f t="shared" ref="F515:F578" si="32">LEFT(B515,SEARCH(",",B515)-1)</f>
        <v>BERNAL RONDINEL</v>
      </c>
      <c r="G515" t="str">
        <f t="shared" ref="G515:G578" si="33">LEFT(F515,SEARCH(" ",F515)-1)</f>
        <v>BERNAL</v>
      </c>
      <c r="H515" t="str">
        <f t="shared" ref="H515:H578" si="34">RIGHT(F515,LEN(F515)- SEARCH(" ",F515))</f>
        <v>RONDINEL</v>
      </c>
      <c r="I515" t="str">
        <f t="shared" ref="I515:I578" si="35">RIGHT(B515,LEN(B515)- SEARCH(",",B515))</f>
        <v xml:space="preserve"> JUAN JOSE </v>
      </c>
    </row>
    <row r="516" spans="1:9" x14ac:dyDescent="0.25">
      <c r="A516" t="s">
        <v>734</v>
      </c>
      <c r="B516" t="s">
        <v>735</v>
      </c>
      <c r="C516" s="2">
        <v>36986</v>
      </c>
      <c r="D516" t="s">
        <v>1744</v>
      </c>
      <c r="F516" t="str">
        <f t="shared" si="32"/>
        <v>BOZA PRATO</v>
      </c>
      <c r="G516" t="str">
        <f t="shared" si="33"/>
        <v>BOZA</v>
      </c>
      <c r="H516" t="str">
        <f t="shared" si="34"/>
        <v>PRATO</v>
      </c>
      <c r="I516" t="str">
        <f t="shared" si="35"/>
        <v xml:space="preserve"> MICHELLE</v>
      </c>
    </row>
    <row r="517" spans="1:9" x14ac:dyDescent="0.25">
      <c r="A517" t="s">
        <v>902</v>
      </c>
      <c r="B517" t="s">
        <v>903</v>
      </c>
      <c r="C517" s="2">
        <v>37443</v>
      </c>
      <c r="D517" t="s">
        <v>1743</v>
      </c>
      <c r="E517" t="s">
        <v>1585</v>
      </c>
      <c r="F517" t="str">
        <f t="shared" si="32"/>
        <v>HUAMANI ZAA</v>
      </c>
      <c r="G517" t="str">
        <f t="shared" si="33"/>
        <v>HUAMANI</v>
      </c>
      <c r="H517" t="str">
        <f t="shared" si="34"/>
        <v>ZAA</v>
      </c>
      <c r="I517" t="str">
        <f t="shared" si="35"/>
        <v xml:space="preserve"> LUCIO RIVALDO</v>
      </c>
    </row>
    <row r="518" spans="1:9" x14ac:dyDescent="0.25">
      <c r="A518" t="s">
        <v>904</v>
      </c>
      <c r="B518" t="s">
        <v>905</v>
      </c>
      <c r="C518" s="2">
        <v>34781</v>
      </c>
      <c r="D518" t="s">
        <v>1743</v>
      </c>
      <c r="F518" t="str">
        <f t="shared" si="32"/>
        <v>ÑAUPA CALLA</v>
      </c>
      <c r="G518" t="str">
        <f t="shared" si="33"/>
        <v>ÑAUPA</v>
      </c>
      <c r="H518" t="str">
        <f t="shared" si="34"/>
        <v>CALLA</v>
      </c>
      <c r="I518" t="str">
        <f t="shared" si="35"/>
        <v xml:space="preserve"> LUIYI </v>
      </c>
    </row>
    <row r="519" spans="1:9" x14ac:dyDescent="0.25">
      <c r="A519" t="s">
        <v>906</v>
      </c>
      <c r="B519" t="s">
        <v>907</v>
      </c>
      <c r="C519" s="2">
        <v>34801</v>
      </c>
      <c r="D519" t="s">
        <v>1743</v>
      </c>
      <c r="F519" t="str">
        <f t="shared" si="32"/>
        <v>ARANDA DAZA</v>
      </c>
      <c r="G519" t="str">
        <f t="shared" si="33"/>
        <v>ARANDA</v>
      </c>
      <c r="H519" t="str">
        <f t="shared" si="34"/>
        <v>DAZA</v>
      </c>
      <c r="I519" t="str">
        <f t="shared" si="35"/>
        <v xml:space="preserve"> GEREMIAS</v>
      </c>
    </row>
    <row r="520" spans="1:9" x14ac:dyDescent="0.25">
      <c r="A520" t="s">
        <v>908</v>
      </c>
      <c r="B520" t="s">
        <v>909</v>
      </c>
      <c r="C520" s="2">
        <v>34590</v>
      </c>
      <c r="D520" t="s">
        <v>1743</v>
      </c>
      <c r="F520" t="str">
        <f t="shared" si="32"/>
        <v>CHINGUEL LANDIVAR</v>
      </c>
      <c r="G520" t="str">
        <f t="shared" si="33"/>
        <v>CHINGUEL</v>
      </c>
      <c r="H520" t="str">
        <f t="shared" si="34"/>
        <v>LANDIVAR</v>
      </c>
      <c r="I520" t="str">
        <f t="shared" si="35"/>
        <v xml:space="preserve"> CESAR EYNNER</v>
      </c>
    </row>
    <row r="521" spans="1:9" x14ac:dyDescent="0.25">
      <c r="A521" t="s">
        <v>910</v>
      </c>
      <c r="B521" t="s">
        <v>911</v>
      </c>
      <c r="C521" s="2">
        <v>32445</v>
      </c>
      <c r="D521" t="s">
        <v>1743</v>
      </c>
      <c r="F521" t="str">
        <f t="shared" si="32"/>
        <v>NORIEGA CORNEJO</v>
      </c>
      <c r="G521" t="str">
        <f t="shared" si="33"/>
        <v>NORIEGA</v>
      </c>
      <c r="H521" t="str">
        <f t="shared" si="34"/>
        <v>CORNEJO</v>
      </c>
      <c r="I521" t="str">
        <f t="shared" si="35"/>
        <v xml:space="preserve"> JORGE ANTONIO</v>
      </c>
    </row>
    <row r="522" spans="1:9" x14ac:dyDescent="0.25">
      <c r="A522" t="s">
        <v>912</v>
      </c>
      <c r="B522" t="s">
        <v>913</v>
      </c>
      <c r="C522" s="2">
        <v>32565</v>
      </c>
      <c r="D522" t="s">
        <v>1743</v>
      </c>
      <c r="F522" t="str">
        <f t="shared" si="32"/>
        <v>OLLAGUEZ TELLO</v>
      </c>
      <c r="G522" t="str">
        <f t="shared" si="33"/>
        <v>OLLAGUEZ</v>
      </c>
      <c r="H522" t="str">
        <f t="shared" si="34"/>
        <v>TELLO</v>
      </c>
      <c r="I522" t="str">
        <f t="shared" si="35"/>
        <v xml:space="preserve"> HEYSEN</v>
      </c>
    </row>
    <row r="523" spans="1:9" x14ac:dyDescent="0.25">
      <c r="A523" t="s">
        <v>914</v>
      </c>
      <c r="B523" t="s">
        <v>915</v>
      </c>
      <c r="C523" s="2">
        <v>32696</v>
      </c>
      <c r="D523" t="s">
        <v>1743</v>
      </c>
      <c r="F523" t="str">
        <f t="shared" si="32"/>
        <v>GALLARDO NOVOA</v>
      </c>
      <c r="G523" t="str">
        <f t="shared" si="33"/>
        <v>GALLARDO</v>
      </c>
      <c r="H523" t="str">
        <f t="shared" si="34"/>
        <v>NOVOA</v>
      </c>
      <c r="I523" t="str">
        <f t="shared" si="35"/>
        <v xml:space="preserve"> RUBÉN</v>
      </c>
    </row>
    <row r="524" spans="1:9" x14ac:dyDescent="0.25">
      <c r="A524" t="s">
        <v>916</v>
      </c>
      <c r="B524" t="s">
        <v>917</v>
      </c>
      <c r="C524" s="2">
        <v>35953</v>
      </c>
      <c r="D524" t="s">
        <v>1743</v>
      </c>
      <c r="F524" t="str">
        <f t="shared" si="32"/>
        <v>GARCÍA CABRERA</v>
      </c>
      <c r="G524" t="str">
        <f t="shared" si="33"/>
        <v>GARCÍA</v>
      </c>
      <c r="H524" t="str">
        <f t="shared" si="34"/>
        <v>CABRERA</v>
      </c>
      <c r="I524" t="str">
        <f t="shared" si="35"/>
        <v xml:space="preserve"> SEBASTIÁN DAVID</v>
      </c>
    </row>
    <row r="525" spans="1:9" x14ac:dyDescent="0.25">
      <c r="A525" t="s">
        <v>918</v>
      </c>
      <c r="B525" t="s">
        <v>919</v>
      </c>
      <c r="C525" s="2">
        <v>33751</v>
      </c>
      <c r="D525" t="s">
        <v>1743</v>
      </c>
      <c r="F525" t="str">
        <f t="shared" si="32"/>
        <v>AYALA RUIZ</v>
      </c>
      <c r="G525" t="str">
        <f t="shared" si="33"/>
        <v>AYALA</v>
      </c>
      <c r="H525" t="str">
        <f t="shared" si="34"/>
        <v>RUIZ</v>
      </c>
      <c r="I525" t="str">
        <f t="shared" si="35"/>
        <v xml:space="preserve"> OSCAR DANIEL</v>
      </c>
    </row>
    <row r="526" spans="1:9" x14ac:dyDescent="0.25">
      <c r="A526" t="s">
        <v>327</v>
      </c>
      <c r="B526" t="s">
        <v>328</v>
      </c>
      <c r="C526" s="2">
        <v>34708</v>
      </c>
      <c r="D526" t="s">
        <v>1743</v>
      </c>
      <c r="F526" t="str">
        <f t="shared" si="32"/>
        <v>QUIROGA PALMA</v>
      </c>
      <c r="G526" t="str">
        <f t="shared" si="33"/>
        <v>QUIROGA</v>
      </c>
      <c r="H526" t="str">
        <f t="shared" si="34"/>
        <v>PALMA</v>
      </c>
      <c r="I526" t="str">
        <f t="shared" si="35"/>
        <v xml:space="preserve"> JONATHAN JOSEPH</v>
      </c>
    </row>
    <row r="527" spans="1:9" x14ac:dyDescent="0.25">
      <c r="A527" t="s">
        <v>449</v>
      </c>
      <c r="B527" t="s">
        <v>450</v>
      </c>
      <c r="C527" s="2">
        <v>33352</v>
      </c>
      <c r="D527" t="s">
        <v>1743</v>
      </c>
      <c r="F527" t="str">
        <f t="shared" si="32"/>
        <v>GARCIA ALVAN</v>
      </c>
      <c r="G527" t="str">
        <f t="shared" si="33"/>
        <v>GARCIA</v>
      </c>
      <c r="H527" t="str">
        <f t="shared" si="34"/>
        <v>ALVAN</v>
      </c>
      <c r="I527" t="str">
        <f t="shared" si="35"/>
        <v xml:space="preserve"> FRANCK JOSE</v>
      </c>
    </row>
    <row r="528" spans="1:9" x14ac:dyDescent="0.25">
      <c r="A528" t="s">
        <v>920</v>
      </c>
      <c r="B528" t="s">
        <v>921</v>
      </c>
      <c r="C528" s="2">
        <v>36297</v>
      </c>
      <c r="D528" t="s">
        <v>1743</v>
      </c>
      <c r="F528" t="str">
        <f t="shared" si="32"/>
        <v>ARPITA AGUILERA</v>
      </c>
      <c r="G528" t="str">
        <f t="shared" si="33"/>
        <v>ARPITA</v>
      </c>
      <c r="H528" t="str">
        <f t="shared" si="34"/>
        <v>AGUILERA</v>
      </c>
      <c r="I528" t="str">
        <f t="shared" si="35"/>
        <v xml:space="preserve"> JOSE MANUEL</v>
      </c>
    </row>
    <row r="529" spans="1:9" x14ac:dyDescent="0.25">
      <c r="A529" t="s">
        <v>922</v>
      </c>
      <c r="B529" t="s">
        <v>923</v>
      </c>
      <c r="C529" s="2">
        <v>30419</v>
      </c>
      <c r="D529" t="s">
        <v>1743</v>
      </c>
      <c r="F529" t="str">
        <f t="shared" si="32"/>
        <v>ALEGRE GRANADOS</v>
      </c>
      <c r="G529" t="str">
        <f t="shared" si="33"/>
        <v>ALEGRE</v>
      </c>
      <c r="H529" t="str">
        <f t="shared" si="34"/>
        <v>GRANADOS</v>
      </c>
      <c r="I529" t="str">
        <f t="shared" si="35"/>
        <v xml:space="preserve"> ARMANDO RAFAEL </v>
      </c>
    </row>
    <row r="530" spans="1:9" x14ac:dyDescent="0.25">
      <c r="A530" t="s">
        <v>867</v>
      </c>
      <c r="B530" t="s">
        <v>868</v>
      </c>
      <c r="C530" s="2">
        <v>37604</v>
      </c>
      <c r="D530" t="s">
        <v>1743</v>
      </c>
      <c r="E530" t="s">
        <v>1586</v>
      </c>
      <c r="F530" t="str">
        <f t="shared" si="32"/>
        <v>RIVAS CINCE</v>
      </c>
      <c r="G530" t="str">
        <f t="shared" si="33"/>
        <v>RIVAS</v>
      </c>
      <c r="H530" t="str">
        <f t="shared" si="34"/>
        <v>CINCE</v>
      </c>
      <c r="I530" t="str">
        <f t="shared" si="35"/>
        <v xml:space="preserve"> MAYCOLT JORDI</v>
      </c>
    </row>
    <row r="531" spans="1:9" x14ac:dyDescent="0.25">
      <c r="A531" t="s">
        <v>924</v>
      </c>
      <c r="B531" t="s">
        <v>925</v>
      </c>
      <c r="C531" s="2">
        <v>35646</v>
      </c>
      <c r="D531" t="s">
        <v>1743</v>
      </c>
      <c r="F531" t="str">
        <f t="shared" si="32"/>
        <v>CHIHUAN GARCIA</v>
      </c>
      <c r="G531" t="str">
        <f t="shared" si="33"/>
        <v>CHIHUAN</v>
      </c>
      <c r="H531" t="str">
        <f t="shared" si="34"/>
        <v>GARCIA</v>
      </c>
      <c r="I531" t="str">
        <f t="shared" si="35"/>
        <v xml:space="preserve"> LUIS KENEDY</v>
      </c>
    </row>
    <row r="532" spans="1:9" x14ac:dyDescent="0.25">
      <c r="A532" t="s">
        <v>926</v>
      </c>
      <c r="B532" t="s">
        <v>927</v>
      </c>
      <c r="C532" s="2">
        <v>32916</v>
      </c>
      <c r="D532" t="s">
        <v>1743</v>
      </c>
      <c r="F532" t="str">
        <f t="shared" si="32"/>
        <v>CHUMBILE COTRINA</v>
      </c>
      <c r="G532" t="str">
        <f t="shared" si="33"/>
        <v>CHUMBILE</v>
      </c>
      <c r="H532" t="str">
        <f t="shared" si="34"/>
        <v>COTRINA</v>
      </c>
      <c r="I532" t="str">
        <f t="shared" si="35"/>
        <v xml:space="preserve"> WILLIAM </v>
      </c>
    </row>
    <row r="533" spans="1:9" x14ac:dyDescent="0.25">
      <c r="A533" t="s">
        <v>928</v>
      </c>
      <c r="B533" t="s">
        <v>929</v>
      </c>
      <c r="C533" s="2">
        <v>30722</v>
      </c>
      <c r="D533" t="s">
        <v>1743</v>
      </c>
      <c r="F533" t="str">
        <f t="shared" si="32"/>
        <v>HERRERA ZAPATA</v>
      </c>
      <c r="G533" t="str">
        <f t="shared" si="33"/>
        <v>HERRERA</v>
      </c>
      <c r="H533" t="str">
        <f t="shared" si="34"/>
        <v>ZAPATA</v>
      </c>
      <c r="I533" t="str">
        <f t="shared" si="35"/>
        <v xml:space="preserve"> ALEXIS ROLANDI</v>
      </c>
    </row>
    <row r="534" spans="1:9" x14ac:dyDescent="0.25">
      <c r="A534" t="s">
        <v>930</v>
      </c>
      <c r="B534" t="s">
        <v>931</v>
      </c>
      <c r="C534" s="2">
        <v>36962</v>
      </c>
      <c r="D534" t="s">
        <v>1743</v>
      </c>
      <c r="F534" t="str">
        <f t="shared" si="32"/>
        <v>VILLANUEVA LIÑAN</v>
      </c>
      <c r="G534" t="str">
        <f t="shared" si="33"/>
        <v>VILLANUEVA</v>
      </c>
      <c r="H534" t="str">
        <f t="shared" si="34"/>
        <v>LIÑAN</v>
      </c>
      <c r="I534" t="str">
        <f t="shared" si="35"/>
        <v xml:space="preserve"> AMNER JESUS</v>
      </c>
    </row>
    <row r="535" spans="1:9" x14ac:dyDescent="0.25">
      <c r="A535" t="s">
        <v>932</v>
      </c>
      <c r="B535" t="s">
        <v>933</v>
      </c>
      <c r="C535" s="2">
        <v>34373</v>
      </c>
      <c r="D535" t="s">
        <v>1743</v>
      </c>
      <c r="F535" t="str">
        <f t="shared" si="32"/>
        <v>JAVIER RAMIREZ</v>
      </c>
      <c r="G535" t="str">
        <f t="shared" si="33"/>
        <v>JAVIER</v>
      </c>
      <c r="H535" t="str">
        <f t="shared" si="34"/>
        <v>RAMIREZ</v>
      </c>
      <c r="I535" t="str">
        <f t="shared" si="35"/>
        <v xml:space="preserve"> BRENNER</v>
      </c>
    </row>
    <row r="536" spans="1:9" x14ac:dyDescent="0.25">
      <c r="A536" t="s">
        <v>934</v>
      </c>
      <c r="B536" t="s">
        <v>935</v>
      </c>
      <c r="C536" s="2">
        <v>32970</v>
      </c>
      <c r="D536" t="s">
        <v>1743</v>
      </c>
      <c r="F536" t="str">
        <f t="shared" si="32"/>
        <v>PALPA ESTRELLA</v>
      </c>
      <c r="G536" t="str">
        <f t="shared" si="33"/>
        <v>PALPA</v>
      </c>
      <c r="H536" t="str">
        <f t="shared" si="34"/>
        <v>ESTRELLA</v>
      </c>
      <c r="I536" t="str">
        <f t="shared" si="35"/>
        <v xml:space="preserve"> CARLOS DAVID</v>
      </c>
    </row>
    <row r="537" spans="1:9" x14ac:dyDescent="0.25">
      <c r="A537" t="s">
        <v>936</v>
      </c>
      <c r="B537" t="s">
        <v>937</v>
      </c>
      <c r="C537" s="2">
        <v>34679</v>
      </c>
      <c r="D537" t="s">
        <v>1743</v>
      </c>
      <c r="F537" t="str">
        <f t="shared" si="32"/>
        <v>BRICEÑO ALVA</v>
      </c>
      <c r="G537" t="str">
        <f t="shared" si="33"/>
        <v>BRICEÑO</v>
      </c>
      <c r="H537" t="str">
        <f t="shared" si="34"/>
        <v>ALVA</v>
      </c>
      <c r="I537" t="str">
        <f t="shared" si="35"/>
        <v xml:space="preserve"> JOE JUNIOR</v>
      </c>
    </row>
    <row r="538" spans="1:9" x14ac:dyDescent="0.25">
      <c r="A538" t="s">
        <v>938</v>
      </c>
      <c r="B538" t="s">
        <v>939</v>
      </c>
      <c r="C538" s="2">
        <v>33457</v>
      </c>
      <c r="D538" t="s">
        <v>1743</v>
      </c>
      <c r="F538" t="str">
        <f t="shared" si="32"/>
        <v>SEDANO CAMPOS</v>
      </c>
      <c r="G538" t="str">
        <f t="shared" si="33"/>
        <v>SEDANO</v>
      </c>
      <c r="H538" t="str">
        <f t="shared" si="34"/>
        <v>CAMPOS</v>
      </c>
      <c r="I538" t="str">
        <f t="shared" si="35"/>
        <v xml:space="preserve"> MILLER CARLOS</v>
      </c>
    </row>
    <row r="539" spans="1:9" x14ac:dyDescent="0.25">
      <c r="A539" t="s">
        <v>940</v>
      </c>
      <c r="B539" t="s">
        <v>941</v>
      </c>
      <c r="C539" s="2">
        <v>36194</v>
      </c>
      <c r="D539" t="s">
        <v>1743</v>
      </c>
      <c r="F539" t="str">
        <f t="shared" si="32"/>
        <v>ESPARZA GALLO</v>
      </c>
      <c r="G539" t="str">
        <f t="shared" si="33"/>
        <v>ESPARZA</v>
      </c>
      <c r="H539" t="str">
        <f t="shared" si="34"/>
        <v>GALLO</v>
      </c>
      <c r="I539" t="str">
        <f t="shared" si="35"/>
        <v xml:space="preserve"> MANFREDO </v>
      </c>
    </row>
    <row r="540" spans="1:9" x14ac:dyDescent="0.25">
      <c r="A540" t="s">
        <v>942</v>
      </c>
      <c r="B540" t="s">
        <v>943</v>
      </c>
      <c r="C540" s="2">
        <v>35887</v>
      </c>
      <c r="D540" t="s">
        <v>1743</v>
      </c>
      <c r="F540" t="str">
        <f t="shared" si="32"/>
        <v>SEQUEIROS CANCAPA</v>
      </c>
      <c r="G540" t="str">
        <f t="shared" si="33"/>
        <v>SEQUEIROS</v>
      </c>
      <c r="H540" t="str">
        <f t="shared" si="34"/>
        <v>CANCAPA</v>
      </c>
      <c r="I540" t="str">
        <f t="shared" si="35"/>
        <v xml:space="preserve"> GONZALO NADIM</v>
      </c>
    </row>
    <row r="541" spans="1:9" x14ac:dyDescent="0.25">
      <c r="A541" t="s">
        <v>944</v>
      </c>
      <c r="B541" t="s">
        <v>945</v>
      </c>
      <c r="C541" s="2">
        <v>37726</v>
      </c>
      <c r="D541" t="s">
        <v>1743</v>
      </c>
      <c r="F541" t="str">
        <f t="shared" si="32"/>
        <v>MENDOZA YANA</v>
      </c>
      <c r="G541" t="str">
        <f t="shared" si="33"/>
        <v>MENDOZA</v>
      </c>
      <c r="H541" t="str">
        <f t="shared" si="34"/>
        <v>YANA</v>
      </c>
      <c r="I541" t="str">
        <f t="shared" si="35"/>
        <v xml:space="preserve"> DANIEL JOSTIN </v>
      </c>
    </row>
    <row r="542" spans="1:9" x14ac:dyDescent="0.25">
      <c r="A542" t="s">
        <v>946</v>
      </c>
      <c r="B542" t="s">
        <v>947</v>
      </c>
      <c r="C542" s="2">
        <v>34443</v>
      </c>
      <c r="D542" t="s">
        <v>1743</v>
      </c>
      <c r="E542" t="s">
        <v>1587</v>
      </c>
      <c r="F542" t="str">
        <f t="shared" si="32"/>
        <v>LOPEZ VALERA</v>
      </c>
      <c r="G542" t="str">
        <f t="shared" si="33"/>
        <v>LOPEZ</v>
      </c>
      <c r="H542" t="str">
        <f t="shared" si="34"/>
        <v>VALERA</v>
      </c>
      <c r="I542" t="str">
        <f t="shared" si="35"/>
        <v xml:space="preserve"> DAVID MARTIN</v>
      </c>
    </row>
    <row r="543" spans="1:9" x14ac:dyDescent="0.25">
      <c r="A543" t="s">
        <v>948</v>
      </c>
      <c r="B543" t="s">
        <v>949</v>
      </c>
      <c r="C543" s="2">
        <v>33129</v>
      </c>
      <c r="D543" t="s">
        <v>1743</v>
      </c>
      <c r="F543" t="str">
        <f t="shared" si="32"/>
        <v>MANRIQUE RAMOS</v>
      </c>
      <c r="G543" t="str">
        <f t="shared" si="33"/>
        <v>MANRIQUE</v>
      </c>
      <c r="H543" t="str">
        <f t="shared" si="34"/>
        <v>RAMOS</v>
      </c>
      <c r="I543" t="str">
        <f t="shared" si="35"/>
        <v xml:space="preserve"> HERMES PIERO</v>
      </c>
    </row>
    <row r="544" spans="1:9" x14ac:dyDescent="0.25">
      <c r="A544" t="s">
        <v>950</v>
      </c>
      <c r="B544" t="s">
        <v>951</v>
      </c>
      <c r="C544" s="2">
        <v>36535</v>
      </c>
      <c r="D544" t="s">
        <v>1743</v>
      </c>
      <c r="F544" t="str">
        <f t="shared" si="32"/>
        <v>MARIN PIZANGO</v>
      </c>
      <c r="G544" t="str">
        <f t="shared" si="33"/>
        <v>MARIN</v>
      </c>
      <c r="H544" t="str">
        <f t="shared" si="34"/>
        <v>PIZANGO</v>
      </c>
      <c r="I544" t="str">
        <f t="shared" si="35"/>
        <v xml:space="preserve"> GUILLERMO HARY </v>
      </c>
    </row>
    <row r="545" spans="1:9" x14ac:dyDescent="0.25">
      <c r="A545" t="s">
        <v>952</v>
      </c>
      <c r="B545" t="s">
        <v>953</v>
      </c>
      <c r="C545" s="2">
        <v>38118</v>
      </c>
      <c r="D545" t="s">
        <v>1743</v>
      </c>
      <c r="F545" t="str">
        <f t="shared" si="32"/>
        <v>PÉREZ ESPINOZA</v>
      </c>
      <c r="G545" t="str">
        <f t="shared" si="33"/>
        <v>PÉREZ</v>
      </c>
      <c r="H545" t="str">
        <f t="shared" si="34"/>
        <v>ESPINOZA</v>
      </c>
      <c r="I545" t="str">
        <f t="shared" si="35"/>
        <v xml:space="preserve"> CIRO MAURICIO </v>
      </c>
    </row>
    <row r="546" spans="1:9" x14ac:dyDescent="0.25">
      <c r="A546" t="s">
        <v>954</v>
      </c>
      <c r="B546" t="s">
        <v>955</v>
      </c>
      <c r="C546" s="2">
        <v>36709</v>
      </c>
      <c r="D546" t="s">
        <v>1743</v>
      </c>
      <c r="F546" t="str">
        <f t="shared" si="32"/>
        <v>RIOS YLUQUIS</v>
      </c>
      <c r="G546" t="str">
        <f t="shared" si="33"/>
        <v>RIOS</v>
      </c>
      <c r="H546" t="str">
        <f t="shared" si="34"/>
        <v>YLUQUIS</v>
      </c>
      <c r="I546" t="str">
        <f t="shared" si="35"/>
        <v xml:space="preserve"> JHONY GRABIEL</v>
      </c>
    </row>
    <row r="547" spans="1:9" x14ac:dyDescent="0.25">
      <c r="A547" t="s">
        <v>319</v>
      </c>
      <c r="B547" t="s">
        <v>320</v>
      </c>
      <c r="C547" s="2">
        <v>36425</v>
      </c>
      <c r="D547" t="s">
        <v>1743</v>
      </c>
      <c r="F547" t="str">
        <f t="shared" si="32"/>
        <v>VEGA TORRES</v>
      </c>
      <c r="G547" t="str">
        <f t="shared" si="33"/>
        <v>VEGA</v>
      </c>
      <c r="H547" t="str">
        <f t="shared" si="34"/>
        <v>TORRES</v>
      </c>
      <c r="I547" t="str">
        <f t="shared" si="35"/>
        <v xml:space="preserve"> ELIAZEL ENRRIQUE</v>
      </c>
    </row>
    <row r="548" spans="1:9" x14ac:dyDescent="0.25">
      <c r="A548" t="s">
        <v>956</v>
      </c>
      <c r="B548" t="s">
        <v>957</v>
      </c>
      <c r="C548" s="2">
        <v>35820</v>
      </c>
      <c r="D548" t="s">
        <v>1743</v>
      </c>
      <c r="F548" t="str">
        <f t="shared" si="32"/>
        <v>SONCO TOLEDO</v>
      </c>
      <c r="G548" t="str">
        <f t="shared" si="33"/>
        <v>SONCO</v>
      </c>
      <c r="H548" t="str">
        <f t="shared" si="34"/>
        <v>TOLEDO</v>
      </c>
      <c r="I548" t="str">
        <f t="shared" si="35"/>
        <v xml:space="preserve"> CHRISTIAN JAIME</v>
      </c>
    </row>
    <row r="549" spans="1:9" x14ac:dyDescent="0.25">
      <c r="A549" t="s">
        <v>958</v>
      </c>
      <c r="B549" t="s">
        <v>959</v>
      </c>
      <c r="C549" s="2">
        <v>34426</v>
      </c>
      <c r="D549" t="s">
        <v>1743</v>
      </c>
      <c r="F549" t="str">
        <f t="shared" si="32"/>
        <v>VILCHEZ PAICO</v>
      </c>
      <c r="G549" t="str">
        <f t="shared" si="33"/>
        <v>VILCHEZ</v>
      </c>
      <c r="H549" t="str">
        <f t="shared" si="34"/>
        <v>PAICO</v>
      </c>
      <c r="I549" t="str">
        <f t="shared" si="35"/>
        <v xml:space="preserve"> CRISTHIAN JESUS</v>
      </c>
    </row>
    <row r="550" spans="1:9" x14ac:dyDescent="0.25">
      <c r="A550" t="s">
        <v>960</v>
      </c>
      <c r="B550" t="s">
        <v>961</v>
      </c>
      <c r="C550" s="2">
        <v>33773</v>
      </c>
      <c r="D550" t="s">
        <v>1743</v>
      </c>
      <c r="F550" t="str">
        <f t="shared" si="32"/>
        <v>ROSALES CCOICCA</v>
      </c>
      <c r="G550" t="str">
        <f t="shared" si="33"/>
        <v>ROSALES</v>
      </c>
      <c r="H550" t="str">
        <f t="shared" si="34"/>
        <v>CCOICCA</v>
      </c>
      <c r="I550" t="str">
        <f t="shared" si="35"/>
        <v xml:space="preserve"> MARCO ANTONIO</v>
      </c>
    </row>
    <row r="551" spans="1:9" x14ac:dyDescent="0.25">
      <c r="A551" t="s">
        <v>431</v>
      </c>
      <c r="B551" t="s">
        <v>432</v>
      </c>
      <c r="C551" s="2">
        <v>37248</v>
      </c>
      <c r="D551" t="s">
        <v>1743</v>
      </c>
      <c r="F551" t="str">
        <f t="shared" si="32"/>
        <v>MENA ABAD</v>
      </c>
      <c r="G551" t="str">
        <f t="shared" si="33"/>
        <v>MENA</v>
      </c>
      <c r="H551" t="str">
        <f t="shared" si="34"/>
        <v>ABAD</v>
      </c>
      <c r="I551" t="str">
        <f t="shared" si="35"/>
        <v xml:space="preserve"> JULIO CESAR</v>
      </c>
    </row>
    <row r="552" spans="1:9" x14ac:dyDescent="0.25">
      <c r="A552" t="s">
        <v>962</v>
      </c>
      <c r="B552" t="s">
        <v>963</v>
      </c>
      <c r="C552" s="2">
        <v>34029</v>
      </c>
      <c r="D552" t="s">
        <v>1743</v>
      </c>
      <c r="F552" t="str">
        <f t="shared" si="32"/>
        <v>ZELADA ABANTO</v>
      </c>
      <c r="G552" t="str">
        <f t="shared" si="33"/>
        <v>ZELADA</v>
      </c>
      <c r="H552" t="str">
        <f t="shared" si="34"/>
        <v>ABANTO</v>
      </c>
      <c r="I552" t="str">
        <f t="shared" si="35"/>
        <v xml:space="preserve"> LELIXS JANDER </v>
      </c>
    </row>
    <row r="553" spans="1:9" x14ac:dyDescent="0.25">
      <c r="A553" t="s">
        <v>964</v>
      </c>
      <c r="B553" t="s">
        <v>965</v>
      </c>
      <c r="C553" s="2">
        <v>28199</v>
      </c>
      <c r="D553" t="s">
        <v>1743</v>
      </c>
      <c r="F553" t="str">
        <f t="shared" si="32"/>
        <v>ABANTO SALAZAR</v>
      </c>
      <c r="G553" t="str">
        <f t="shared" si="33"/>
        <v>ABANTO</v>
      </c>
      <c r="H553" t="str">
        <f t="shared" si="34"/>
        <v>SALAZAR</v>
      </c>
      <c r="I553" t="str">
        <f t="shared" si="35"/>
        <v xml:space="preserve"> OSCAR HENRY</v>
      </c>
    </row>
    <row r="554" spans="1:9" x14ac:dyDescent="0.25">
      <c r="A554" t="s">
        <v>966</v>
      </c>
      <c r="B554" t="s">
        <v>967</v>
      </c>
      <c r="C554" s="2">
        <v>33067</v>
      </c>
      <c r="D554" t="s">
        <v>1743</v>
      </c>
      <c r="F554" t="str">
        <f t="shared" si="32"/>
        <v>MENDEZ CHINCHAY</v>
      </c>
      <c r="G554" t="str">
        <f t="shared" si="33"/>
        <v>MENDEZ</v>
      </c>
      <c r="H554" t="str">
        <f t="shared" si="34"/>
        <v>CHINCHAY</v>
      </c>
      <c r="I554" t="str">
        <f t="shared" si="35"/>
        <v xml:space="preserve"> ERIC RAFAEL</v>
      </c>
    </row>
    <row r="555" spans="1:9" x14ac:dyDescent="0.25">
      <c r="A555" t="s">
        <v>968</v>
      </c>
      <c r="B555" t="s">
        <v>969</v>
      </c>
      <c r="C555" s="2">
        <v>37062</v>
      </c>
      <c r="D555" t="s">
        <v>1743</v>
      </c>
      <c r="E555" t="s">
        <v>1588</v>
      </c>
      <c r="F555" t="str">
        <f t="shared" si="32"/>
        <v>CUETO MANRIQUE</v>
      </c>
      <c r="G555" t="str">
        <f t="shared" si="33"/>
        <v>CUETO</v>
      </c>
      <c r="H555" t="str">
        <f t="shared" si="34"/>
        <v>MANRIQUE</v>
      </c>
      <c r="I555" t="str">
        <f t="shared" si="35"/>
        <v xml:space="preserve"> JAIRO</v>
      </c>
    </row>
    <row r="556" spans="1:9" x14ac:dyDescent="0.25">
      <c r="A556" t="s">
        <v>970</v>
      </c>
      <c r="B556" t="s">
        <v>971</v>
      </c>
      <c r="C556" s="2">
        <v>34595</v>
      </c>
      <c r="D556" t="s">
        <v>1743</v>
      </c>
      <c r="F556" t="str">
        <f t="shared" si="32"/>
        <v>GONZALES MAZA</v>
      </c>
      <c r="G556" t="str">
        <f t="shared" si="33"/>
        <v>GONZALES</v>
      </c>
      <c r="H556" t="str">
        <f t="shared" si="34"/>
        <v>MAZA</v>
      </c>
      <c r="I556" t="str">
        <f t="shared" si="35"/>
        <v xml:space="preserve"> MARCIO SANTOS</v>
      </c>
    </row>
    <row r="557" spans="1:9" x14ac:dyDescent="0.25">
      <c r="A557" t="s">
        <v>972</v>
      </c>
      <c r="B557" t="s">
        <v>973</v>
      </c>
      <c r="C557" s="2">
        <v>32813</v>
      </c>
      <c r="D557" t="s">
        <v>1743</v>
      </c>
      <c r="F557" t="str">
        <f t="shared" si="32"/>
        <v>LLACSAHUACHE CRISANTO</v>
      </c>
      <c r="G557" t="str">
        <f t="shared" si="33"/>
        <v>LLACSAHUACHE</v>
      </c>
      <c r="H557" t="str">
        <f t="shared" si="34"/>
        <v>CRISANTO</v>
      </c>
      <c r="I557" t="str">
        <f t="shared" si="35"/>
        <v xml:space="preserve"> DARWIN EUDOCIO</v>
      </c>
    </row>
    <row r="558" spans="1:9" x14ac:dyDescent="0.25">
      <c r="A558" t="s">
        <v>974</v>
      </c>
      <c r="B558" t="s">
        <v>975</v>
      </c>
      <c r="C558" s="2">
        <v>37894</v>
      </c>
      <c r="D558" t="s">
        <v>1743</v>
      </c>
      <c r="E558" t="s">
        <v>1589</v>
      </c>
      <c r="F558" t="str">
        <f t="shared" si="32"/>
        <v>LOAIZA GUTIERREZ</v>
      </c>
      <c r="G558" t="str">
        <f t="shared" si="33"/>
        <v>LOAIZA</v>
      </c>
      <c r="H558" t="str">
        <f t="shared" si="34"/>
        <v>GUTIERREZ</v>
      </c>
      <c r="I558" t="str">
        <f t="shared" si="35"/>
        <v xml:space="preserve"> GILMAR</v>
      </c>
    </row>
    <row r="559" spans="1:9" x14ac:dyDescent="0.25">
      <c r="A559" t="s">
        <v>976</v>
      </c>
      <c r="B559" t="s">
        <v>977</v>
      </c>
      <c r="C559" s="2">
        <v>34957</v>
      </c>
      <c r="D559" t="s">
        <v>1743</v>
      </c>
      <c r="E559" t="s">
        <v>1590</v>
      </c>
      <c r="F559" t="str">
        <f t="shared" si="32"/>
        <v>PALOMINO HUILLCA</v>
      </c>
      <c r="G559" t="str">
        <f t="shared" si="33"/>
        <v>PALOMINO</v>
      </c>
      <c r="H559" t="str">
        <f t="shared" si="34"/>
        <v>HUILLCA</v>
      </c>
      <c r="I559" t="str">
        <f t="shared" si="35"/>
        <v xml:space="preserve"> JHAN CARLOS</v>
      </c>
    </row>
    <row r="560" spans="1:9" x14ac:dyDescent="0.25">
      <c r="A560" t="s">
        <v>978</v>
      </c>
      <c r="B560" t="s">
        <v>979</v>
      </c>
      <c r="C560" s="2">
        <v>35492</v>
      </c>
      <c r="D560" t="s">
        <v>1743</v>
      </c>
      <c r="E560" t="s">
        <v>1591</v>
      </c>
      <c r="F560" t="str">
        <f t="shared" si="32"/>
        <v>CONDOR MURRUGARRA</v>
      </c>
      <c r="G560" t="str">
        <f t="shared" si="33"/>
        <v>CONDOR</v>
      </c>
      <c r="H560" t="str">
        <f t="shared" si="34"/>
        <v>MURRUGARRA</v>
      </c>
      <c r="I560" t="str">
        <f t="shared" si="35"/>
        <v xml:space="preserve"> ROYER MIGUEL</v>
      </c>
    </row>
    <row r="561" spans="1:9" x14ac:dyDescent="0.25">
      <c r="A561" t="s">
        <v>980</v>
      </c>
      <c r="B561" t="s">
        <v>981</v>
      </c>
      <c r="C561" s="2">
        <v>35639</v>
      </c>
      <c r="D561" t="s">
        <v>1743</v>
      </c>
      <c r="F561" t="str">
        <f t="shared" si="32"/>
        <v>PUMAHUALCCA TORRES</v>
      </c>
      <c r="G561" t="str">
        <f t="shared" si="33"/>
        <v>PUMAHUALCCA</v>
      </c>
      <c r="H561" t="str">
        <f t="shared" si="34"/>
        <v>TORRES</v>
      </c>
      <c r="I561" t="str">
        <f t="shared" si="35"/>
        <v xml:space="preserve"> NAZARIO</v>
      </c>
    </row>
    <row r="562" spans="1:9" x14ac:dyDescent="0.25">
      <c r="A562" t="s">
        <v>717</v>
      </c>
      <c r="B562" t="s">
        <v>718</v>
      </c>
      <c r="C562" s="2">
        <v>31706</v>
      </c>
      <c r="D562" t="s">
        <v>1743</v>
      </c>
      <c r="F562" t="str">
        <f t="shared" si="32"/>
        <v>TORRES SALAS</v>
      </c>
      <c r="G562" t="str">
        <f t="shared" si="33"/>
        <v>TORRES</v>
      </c>
      <c r="H562" t="str">
        <f t="shared" si="34"/>
        <v>SALAS</v>
      </c>
      <c r="I562" t="str">
        <f t="shared" si="35"/>
        <v xml:space="preserve"> SEGUNDO PEDRO</v>
      </c>
    </row>
    <row r="563" spans="1:9" x14ac:dyDescent="0.25">
      <c r="A563" t="s">
        <v>982</v>
      </c>
      <c r="B563" t="s">
        <v>983</v>
      </c>
      <c r="C563" s="2">
        <v>29950</v>
      </c>
      <c r="D563" t="s">
        <v>1744</v>
      </c>
      <c r="F563" t="str">
        <f t="shared" si="32"/>
        <v>ALCANTARA NAVARRO</v>
      </c>
      <c r="G563" t="str">
        <f t="shared" si="33"/>
        <v>ALCANTARA</v>
      </c>
      <c r="H563" t="str">
        <f t="shared" si="34"/>
        <v>NAVARRO</v>
      </c>
      <c r="I563" t="str">
        <f t="shared" si="35"/>
        <v xml:space="preserve"> MIRIAM</v>
      </c>
    </row>
    <row r="564" spans="1:9" x14ac:dyDescent="0.25">
      <c r="A564" t="s">
        <v>984</v>
      </c>
      <c r="B564" t="s">
        <v>985</v>
      </c>
      <c r="C564" s="2">
        <v>36195</v>
      </c>
      <c r="D564" t="s">
        <v>1743</v>
      </c>
      <c r="F564" t="str">
        <f t="shared" si="32"/>
        <v>COTRINA GAITAN</v>
      </c>
      <c r="G564" t="str">
        <f t="shared" si="33"/>
        <v>COTRINA</v>
      </c>
      <c r="H564" t="str">
        <f t="shared" si="34"/>
        <v>GAITAN</v>
      </c>
      <c r="I564" t="str">
        <f t="shared" si="35"/>
        <v xml:space="preserve"> JOSE FRANCISCO</v>
      </c>
    </row>
    <row r="565" spans="1:9" x14ac:dyDescent="0.25">
      <c r="A565" t="s">
        <v>986</v>
      </c>
      <c r="B565" t="s">
        <v>987</v>
      </c>
      <c r="C565" s="2">
        <v>35083</v>
      </c>
      <c r="D565" t="s">
        <v>1743</v>
      </c>
      <c r="F565" t="str">
        <f t="shared" si="32"/>
        <v>ZAMBRANO PAREJA</v>
      </c>
      <c r="G565" t="str">
        <f t="shared" si="33"/>
        <v>ZAMBRANO</v>
      </c>
      <c r="H565" t="str">
        <f t="shared" si="34"/>
        <v>PAREJA</v>
      </c>
      <c r="I565" t="str">
        <f t="shared" si="35"/>
        <v xml:space="preserve"> CLAUDIO ANDRES</v>
      </c>
    </row>
    <row r="566" spans="1:9" x14ac:dyDescent="0.25">
      <c r="A566" t="s">
        <v>988</v>
      </c>
      <c r="B566" t="s">
        <v>989</v>
      </c>
      <c r="C566" s="2">
        <v>35666</v>
      </c>
      <c r="D566" t="s">
        <v>1743</v>
      </c>
      <c r="F566" t="str">
        <f t="shared" si="32"/>
        <v>AMARU MAQUERA</v>
      </c>
      <c r="G566" t="str">
        <f t="shared" si="33"/>
        <v>AMARU</v>
      </c>
      <c r="H566" t="str">
        <f t="shared" si="34"/>
        <v>MAQUERA</v>
      </c>
      <c r="I566" t="str">
        <f t="shared" si="35"/>
        <v xml:space="preserve"> JHON DONNY</v>
      </c>
    </row>
    <row r="567" spans="1:9" x14ac:dyDescent="0.25">
      <c r="A567" t="s">
        <v>756</v>
      </c>
      <c r="B567" t="s">
        <v>757</v>
      </c>
      <c r="C567" s="2">
        <v>26838</v>
      </c>
      <c r="D567" t="s">
        <v>1743</v>
      </c>
      <c r="F567" t="str">
        <f t="shared" si="32"/>
        <v>TEJADA CACERES</v>
      </c>
      <c r="G567" t="str">
        <f t="shared" si="33"/>
        <v>TEJADA</v>
      </c>
      <c r="H567" t="str">
        <f t="shared" si="34"/>
        <v>CACERES</v>
      </c>
      <c r="I567" t="str">
        <f t="shared" si="35"/>
        <v xml:space="preserve"> EDGARD LEONCIO</v>
      </c>
    </row>
    <row r="568" spans="1:9" x14ac:dyDescent="0.25">
      <c r="A568" t="s">
        <v>990</v>
      </c>
      <c r="B568" t="s">
        <v>991</v>
      </c>
      <c r="C568" s="2">
        <v>35169</v>
      </c>
      <c r="D568" t="s">
        <v>1743</v>
      </c>
      <c r="F568" t="str">
        <f t="shared" si="32"/>
        <v>AMES GONZALES</v>
      </c>
      <c r="G568" t="str">
        <f t="shared" si="33"/>
        <v>AMES</v>
      </c>
      <c r="H568" t="str">
        <f t="shared" si="34"/>
        <v>GONZALES</v>
      </c>
      <c r="I568" t="str">
        <f t="shared" si="35"/>
        <v xml:space="preserve"> JHON CLINTON </v>
      </c>
    </row>
    <row r="569" spans="1:9" x14ac:dyDescent="0.25">
      <c r="A569" t="s">
        <v>992</v>
      </c>
      <c r="B569" t="s">
        <v>993</v>
      </c>
      <c r="C569" s="2">
        <v>36099</v>
      </c>
      <c r="D569" t="s">
        <v>1743</v>
      </c>
      <c r="E569" t="s">
        <v>1592</v>
      </c>
      <c r="F569" t="str">
        <f t="shared" si="32"/>
        <v>DIAZ LEON</v>
      </c>
      <c r="G569" t="str">
        <f t="shared" si="33"/>
        <v>DIAZ</v>
      </c>
      <c r="H569" t="str">
        <f t="shared" si="34"/>
        <v>LEON</v>
      </c>
      <c r="I569" t="str">
        <f t="shared" si="35"/>
        <v xml:space="preserve"> JOSE ENRIQUE</v>
      </c>
    </row>
    <row r="570" spans="1:9" x14ac:dyDescent="0.25">
      <c r="A570" t="s">
        <v>994</v>
      </c>
      <c r="B570" t="s">
        <v>995</v>
      </c>
      <c r="C570" s="2">
        <v>35268</v>
      </c>
      <c r="D570" t="s">
        <v>1743</v>
      </c>
      <c r="E570" t="s">
        <v>1593</v>
      </c>
      <c r="F570" t="str">
        <f t="shared" si="32"/>
        <v>CARRASCO RAMOS</v>
      </c>
      <c r="G570" t="str">
        <f t="shared" si="33"/>
        <v>CARRASCO</v>
      </c>
      <c r="H570" t="str">
        <f t="shared" si="34"/>
        <v>RAMOS</v>
      </c>
      <c r="I570" t="str">
        <f t="shared" si="35"/>
        <v xml:space="preserve"> MIGUEL ANGEL</v>
      </c>
    </row>
    <row r="571" spans="1:9" x14ac:dyDescent="0.25">
      <c r="A571" t="s">
        <v>996</v>
      </c>
      <c r="B571" t="s">
        <v>997</v>
      </c>
      <c r="C571" s="2">
        <v>34433</v>
      </c>
      <c r="D571" t="s">
        <v>1743</v>
      </c>
      <c r="F571" t="str">
        <f t="shared" si="32"/>
        <v>MACHACUAY TOCTO</v>
      </c>
      <c r="G571" t="str">
        <f t="shared" si="33"/>
        <v>MACHACUAY</v>
      </c>
      <c r="H571" t="str">
        <f t="shared" si="34"/>
        <v>TOCTO</v>
      </c>
      <c r="I571" t="str">
        <f t="shared" si="35"/>
        <v xml:space="preserve"> WILMER</v>
      </c>
    </row>
    <row r="572" spans="1:9" x14ac:dyDescent="0.25">
      <c r="A572" t="s">
        <v>998</v>
      </c>
      <c r="B572" t="s">
        <v>999</v>
      </c>
      <c r="C572" s="2">
        <v>31319</v>
      </c>
      <c r="D572" t="s">
        <v>1743</v>
      </c>
      <c r="F572" t="str">
        <f t="shared" si="32"/>
        <v>PISFIL ESPINOZA</v>
      </c>
      <c r="G572" t="str">
        <f t="shared" si="33"/>
        <v>PISFIL</v>
      </c>
      <c r="H572" t="str">
        <f t="shared" si="34"/>
        <v>ESPINOZA</v>
      </c>
      <c r="I572" t="str">
        <f t="shared" si="35"/>
        <v xml:space="preserve"> SEGUNDO TEOFILO</v>
      </c>
    </row>
    <row r="573" spans="1:9" x14ac:dyDescent="0.25">
      <c r="A573" t="s">
        <v>1000</v>
      </c>
      <c r="B573" t="s">
        <v>1001</v>
      </c>
      <c r="C573" s="2">
        <v>36860</v>
      </c>
      <c r="D573" t="s">
        <v>1743</v>
      </c>
      <c r="E573" t="s">
        <v>1594</v>
      </c>
      <c r="F573" t="str">
        <f t="shared" si="32"/>
        <v>VELASQUEZ CHICHIPE</v>
      </c>
      <c r="G573" t="str">
        <f t="shared" si="33"/>
        <v>VELASQUEZ</v>
      </c>
      <c r="H573" t="str">
        <f t="shared" si="34"/>
        <v>CHICHIPE</v>
      </c>
      <c r="I573" t="str">
        <f t="shared" si="35"/>
        <v xml:space="preserve"> RENZO DAVID </v>
      </c>
    </row>
    <row r="574" spans="1:9" x14ac:dyDescent="0.25">
      <c r="A574" t="s">
        <v>1002</v>
      </c>
      <c r="B574" t="s">
        <v>1003</v>
      </c>
      <c r="C574" s="2">
        <v>36118</v>
      </c>
      <c r="D574" t="s">
        <v>1743</v>
      </c>
      <c r="F574" t="str">
        <f t="shared" si="32"/>
        <v>RUIZ MORI</v>
      </c>
      <c r="G574" t="str">
        <f t="shared" si="33"/>
        <v>RUIZ</v>
      </c>
      <c r="H574" t="str">
        <f t="shared" si="34"/>
        <v>MORI</v>
      </c>
      <c r="I574" t="str">
        <f t="shared" si="35"/>
        <v xml:space="preserve"> VICENTE ADRIAN</v>
      </c>
    </row>
    <row r="575" spans="1:9" x14ac:dyDescent="0.25">
      <c r="A575" t="s">
        <v>1004</v>
      </c>
      <c r="B575" t="s">
        <v>1005</v>
      </c>
      <c r="C575" s="2">
        <v>36411</v>
      </c>
      <c r="D575" t="s">
        <v>1743</v>
      </c>
      <c r="F575" t="str">
        <f t="shared" si="32"/>
        <v>PAREJA SILVA</v>
      </c>
      <c r="G575" t="str">
        <f t="shared" si="33"/>
        <v>PAREJA</v>
      </c>
      <c r="H575" t="str">
        <f t="shared" si="34"/>
        <v>SILVA</v>
      </c>
      <c r="I575" t="str">
        <f t="shared" si="35"/>
        <v xml:space="preserve"> CARLOS LUIS</v>
      </c>
    </row>
    <row r="576" spans="1:9" x14ac:dyDescent="0.25">
      <c r="A576" t="s">
        <v>1006</v>
      </c>
      <c r="B576" t="s">
        <v>1007</v>
      </c>
      <c r="C576" s="2">
        <v>35608</v>
      </c>
      <c r="D576" t="s">
        <v>1743</v>
      </c>
      <c r="F576" t="str">
        <f t="shared" si="32"/>
        <v>CABANILLAS TUCTO</v>
      </c>
      <c r="G576" t="str">
        <f t="shared" si="33"/>
        <v>CABANILLAS</v>
      </c>
      <c r="H576" t="str">
        <f t="shared" si="34"/>
        <v>TUCTO</v>
      </c>
      <c r="I576" t="str">
        <f t="shared" si="35"/>
        <v xml:space="preserve"> JOSE RONALDO</v>
      </c>
    </row>
    <row r="577" spans="1:9" x14ac:dyDescent="0.25">
      <c r="A577" t="s">
        <v>1008</v>
      </c>
      <c r="B577" t="s">
        <v>1009</v>
      </c>
      <c r="C577" s="2">
        <v>35443</v>
      </c>
      <c r="D577" t="s">
        <v>1743</v>
      </c>
      <c r="E577" t="s">
        <v>1595</v>
      </c>
      <c r="F577" t="str">
        <f t="shared" si="32"/>
        <v>CUADROS PARRA</v>
      </c>
      <c r="G577" t="str">
        <f t="shared" si="33"/>
        <v>CUADROS</v>
      </c>
      <c r="H577" t="str">
        <f t="shared" si="34"/>
        <v>PARRA</v>
      </c>
      <c r="I577" t="str">
        <f t="shared" si="35"/>
        <v xml:space="preserve"> LUIS FERNANDO</v>
      </c>
    </row>
    <row r="578" spans="1:9" x14ac:dyDescent="0.25">
      <c r="A578" t="s">
        <v>1010</v>
      </c>
      <c r="B578" t="s">
        <v>1011</v>
      </c>
      <c r="C578" s="2">
        <v>34387</v>
      </c>
      <c r="D578" t="s">
        <v>1743</v>
      </c>
      <c r="F578" t="str">
        <f t="shared" si="32"/>
        <v>ARCE ARCE</v>
      </c>
      <c r="G578" t="str">
        <f t="shared" si="33"/>
        <v>ARCE</v>
      </c>
      <c r="H578" t="str">
        <f t="shared" si="34"/>
        <v>ARCE</v>
      </c>
      <c r="I578" t="str">
        <f t="shared" si="35"/>
        <v xml:space="preserve"> ERICK HANSEL</v>
      </c>
    </row>
    <row r="579" spans="1:9" x14ac:dyDescent="0.25">
      <c r="A579" t="s">
        <v>397</v>
      </c>
      <c r="B579" t="s">
        <v>398</v>
      </c>
      <c r="C579" s="2">
        <v>32524</v>
      </c>
      <c r="D579" t="s">
        <v>1743</v>
      </c>
      <c r="F579" t="str">
        <f t="shared" ref="F579:F642" si="36">LEFT(B579,SEARCH(",",B579)-1)</f>
        <v>HUAMAN SUPA</v>
      </c>
      <c r="G579" t="str">
        <f t="shared" ref="G579:G642" si="37">LEFT(F579,SEARCH(" ",F579)-1)</f>
        <v>HUAMAN</v>
      </c>
      <c r="H579" t="str">
        <f t="shared" ref="H579:H642" si="38">RIGHT(F579,LEN(F579)- SEARCH(" ",F579))</f>
        <v>SUPA</v>
      </c>
      <c r="I579" t="str">
        <f t="shared" ref="I579:I642" si="39">RIGHT(B579,LEN(B579)- SEARCH(",",B579))</f>
        <v xml:space="preserve"> LUIS ALBERTO</v>
      </c>
    </row>
    <row r="580" spans="1:9" x14ac:dyDescent="0.25">
      <c r="A580" t="s">
        <v>1012</v>
      </c>
      <c r="B580" t="s">
        <v>1013</v>
      </c>
      <c r="C580" s="2">
        <v>37429</v>
      </c>
      <c r="D580" t="s">
        <v>1743</v>
      </c>
      <c r="F580" t="str">
        <f t="shared" si="36"/>
        <v>TABOADA SARAVIA</v>
      </c>
      <c r="G580" t="str">
        <f t="shared" si="37"/>
        <v>TABOADA</v>
      </c>
      <c r="H580" t="str">
        <f t="shared" si="38"/>
        <v>SARAVIA</v>
      </c>
      <c r="I580" t="str">
        <f t="shared" si="39"/>
        <v xml:space="preserve"> ONEIL DEL PIERO</v>
      </c>
    </row>
    <row r="581" spans="1:9" x14ac:dyDescent="0.25">
      <c r="A581" t="s">
        <v>1014</v>
      </c>
      <c r="B581" t="s">
        <v>1015</v>
      </c>
      <c r="C581" s="2">
        <v>37011</v>
      </c>
      <c r="D581" t="s">
        <v>1743</v>
      </c>
      <c r="F581" t="str">
        <f t="shared" si="36"/>
        <v>MORAN CHAMORRO</v>
      </c>
      <c r="G581" t="str">
        <f t="shared" si="37"/>
        <v>MORAN</v>
      </c>
      <c r="H581" t="str">
        <f t="shared" si="38"/>
        <v>CHAMORRO</v>
      </c>
      <c r="I581" t="str">
        <f t="shared" si="39"/>
        <v xml:space="preserve"> JOSEIN</v>
      </c>
    </row>
    <row r="582" spans="1:9" x14ac:dyDescent="0.25">
      <c r="A582" t="s">
        <v>1016</v>
      </c>
      <c r="B582" t="s">
        <v>1017</v>
      </c>
      <c r="C582" s="2">
        <v>24747</v>
      </c>
      <c r="D582" t="s">
        <v>1743</v>
      </c>
      <c r="F582" t="str">
        <f t="shared" si="36"/>
        <v>GARCIA GUTIERREZ</v>
      </c>
      <c r="G582" t="str">
        <f t="shared" si="37"/>
        <v>GARCIA</v>
      </c>
      <c r="H582" t="str">
        <f t="shared" si="38"/>
        <v>GUTIERREZ</v>
      </c>
      <c r="I582" t="str">
        <f t="shared" si="39"/>
        <v xml:space="preserve"> CARLOS</v>
      </c>
    </row>
    <row r="583" spans="1:9" x14ac:dyDescent="0.25">
      <c r="A583" t="s">
        <v>1018</v>
      </c>
      <c r="B583" t="s">
        <v>1019</v>
      </c>
      <c r="C583" s="2">
        <v>36847</v>
      </c>
      <c r="D583" t="s">
        <v>1744</v>
      </c>
      <c r="F583" t="str">
        <f t="shared" si="36"/>
        <v>BALDEON PACHECO</v>
      </c>
      <c r="G583" t="str">
        <f t="shared" si="37"/>
        <v>BALDEON</v>
      </c>
      <c r="H583" t="str">
        <f t="shared" si="38"/>
        <v>PACHECO</v>
      </c>
      <c r="I583" t="str">
        <f t="shared" si="39"/>
        <v xml:space="preserve"> KELLY</v>
      </c>
    </row>
    <row r="584" spans="1:9" x14ac:dyDescent="0.25">
      <c r="A584" t="s">
        <v>713</v>
      </c>
      <c r="B584" t="s">
        <v>714</v>
      </c>
      <c r="C584" s="2">
        <v>37607</v>
      </c>
      <c r="D584" t="s">
        <v>1744</v>
      </c>
      <c r="F584" t="str">
        <f t="shared" si="36"/>
        <v>ANAMPA MACHUCA</v>
      </c>
      <c r="G584" t="str">
        <f t="shared" si="37"/>
        <v>ANAMPA</v>
      </c>
      <c r="H584" t="str">
        <f t="shared" si="38"/>
        <v>MACHUCA</v>
      </c>
      <c r="I584" t="str">
        <f t="shared" si="39"/>
        <v xml:space="preserve"> JEYSA ALEXANDRA</v>
      </c>
    </row>
    <row r="585" spans="1:9" x14ac:dyDescent="0.25">
      <c r="A585" t="s">
        <v>552</v>
      </c>
      <c r="B585" t="s">
        <v>553</v>
      </c>
      <c r="C585" s="2">
        <v>31265</v>
      </c>
      <c r="D585" t="s">
        <v>1743</v>
      </c>
      <c r="E585" t="s">
        <v>1596</v>
      </c>
      <c r="F585" t="str">
        <f t="shared" si="36"/>
        <v>REVOLLEDO OLIVOS</v>
      </c>
      <c r="G585" t="str">
        <f t="shared" si="37"/>
        <v>REVOLLEDO</v>
      </c>
      <c r="H585" t="str">
        <f t="shared" si="38"/>
        <v>OLIVOS</v>
      </c>
      <c r="I585" t="str">
        <f t="shared" si="39"/>
        <v xml:space="preserve"> JHAN MARTIN</v>
      </c>
    </row>
    <row r="586" spans="1:9" x14ac:dyDescent="0.25">
      <c r="A586" t="s">
        <v>443</v>
      </c>
      <c r="B586" t="s">
        <v>444</v>
      </c>
      <c r="C586" s="2">
        <v>30183</v>
      </c>
      <c r="D586" t="s">
        <v>1743</v>
      </c>
      <c r="F586" t="str">
        <f t="shared" si="36"/>
        <v>SANCHEZ JIMENEZ</v>
      </c>
      <c r="G586" t="str">
        <f t="shared" si="37"/>
        <v>SANCHEZ</v>
      </c>
      <c r="H586" t="str">
        <f t="shared" si="38"/>
        <v>JIMENEZ</v>
      </c>
      <c r="I586" t="str">
        <f t="shared" si="39"/>
        <v xml:space="preserve"> JOSE ARQUIMEDES</v>
      </c>
    </row>
    <row r="587" spans="1:9" x14ac:dyDescent="0.25">
      <c r="A587" t="s">
        <v>1020</v>
      </c>
      <c r="B587" t="s">
        <v>1021</v>
      </c>
      <c r="C587" s="2">
        <v>35243</v>
      </c>
      <c r="D587" t="s">
        <v>1744</v>
      </c>
      <c r="F587" t="str">
        <f t="shared" si="36"/>
        <v>TIRADO CELIS</v>
      </c>
      <c r="G587" t="str">
        <f t="shared" si="37"/>
        <v>TIRADO</v>
      </c>
      <c r="H587" t="str">
        <f t="shared" si="38"/>
        <v>CELIS</v>
      </c>
      <c r="I587" t="str">
        <f t="shared" si="39"/>
        <v xml:space="preserve"> MERCI ANGEL ROSA</v>
      </c>
    </row>
    <row r="588" spans="1:9" x14ac:dyDescent="0.25">
      <c r="A588" t="s">
        <v>1022</v>
      </c>
      <c r="B588" t="s">
        <v>1023</v>
      </c>
      <c r="C588" s="2">
        <v>35253</v>
      </c>
      <c r="D588" t="s">
        <v>1743</v>
      </c>
      <c r="F588" t="str">
        <f t="shared" si="36"/>
        <v>CASTILLO YESQUEN</v>
      </c>
      <c r="G588" t="str">
        <f t="shared" si="37"/>
        <v>CASTILLO</v>
      </c>
      <c r="H588" t="str">
        <f t="shared" si="38"/>
        <v>YESQUEN</v>
      </c>
      <c r="I588" t="str">
        <f t="shared" si="39"/>
        <v xml:space="preserve"> WILSON ALFREDO</v>
      </c>
    </row>
    <row r="589" spans="1:9" x14ac:dyDescent="0.25">
      <c r="A589" t="s">
        <v>558</v>
      </c>
      <c r="B589" t="s">
        <v>559</v>
      </c>
      <c r="C589" s="2">
        <v>35923</v>
      </c>
      <c r="D589" t="s">
        <v>1743</v>
      </c>
      <c r="F589" t="str">
        <f t="shared" si="36"/>
        <v>YOVERA RAMIREZ</v>
      </c>
      <c r="G589" t="str">
        <f t="shared" si="37"/>
        <v>YOVERA</v>
      </c>
      <c r="H589" t="str">
        <f t="shared" si="38"/>
        <v>RAMIREZ</v>
      </c>
      <c r="I589" t="str">
        <f t="shared" si="39"/>
        <v xml:space="preserve"> CESAR ADRIÁN</v>
      </c>
    </row>
    <row r="590" spans="1:9" x14ac:dyDescent="0.25">
      <c r="A590" t="s">
        <v>1024</v>
      </c>
      <c r="B590" t="s">
        <v>1025</v>
      </c>
      <c r="C590" s="2">
        <v>36798</v>
      </c>
      <c r="D590" t="s">
        <v>1743</v>
      </c>
      <c r="F590" t="str">
        <f t="shared" si="36"/>
        <v>ROJAS RODRIGUEZ</v>
      </c>
      <c r="G590" t="str">
        <f t="shared" si="37"/>
        <v>ROJAS</v>
      </c>
      <c r="H590" t="str">
        <f t="shared" si="38"/>
        <v>RODRIGUEZ</v>
      </c>
      <c r="I590" t="str">
        <f t="shared" si="39"/>
        <v xml:space="preserve"> IVAN FRANCISCO</v>
      </c>
    </row>
    <row r="591" spans="1:9" x14ac:dyDescent="0.25">
      <c r="A591" t="s">
        <v>250</v>
      </c>
      <c r="B591" t="s">
        <v>251</v>
      </c>
      <c r="C591" s="2">
        <v>32855</v>
      </c>
      <c r="D591" t="s">
        <v>1743</v>
      </c>
      <c r="F591" t="str">
        <f t="shared" si="36"/>
        <v>CUADRA PASQUEL</v>
      </c>
      <c r="G591" t="str">
        <f t="shared" si="37"/>
        <v>CUADRA</v>
      </c>
      <c r="H591" t="str">
        <f t="shared" si="38"/>
        <v>PASQUEL</v>
      </c>
      <c r="I591" t="str">
        <f t="shared" si="39"/>
        <v xml:space="preserve"> JESUS ALEJANDRO</v>
      </c>
    </row>
    <row r="592" spans="1:9" x14ac:dyDescent="0.25">
      <c r="A592" t="s">
        <v>1026</v>
      </c>
      <c r="B592" t="s">
        <v>1027</v>
      </c>
      <c r="C592" s="2">
        <v>36009</v>
      </c>
      <c r="D592" t="s">
        <v>1743</v>
      </c>
      <c r="F592" t="str">
        <f t="shared" si="36"/>
        <v>PALOMINO MENDOZA</v>
      </c>
      <c r="G592" t="str">
        <f t="shared" si="37"/>
        <v>PALOMINO</v>
      </c>
      <c r="H592" t="str">
        <f t="shared" si="38"/>
        <v>MENDOZA</v>
      </c>
      <c r="I592" t="str">
        <f t="shared" si="39"/>
        <v xml:space="preserve"> DIEGO THOMAS </v>
      </c>
    </row>
    <row r="593" spans="1:9" x14ac:dyDescent="0.25">
      <c r="A593" t="s">
        <v>1028</v>
      </c>
      <c r="B593" t="s">
        <v>1029</v>
      </c>
      <c r="C593" s="2">
        <v>36172</v>
      </c>
      <c r="D593" t="s">
        <v>1743</v>
      </c>
      <c r="F593" t="str">
        <f t="shared" si="36"/>
        <v>TURPO TAYPE</v>
      </c>
      <c r="G593" t="str">
        <f t="shared" si="37"/>
        <v>TURPO</v>
      </c>
      <c r="H593" t="str">
        <f t="shared" si="38"/>
        <v>TAYPE</v>
      </c>
      <c r="I593" t="str">
        <f t="shared" si="39"/>
        <v xml:space="preserve"> OMAR ALFREDO</v>
      </c>
    </row>
    <row r="594" spans="1:9" x14ac:dyDescent="0.25">
      <c r="A594" t="s">
        <v>1030</v>
      </c>
      <c r="B594" t="s">
        <v>1031</v>
      </c>
      <c r="C594" s="2">
        <v>36017</v>
      </c>
      <c r="D594" t="s">
        <v>1743</v>
      </c>
      <c r="F594" t="str">
        <f t="shared" si="36"/>
        <v>CARMONA MOGOLLÓN</v>
      </c>
      <c r="G594" t="str">
        <f t="shared" si="37"/>
        <v>CARMONA</v>
      </c>
      <c r="H594" t="str">
        <f t="shared" si="38"/>
        <v>MOGOLLÓN</v>
      </c>
      <c r="I594" t="str">
        <f t="shared" si="39"/>
        <v xml:space="preserve"> JOHAN ALDHAIR </v>
      </c>
    </row>
    <row r="595" spans="1:9" x14ac:dyDescent="0.25">
      <c r="A595" t="s">
        <v>1032</v>
      </c>
      <c r="B595" t="s">
        <v>1033</v>
      </c>
      <c r="C595" s="2">
        <v>32662</v>
      </c>
      <c r="D595" t="s">
        <v>1743</v>
      </c>
      <c r="F595" t="str">
        <f t="shared" si="36"/>
        <v>CRUZ VARAS</v>
      </c>
      <c r="G595" t="str">
        <f t="shared" si="37"/>
        <v>CRUZ</v>
      </c>
      <c r="H595" t="str">
        <f t="shared" si="38"/>
        <v>VARAS</v>
      </c>
      <c r="I595" t="str">
        <f t="shared" si="39"/>
        <v xml:space="preserve"> IVAN JAVIER </v>
      </c>
    </row>
    <row r="596" spans="1:9" x14ac:dyDescent="0.25">
      <c r="A596" t="s">
        <v>1034</v>
      </c>
      <c r="B596" t="s">
        <v>1035</v>
      </c>
      <c r="C596" s="2">
        <v>34025</v>
      </c>
      <c r="D596" t="s">
        <v>1743</v>
      </c>
      <c r="F596" t="str">
        <f t="shared" si="36"/>
        <v>ROJAS AGUILAR</v>
      </c>
      <c r="G596" t="str">
        <f t="shared" si="37"/>
        <v>ROJAS</v>
      </c>
      <c r="H596" t="str">
        <f t="shared" si="38"/>
        <v>AGUILAR</v>
      </c>
      <c r="I596" t="str">
        <f t="shared" si="39"/>
        <v xml:space="preserve"> SAMUEL LEONARDO </v>
      </c>
    </row>
    <row r="597" spans="1:9" x14ac:dyDescent="0.25">
      <c r="A597" t="s">
        <v>835</v>
      </c>
      <c r="B597" t="s">
        <v>836</v>
      </c>
      <c r="C597" s="2">
        <v>25532</v>
      </c>
      <c r="D597" t="s">
        <v>1743</v>
      </c>
      <c r="F597" t="str">
        <f t="shared" si="36"/>
        <v>ALCALA GALLARDO</v>
      </c>
      <c r="G597" t="str">
        <f t="shared" si="37"/>
        <v>ALCALA</v>
      </c>
      <c r="H597" t="str">
        <f t="shared" si="38"/>
        <v>GALLARDO</v>
      </c>
      <c r="I597" t="str">
        <f t="shared" si="39"/>
        <v xml:space="preserve">  JOSE VICTOR MARTIN</v>
      </c>
    </row>
    <row r="598" spans="1:9" x14ac:dyDescent="0.25">
      <c r="A598" t="s">
        <v>1036</v>
      </c>
      <c r="B598" t="s">
        <v>1037</v>
      </c>
      <c r="C598" s="2">
        <v>36398</v>
      </c>
      <c r="D598" t="s">
        <v>1743</v>
      </c>
      <c r="F598" t="str">
        <f t="shared" si="36"/>
        <v>TUDELANO ZUÑIGA</v>
      </c>
      <c r="G598" t="str">
        <f t="shared" si="37"/>
        <v>TUDELANO</v>
      </c>
      <c r="H598" t="str">
        <f t="shared" si="38"/>
        <v>ZUÑIGA</v>
      </c>
      <c r="I598" t="str">
        <f t="shared" si="39"/>
        <v xml:space="preserve"> JOSE FRANCISCO</v>
      </c>
    </row>
    <row r="599" spans="1:9" x14ac:dyDescent="0.25">
      <c r="A599" t="s">
        <v>1038</v>
      </c>
      <c r="B599" t="s">
        <v>1039</v>
      </c>
      <c r="C599" s="2">
        <v>32903</v>
      </c>
      <c r="D599" t="s">
        <v>1743</v>
      </c>
      <c r="F599" t="str">
        <f t="shared" si="36"/>
        <v>ZEVALLOS ROQUE</v>
      </c>
      <c r="G599" t="str">
        <f t="shared" si="37"/>
        <v>ZEVALLOS</v>
      </c>
      <c r="H599" t="str">
        <f t="shared" si="38"/>
        <v>ROQUE</v>
      </c>
      <c r="I599" t="str">
        <f t="shared" si="39"/>
        <v xml:space="preserve"> ONESIMO NEHEMIAS</v>
      </c>
    </row>
    <row r="600" spans="1:9" x14ac:dyDescent="0.25">
      <c r="A600" t="s">
        <v>1040</v>
      </c>
      <c r="B600" t="s">
        <v>1041</v>
      </c>
      <c r="C600" s="2">
        <v>28378</v>
      </c>
      <c r="D600" t="s">
        <v>1743</v>
      </c>
      <c r="E600" t="s">
        <v>1597</v>
      </c>
      <c r="F600" t="str">
        <f t="shared" si="36"/>
        <v>MESTANZA TORRES</v>
      </c>
      <c r="G600" t="str">
        <f t="shared" si="37"/>
        <v>MESTANZA</v>
      </c>
      <c r="H600" t="str">
        <f t="shared" si="38"/>
        <v>TORRES</v>
      </c>
      <c r="I600" t="str">
        <f t="shared" si="39"/>
        <v xml:space="preserve"> CESÁR AUGUSTO</v>
      </c>
    </row>
    <row r="601" spans="1:9" x14ac:dyDescent="0.25">
      <c r="A601" t="s">
        <v>1042</v>
      </c>
      <c r="B601" t="s">
        <v>1043</v>
      </c>
      <c r="C601" s="2">
        <v>35246</v>
      </c>
      <c r="D601" t="s">
        <v>1743</v>
      </c>
      <c r="F601" t="str">
        <f t="shared" si="36"/>
        <v>KUTUCALLA AUCCA</v>
      </c>
      <c r="G601" t="str">
        <f t="shared" si="37"/>
        <v>KUTUCALLA</v>
      </c>
      <c r="H601" t="str">
        <f t="shared" si="38"/>
        <v>AUCCA</v>
      </c>
      <c r="I601" t="str">
        <f t="shared" si="39"/>
        <v xml:space="preserve"> ROLANDO </v>
      </c>
    </row>
    <row r="602" spans="1:9" x14ac:dyDescent="0.25">
      <c r="A602" t="s">
        <v>1044</v>
      </c>
      <c r="B602" t="s">
        <v>1045</v>
      </c>
      <c r="C602" s="2">
        <v>34600</v>
      </c>
      <c r="D602" t="s">
        <v>1743</v>
      </c>
      <c r="F602" t="str">
        <f t="shared" si="36"/>
        <v>CAMIZÁN CASTILLO</v>
      </c>
      <c r="G602" t="str">
        <f t="shared" si="37"/>
        <v>CAMIZÁN</v>
      </c>
      <c r="H602" t="str">
        <f t="shared" si="38"/>
        <v>CASTILLO</v>
      </c>
      <c r="I602" t="str">
        <f t="shared" si="39"/>
        <v xml:space="preserve"> ISRAEL ALEJANDRO</v>
      </c>
    </row>
    <row r="603" spans="1:9" x14ac:dyDescent="0.25">
      <c r="A603" t="s">
        <v>851</v>
      </c>
      <c r="B603" t="s">
        <v>852</v>
      </c>
      <c r="C603" s="2">
        <v>30871</v>
      </c>
      <c r="D603" t="s">
        <v>1743</v>
      </c>
      <c r="E603" t="s">
        <v>1598</v>
      </c>
      <c r="F603" t="str">
        <f t="shared" si="36"/>
        <v>BARDALES AGUILA</v>
      </c>
      <c r="G603" t="str">
        <f t="shared" si="37"/>
        <v>BARDALES</v>
      </c>
      <c r="H603" t="str">
        <f t="shared" si="38"/>
        <v>AGUILA</v>
      </c>
      <c r="I603" t="str">
        <f t="shared" si="39"/>
        <v xml:space="preserve"> JULIO CARLOS</v>
      </c>
    </row>
    <row r="604" spans="1:9" x14ac:dyDescent="0.25">
      <c r="A604" t="s">
        <v>150</v>
      </c>
      <c r="B604" t="s">
        <v>151</v>
      </c>
      <c r="C604" s="2">
        <v>30275</v>
      </c>
      <c r="D604" t="s">
        <v>1743</v>
      </c>
      <c r="F604" t="str">
        <f t="shared" si="36"/>
        <v>FLORES VILLAR</v>
      </c>
      <c r="G604" t="str">
        <f t="shared" si="37"/>
        <v>FLORES</v>
      </c>
      <c r="H604" t="str">
        <f t="shared" si="38"/>
        <v>VILLAR</v>
      </c>
      <c r="I604" t="str">
        <f t="shared" si="39"/>
        <v xml:space="preserve"> JUAN CARLOS</v>
      </c>
    </row>
    <row r="605" spans="1:9" x14ac:dyDescent="0.25">
      <c r="A605" t="s">
        <v>855</v>
      </c>
      <c r="B605" t="s">
        <v>856</v>
      </c>
      <c r="C605" s="2">
        <v>36784</v>
      </c>
      <c r="D605" t="s">
        <v>1743</v>
      </c>
      <c r="E605" t="s">
        <v>1599</v>
      </c>
      <c r="F605" t="str">
        <f t="shared" si="36"/>
        <v>ROJAS IPANAQUE</v>
      </c>
      <c r="G605" t="str">
        <f t="shared" si="37"/>
        <v>ROJAS</v>
      </c>
      <c r="H605" t="str">
        <f t="shared" si="38"/>
        <v>IPANAQUE</v>
      </c>
      <c r="I605" t="str">
        <f t="shared" si="39"/>
        <v xml:space="preserve"> LUIS MIGUEL</v>
      </c>
    </row>
    <row r="606" spans="1:9" x14ac:dyDescent="0.25">
      <c r="A606" t="s">
        <v>729</v>
      </c>
      <c r="B606" t="s">
        <v>730</v>
      </c>
      <c r="C606" s="2">
        <v>33340</v>
      </c>
      <c r="D606" t="s">
        <v>1743</v>
      </c>
      <c r="F606" t="str">
        <f t="shared" si="36"/>
        <v>USCAMAYTA RIVERA</v>
      </c>
      <c r="G606" t="str">
        <f t="shared" si="37"/>
        <v>USCAMAYTA</v>
      </c>
      <c r="H606" t="str">
        <f t="shared" si="38"/>
        <v>RIVERA</v>
      </c>
      <c r="I606" t="str">
        <f t="shared" si="39"/>
        <v xml:space="preserve"> JHONATAN MAURO</v>
      </c>
    </row>
    <row r="607" spans="1:9" x14ac:dyDescent="0.25">
      <c r="A607" t="s">
        <v>889</v>
      </c>
      <c r="B607" t="s">
        <v>453</v>
      </c>
      <c r="C607" s="2">
        <v>36232</v>
      </c>
      <c r="D607" t="s">
        <v>1743</v>
      </c>
      <c r="F607" t="str">
        <f t="shared" si="36"/>
        <v>RODRIGUEZ RISCO</v>
      </c>
      <c r="G607" t="str">
        <f t="shared" si="37"/>
        <v>RODRIGUEZ</v>
      </c>
      <c r="H607" t="str">
        <f t="shared" si="38"/>
        <v>RISCO</v>
      </c>
      <c r="I607" t="str">
        <f t="shared" si="39"/>
        <v xml:space="preserve"> CARLOS YAIR</v>
      </c>
    </row>
    <row r="608" spans="1:9" x14ac:dyDescent="0.25">
      <c r="A608" t="s">
        <v>1046</v>
      </c>
      <c r="B608" t="s">
        <v>1047</v>
      </c>
      <c r="C608" s="2">
        <v>33736</v>
      </c>
      <c r="D608" t="s">
        <v>1743</v>
      </c>
      <c r="F608" t="str">
        <f t="shared" si="36"/>
        <v>TABOADA PALOMINO</v>
      </c>
      <c r="G608" t="str">
        <f t="shared" si="37"/>
        <v>TABOADA</v>
      </c>
      <c r="H608" t="str">
        <f t="shared" si="38"/>
        <v>PALOMINO</v>
      </c>
      <c r="I608" t="str">
        <f t="shared" si="39"/>
        <v xml:space="preserve"> ANGIELO DE JESUS </v>
      </c>
    </row>
    <row r="609" spans="1:9" x14ac:dyDescent="0.25">
      <c r="A609" t="s">
        <v>1048</v>
      </c>
      <c r="B609" t="s">
        <v>1049</v>
      </c>
      <c r="C609" s="2">
        <v>33811</v>
      </c>
      <c r="D609" t="s">
        <v>1743</v>
      </c>
      <c r="F609" t="str">
        <f t="shared" si="36"/>
        <v>CURITIMA TINOCO</v>
      </c>
      <c r="G609" t="str">
        <f t="shared" si="37"/>
        <v>CURITIMA</v>
      </c>
      <c r="H609" t="str">
        <f t="shared" si="38"/>
        <v>TINOCO</v>
      </c>
      <c r="I609" t="str">
        <f t="shared" si="39"/>
        <v xml:space="preserve"> CARLOS ALBERTO</v>
      </c>
    </row>
    <row r="610" spans="1:9" x14ac:dyDescent="0.25">
      <c r="A610" t="s">
        <v>1050</v>
      </c>
      <c r="B610" t="s">
        <v>1051</v>
      </c>
      <c r="C610" s="2">
        <v>32153</v>
      </c>
      <c r="D610" t="s">
        <v>1743</v>
      </c>
      <c r="F610" t="str">
        <f t="shared" si="36"/>
        <v>HORNA BENITES</v>
      </c>
      <c r="G610" t="str">
        <f t="shared" si="37"/>
        <v>HORNA</v>
      </c>
      <c r="H610" t="str">
        <f t="shared" si="38"/>
        <v>BENITES</v>
      </c>
      <c r="I610" t="str">
        <f t="shared" si="39"/>
        <v xml:space="preserve"> VARI</v>
      </c>
    </row>
    <row r="611" spans="1:9" x14ac:dyDescent="0.25">
      <c r="A611" t="s">
        <v>1052</v>
      </c>
      <c r="B611" t="s">
        <v>1053</v>
      </c>
      <c r="C611" s="2">
        <v>34662</v>
      </c>
      <c r="D611" t="s">
        <v>1743</v>
      </c>
      <c r="F611" t="str">
        <f t="shared" si="36"/>
        <v>ZAPATA ROSALES</v>
      </c>
      <c r="G611" t="str">
        <f t="shared" si="37"/>
        <v>ZAPATA</v>
      </c>
      <c r="H611" t="str">
        <f t="shared" si="38"/>
        <v>ROSALES</v>
      </c>
      <c r="I611" t="str">
        <f t="shared" si="39"/>
        <v xml:space="preserve"> LUIS ANGEL DEL CARMEN </v>
      </c>
    </row>
    <row r="612" spans="1:9" x14ac:dyDescent="0.25">
      <c r="A612" t="s">
        <v>1054</v>
      </c>
      <c r="B612" t="s">
        <v>1055</v>
      </c>
      <c r="C612" s="2">
        <v>34101</v>
      </c>
      <c r="D612" t="s">
        <v>1743</v>
      </c>
      <c r="F612" t="str">
        <f t="shared" si="36"/>
        <v>HUILLCARIMAY MAQUE</v>
      </c>
      <c r="G612" t="str">
        <f t="shared" si="37"/>
        <v>HUILLCARIMAY</v>
      </c>
      <c r="H612" t="str">
        <f t="shared" si="38"/>
        <v>MAQUE</v>
      </c>
      <c r="I612" t="str">
        <f t="shared" si="39"/>
        <v xml:space="preserve"> ELMER </v>
      </c>
    </row>
    <row r="613" spans="1:9" x14ac:dyDescent="0.25">
      <c r="A613" t="s">
        <v>1056</v>
      </c>
      <c r="B613" t="s">
        <v>1057</v>
      </c>
      <c r="C613" s="2">
        <v>31941</v>
      </c>
      <c r="D613" t="s">
        <v>1743</v>
      </c>
      <c r="F613" t="str">
        <f t="shared" si="36"/>
        <v>PONCE PORRAS</v>
      </c>
      <c r="G613" t="str">
        <f t="shared" si="37"/>
        <v>PONCE</v>
      </c>
      <c r="H613" t="str">
        <f t="shared" si="38"/>
        <v>PORRAS</v>
      </c>
      <c r="I613" t="str">
        <f t="shared" si="39"/>
        <v xml:space="preserve"> ROBERTH</v>
      </c>
    </row>
    <row r="614" spans="1:9" x14ac:dyDescent="0.25">
      <c r="A614" t="s">
        <v>1058</v>
      </c>
      <c r="B614" t="s">
        <v>1059</v>
      </c>
      <c r="C614" s="2">
        <v>25647</v>
      </c>
      <c r="D614" t="s">
        <v>1743</v>
      </c>
      <c r="F614" t="str">
        <f t="shared" si="36"/>
        <v>BERNAL MANRIQUE</v>
      </c>
      <c r="G614" t="str">
        <f t="shared" si="37"/>
        <v>BERNAL</v>
      </c>
      <c r="H614" t="str">
        <f t="shared" si="38"/>
        <v>MANRIQUE</v>
      </c>
      <c r="I614" t="str">
        <f t="shared" si="39"/>
        <v xml:space="preserve"> MANUEL</v>
      </c>
    </row>
    <row r="615" spans="1:9" x14ac:dyDescent="0.25">
      <c r="A615" t="s">
        <v>1060</v>
      </c>
      <c r="B615" t="s">
        <v>1061</v>
      </c>
      <c r="C615" s="2">
        <v>36167</v>
      </c>
      <c r="D615" t="s">
        <v>1743</v>
      </c>
      <c r="F615" t="str">
        <f t="shared" si="36"/>
        <v>CHICLLA ABARCA</v>
      </c>
      <c r="G615" t="str">
        <f t="shared" si="37"/>
        <v>CHICLLA</v>
      </c>
      <c r="H615" t="str">
        <f t="shared" si="38"/>
        <v>ABARCA</v>
      </c>
      <c r="I615" t="str">
        <f t="shared" si="39"/>
        <v xml:space="preserve"> OSCAR POOL</v>
      </c>
    </row>
    <row r="616" spans="1:9" x14ac:dyDescent="0.25">
      <c r="A616" t="s">
        <v>1062</v>
      </c>
      <c r="B616" t="s">
        <v>1063</v>
      </c>
      <c r="C616" s="2">
        <v>28692</v>
      </c>
      <c r="D616" t="s">
        <v>1743</v>
      </c>
      <c r="F616" t="str">
        <f t="shared" si="36"/>
        <v>GANVINE ELIAS</v>
      </c>
      <c r="G616" t="str">
        <f t="shared" si="37"/>
        <v>GANVINE</v>
      </c>
      <c r="H616" t="str">
        <f t="shared" si="38"/>
        <v>ELIAS</v>
      </c>
      <c r="I616" t="str">
        <f t="shared" si="39"/>
        <v xml:space="preserve"> ERNESTO ALONSO</v>
      </c>
    </row>
    <row r="617" spans="1:9" x14ac:dyDescent="0.25">
      <c r="A617" t="s">
        <v>1064</v>
      </c>
      <c r="B617" t="s">
        <v>1065</v>
      </c>
      <c r="C617" s="2">
        <v>35423</v>
      </c>
      <c r="D617" t="s">
        <v>1744</v>
      </c>
      <c r="F617" t="str">
        <f t="shared" si="36"/>
        <v>CONGA CUICAPUZA</v>
      </c>
      <c r="G617" t="str">
        <f t="shared" si="37"/>
        <v>CONGA</v>
      </c>
      <c r="H617" t="str">
        <f t="shared" si="38"/>
        <v>CUICAPUZA</v>
      </c>
      <c r="I617" t="str">
        <f t="shared" si="39"/>
        <v xml:space="preserve"> JHANDERI KEYLI</v>
      </c>
    </row>
    <row r="618" spans="1:9" x14ac:dyDescent="0.25">
      <c r="A618" t="s">
        <v>1066</v>
      </c>
      <c r="B618" t="s">
        <v>1067</v>
      </c>
      <c r="C618" s="2">
        <v>34956</v>
      </c>
      <c r="D618" t="s">
        <v>1743</v>
      </c>
      <c r="F618" t="str">
        <f t="shared" si="36"/>
        <v>DÁVILA CHIGUALA</v>
      </c>
      <c r="G618" t="str">
        <f t="shared" si="37"/>
        <v>DÁVILA</v>
      </c>
      <c r="H618" t="str">
        <f t="shared" si="38"/>
        <v>CHIGUALA</v>
      </c>
      <c r="I618" t="str">
        <f t="shared" si="39"/>
        <v xml:space="preserve"> ROLLING ANDREI </v>
      </c>
    </row>
    <row r="619" spans="1:9" x14ac:dyDescent="0.25">
      <c r="A619" t="s">
        <v>179</v>
      </c>
      <c r="B619" t="s">
        <v>1068</v>
      </c>
      <c r="C619" s="2">
        <v>32198</v>
      </c>
      <c r="D619" t="s">
        <v>1743</v>
      </c>
      <c r="F619" t="str">
        <f t="shared" si="36"/>
        <v>ESPINOZA PEREZ</v>
      </c>
      <c r="G619" t="str">
        <f t="shared" si="37"/>
        <v>ESPINOZA</v>
      </c>
      <c r="H619" t="str">
        <f t="shared" si="38"/>
        <v>PEREZ</v>
      </c>
      <c r="I619" t="str">
        <f t="shared" si="39"/>
        <v xml:space="preserve"> LUIGUI BRAYAN </v>
      </c>
    </row>
    <row r="620" spans="1:9" x14ac:dyDescent="0.25">
      <c r="A620" t="s">
        <v>1069</v>
      </c>
      <c r="B620" t="s">
        <v>1070</v>
      </c>
      <c r="C620" s="2">
        <v>35765</v>
      </c>
      <c r="D620" t="s">
        <v>1743</v>
      </c>
      <c r="F620" t="str">
        <f t="shared" si="36"/>
        <v>CORDOVA LOPEZ</v>
      </c>
      <c r="G620" t="str">
        <f t="shared" si="37"/>
        <v>CORDOVA</v>
      </c>
      <c r="H620" t="str">
        <f t="shared" si="38"/>
        <v>LOPEZ</v>
      </c>
      <c r="I620" t="str">
        <f t="shared" si="39"/>
        <v xml:space="preserve"> ABIMEL</v>
      </c>
    </row>
    <row r="621" spans="1:9" x14ac:dyDescent="0.25">
      <c r="A621" t="s">
        <v>1071</v>
      </c>
      <c r="B621" t="s">
        <v>1072</v>
      </c>
      <c r="C621" s="2">
        <v>36308</v>
      </c>
      <c r="D621" t="s">
        <v>1743</v>
      </c>
      <c r="F621" t="str">
        <f t="shared" si="36"/>
        <v>QUISPE QUISPE</v>
      </c>
      <c r="G621" t="str">
        <f t="shared" si="37"/>
        <v>QUISPE</v>
      </c>
      <c r="H621" t="str">
        <f t="shared" si="38"/>
        <v>QUISPE</v>
      </c>
      <c r="I621" t="str">
        <f t="shared" si="39"/>
        <v xml:space="preserve"> WILBER FERNANDO</v>
      </c>
    </row>
    <row r="622" spans="1:9" x14ac:dyDescent="0.25">
      <c r="A622" t="s">
        <v>468</v>
      </c>
      <c r="B622" t="s">
        <v>469</v>
      </c>
      <c r="C622" s="2">
        <v>31909</v>
      </c>
      <c r="D622" t="s">
        <v>1743</v>
      </c>
      <c r="F622" t="str">
        <f t="shared" si="36"/>
        <v>ALVARO CACHI</v>
      </c>
      <c r="G622" t="str">
        <f t="shared" si="37"/>
        <v>ALVARO</v>
      </c>
      <c r="H622" t="str">
        <f t="shared" si="38"/>
        <v>CACHI</v>
      </c>
      <c r="I622" t="str">
        <f t="shared" si="39"/>
        <v xml:space="preserve"> FIDEL ANGEL</v>
      </c>
    </row>
    <row r="623" spans="1:9" x14ac:dyDescent="0.25">
      <c r="A623" t="s">
        <v>1073</v>
      </c>
      <c r="B623" t="s">
        <v>1074</v>
      </c>
      <c r="C623" s="2">
        <v>32290</v>
      </c>
      <c r="D623" t="s">
        <v>1743</v>
      </c>
      <c r="E623" t="s">
        <v>1600</v>
      </c>
      <c r="F623" t="str">
        <f t="shared" si="36"/>
        <v>GONZALEZ ANTEZANA</v>
      </c>
      <c r="G623" t="str">
        <f t="shared" si="37"/>
        <v>GONZALEZ</v>
      </c>
      <c r="H623" t="str">
        <f t="shared" si="38"/>
        <v>ANTEZANA</v>
      </c>
      <c r="I623" t="str">
        <f t="shared" si="39"/>
        <v xml:space="preserve"> ELMER JUAN</v>
      </c>
    </row>
    <row r="624" spans="1:9" x14ac:dyDescent="0.25">
      <c r="A624" t="s">
        <v>1075</v>
      </c>
      <c r="B624" t="s">
        <v>1076</v>
      </c>
      <c r="C624" s="2">
        <v>34562</v>
      </c>
      <c r="D624" t="s">
        <v>1743</v>
      </c>
      <c r="F624" t="str">
        <f t="shared" si="36"/>
        <v>VILLANUEVA GARCIA</v>
      </c>
      <c r="G624" t="str">
        <f t="shared" si="37"/>
        <v>VILLANUEVA</v>
      </c>
      <c r="H624" t="str">
        <f t="shared" si="38"/>
        <v>GARCIA</v>
      </c>
      <c r="I624" t="str">
        <f t="shared" si="39"/>
        <v xml:space="preserve"> MARLINDO FELICISIMO</v>
      </c>
    </row>
    <row r="625" spans="1:9" x14ac:dyDescent="0.25">
      <c r="A625" t="s">
        <v>1077</v>
      </c>
      <c r="B625" t="s">
        <v>1078</v>
      </c>
      <c r="C625" s="2">
        <v>36783</v>
      </c>
      <c r="D625" t="s">
        <v>1743</v>
      </c>
      <c r="F625" t="str">
        <f t="shared" si="36"/>
        <v>BUENDÍA PEREZ</v>
      </c>
      <c r="G625" t="str">
        <f t="shared" si="37"/>
        <v>BUENDÍA</v>
      </c>
      <c r="H625" t="str">
        <f t="shared" si="38"/>
        <v>PEREZ</v>
      </c>
      <c r="I625" t="str">
        <f t="shared" si="39"/>
        <v xml:space="preserve"> LUIS ENRIQUE</v>
      </c>
    </row>
    <row r="626" spans="1:9" x14ac:dyDescent="0.25">
      <c r="A626" t="s">
        <v>1079</v>
      </c>
      <c r="B626" t="s">
        <v>1080</v>
      </c>
      <c r="C626" s="2">
        <v>33800</v>
      </c>
      <c r="D626" t="s">
        <v>1743</v>
      </c>
      <c r="F626" t="str">
        <f t="shared" si="36"/>
        <v>MAURI GUERRERO</v>
      </c>
      <c r="G626" t="str">
        <f t="shared" si="37"/>
        <v>MAURI</v>
      </c>
      <c r="H626" t="str">
        <f t="shared" si="38"/>
        <v>GUERRERO</v>
      </c>
      <c r="I626" t="str">
        <f t="shared" si="39"/>
        <v xml:space="preserve"> TOMAS IVAN </v>
      </c>
    </row>
    <row r="627" spans="1:9" x14ac:dyDescent="0.25">
      <c r="A627" t="s">
        <v>1081</v>
      </c>
      <c r="B627" t="s">
        <v>1082</v>
      </c>
      <c r="C627" s="2">
        <v>33148</v>
      </c>
      <c r="D627" t="s">
        <v>1743</v>
      </c>
      <c r="F627" t="str">
        <f t="shared" si="36"/>
        <v>RODRIGUEZ ZAPATA</v>
      </c>
      <c r="G627" t="str">
        <f t="shared" si="37"/>
        <v>RODRIGUEZ</v>
      </c>
      <c r="H627" t="str">
        <f t="shared" si="38"/>
        <v>ZAPATA</v>
      </c>
      <c r="I627" t="str">
        <f t="shared" si="39"/>
        <v xml:space="preserve"> YOSHUA ALEXANDER </v>
      </c>
    </row>
    <row r="628" spans="1:9" x14ac:dyDescent="0.25">
      <c r="A628" t="s">
        <v>1083</v>
      </c>
      <c r="B628" t="s">
        <v>1084</v>
      </c>
      <c r="C628" s="2">
        <v>34890</v>
      </c>
      <c r="D628" t="s">
        <v>1743</v>
      </c>
      <c r="F628" t="str">
        <f t="shared" si="36"/>
        <v>PAREDES URIARTE</v>
      </c>
      <c r="G628" t="str">
        <f t="shared" si="37"/>
        <v>PAREDES</v>
      </c>
      <c r="H628" t="str">
        <f t="shared" si="38"/>
        <v>URIARTE</v>
      </c>
      <c r="I628" t="str">
        <f t="shared" si="39"/>
        <v xml:space="preserve"> YORDAN SAMIR</v>
      </c>
    </row>
    <row r="629" spans="1:9" x14ac:dyDescent="0.25">
      <c r="A629" t="s">
        <v>1085</v>
      </c>
      <c r="B629" t="s">
        <v>1086</v>
      </c>
      <c r="C629" s="2">
        <v>36798</v>
      </c>
      <c r="D629" t="s">
        <v>1743</v>
      </c>
      <c r="E629" t="s">
        <v>1601</v>
      </c>
      <c r="F629" t="str">
        <f t="shared" si="36"/>
        <v>PINO ESPINAL</v>
      </c>
      <c r="G629" t="str">
        <f t="shared" si="37"/>
        <v>PINO</v>
      </c>
      <c r="H629" t="str">
        <f t="shared" si="38"/>
        <v>ESPINAL</v>
      </c>
      <c r="I629" t="str">
        <f t="shared" si="39"/>
        <v xml:space="preserve"> BRAAM ALEXANDER</v>
      </c>
    </row>
    <row r="630" spans="1:9" x14ac:dyDescent="0.25">
      <c r="A630" t="s">
        <v>1087</v>
      </c>
      <c r="B630" t="s">
        <v>1088</v>
      </c>
      <c r="C630" s="2">
        <v>37225</v>
      </c>
      <c r="D630" t="s">
        <v>1743</v>
      </c>
      <c r="F630" t="str">
        <f t="shared" si="36"/>
        <v>ORCCOTOMA MEJÍA</v>
      </c>
      <c r="G630" t="str">
        <f t="shared" si="37"/>
        <v>ORCCOTOMA</v>
      </c>
      <c r="H630" t="str">
        <f t="shared" si="38"/>
        <v>MEJÍA</v>
      </c>
      <c r="I630" t="str">
        <f t="shared" si="39"/>
        <v xml:space="preserve"> ALVARO NEICER </v>
      </c>
    </row>
    <row r="631" spans="1:9" x14ac:dyDescent="0.25">
      <c r="A631" t="s">
        <v>1089</v>
      </c>
      <c r="B631" t="s">
        <v>1090</v>
      </c>
      <c r="C631" s="2">
        <v>37494</v>
      </c>
      <c r="D631" t="s">
        <v>1743</v>
      </c>
      <c r="E631" t="s">
        <v>1602</v>
      </c>
      <c r="F631" t="str">
        <f t="shared" si="36"/>
        <v>MAYTA GASPAR</v>
      </c>
      <c r="G631" t="str">
        <f t="shared" si="37"/>
        <v>MAYTA</v>
      </c>
      <c r="H631" t="str">
        <f t="shared" si="38"/>
        <v>GASPAR</v>
      </c>
      <c r="I631" t="str">
        <f t="shared" si="39"/>
        <v xml:space="preserve"> WILMER JAVIER</v>
      </c>
    </row>
    <row r="632" spans="1:9" x14ac:dyDescent="0.25">
      <c r="A632" t="s">
        <v>1091</v>
      </c>
      <c r="B632" t="s">
        <v>1092</v>
      </c>
      <c r="C632" s="2">
        <v>28107</v>
      </c>
      <c r="D632" t="s">
        <v>1743</v>
      </c>
      <c r="F632" t="str">
        <f t="shared" si="36"/>
        <v>ARCA CASTILLO</v>
      </c>
      <c r="G632" t="str">
        <f t="shared" si="37"/>
        <v>ARCA</v>
      </c>
      <c r="H632" t="str">
        <f t="shared" si="38"/>
        <v>CASTILLO</v>
      </c>
      <c r="I632" t="str">
        <f t="shared" si="39"/>
        <v xml:space="preserve"> JUAN ALEJANDRO </v>
      </c>
    </row>
    <row r="633" spans="1:9" x14ac:dyDescent="0.25">
      <c r="A633" t="s">
        <v>1093</v>
      </c>
      <c r="B633" t="s">
        <v>1094</v>
      </c>
      <c r="C633" s="2">
        <v>37738</v>
      </c>
      <c r="D633" t="s">
        <v>1743</v>
      </c>
      <c r="F633" t="str">
        <f t="shared" si="36"/>
        <v>QUISPE LOZANO</v>
      </c>
      <c r="G633" t="str">
        <f t="shared" si="37"/>
        <v>QUISPE</v>
      </c>
      <c r="H633" t="str">
        <f t="shared" si="38"/>
        <v>LOZANO</v>
      </c>
      <c r="I633" t="str">
        <f t="shared" si="39"/>
        <v xml:space="preserve"> RAUL SAMMER </v>
      </c>
    </row>
    <row r="634" spans="1:9" x14ac:dyDescent="0.25">
      <c r="A634" t="s">
        <v>1095</v>
      </c>
      <c r="B634" t="s">
        <v>1096</v>
      </c>
      <c r="C634" s="2">
        <v>36936</v>
      </c>
      <c r="D634" t="s">
        <v>1744</v>
      </c>
      <c r="F634" t="str">
        <f t="shared" si="36"/>
        <v>MALDONADO BARJA</v>
      </c>
      <c r="G634" t="str">
        <f t="shared" si="37"/>
        <v>MALDONADO</v>
      </c>
      <c r="H634" t="str">
        <f t="shared" si="38"/>
        <v>BARJA</v>
      </c>
      <c r="I634" t="str">
        <f t="shared" si="39"/>
        <v xml:space="preserve"> NICOL STEFANY</v>
      </c>
    </row>
    <row r="635" spans="1:9" x14ac:dyDescent="0.25">
      <c r="A635" t="s">
        <v>1097</v>
      </c>
      <c r="B635" t="s">
        <v>1098</v>
      </c>
      <c r="C635" s="2">
        <v>33619</v>
      </c>
      <c r="D635" t="s">
        <v>1743</v>
      </c>
      <c r="F635" t="str">
        <f t="shared" si="36"/>
        <v>ALVARADO CHUQUIPOMA</v>
      </c>
      <c r="G635" t="str">
        <f t="shared" si="37"/>
        <v>ALVARADO</v>
      </c>
      <c r="H635" t="str">
        <f t="shared" si="38"/>
        <v>CHUQUIPOMA</v>
      </c>
      <c r="I635" t="str">
        <f t="shared" si="39"/>
        <v xml:space="preserve"> O'BRIAN DONOVAN</v>
      </c>
    </row>
    <row r="636" spans="1:9" x14ac:dyDescent="0.25">
      <c r="A636" t="s">
        <v>1099</v>
      </c>
      <c r="B636" t="s">
        <v>1100</v>
      </c>
      <c r="C636" s="2">
        <v>37011</v>
      </c>
      <c r="D636" t="s">
        <v>1743</v>
      </c>
      <c r="F636" t="str">
        <f t="shared" si="36"/>
        <v>QUINTANA LORENZO</v>
      </c>
      <c r="G636" t="str">
        <f t="shared" si="37"/>
        <v>QUINTANA</v>
      </c>
      <c r="H636" t="str">
        <f t="shared" si="38"/>
        <v>LORENZO</v>
      </c>
      <c r="I636" t="str">
        <f t="shared" si="39"/>
        <v xml:space="preserve"> ALFREDO GONZALO</v>
      </c>
    </row>
    <row r="637" spans="1:9" x14ac:dyDescent="0.25">
      <c r="A637" t="s">
        <v>1101</v>
      </c>
      <c r="B637" t="s">
        <v>1102</v>
      </c>
      <c r="C637" s="2">
        <v>27899</v>
      </c>
      <c r="D637" t="s">
        <v>1743</v>
      </c>
      <c r="F637" t="str">
        <f t="shared" si="36"/>
        <v>PARDO INFANTE</v>
      </c>
      <c r="G637" t="str">
        <f t="shared" si="37"/>
        <v>PARDO</v>
      </c>
      <c r="H637" t="str">
        <f t="shared" si="38"/>
        <v>INFANTE</v>
      </c>
      <c r="I637" t="str">
        <f t="shared" si="39"/>
        <v xml:space="preserve"> JOHNNY MARTIN</v>
      </c>
    </row>
    <row r="638" spans="1:9" x14ac:dyDescent="0.25">
      <c r="A638" t="s">
        <v>1103</v>
      </c>
      <c r="B638" t="s">
        <v>1104</v>
      </c>
      <c r="C638" s="2">
        <v>36994</v>
      </c>
      <c r="D638" t="s">
        <v>1743</v>
      </c>
      <c r="F638" t="str">
        <f t="shared" si="36"/>
        <v>IZAGUIRRE BENDEZU</v>
      </c>
      <c r="G638" t="str">
        <f t="shared" si="37"/>
        <v>IZAGUIRRE</v>
      </c>
      <c r="H638" t="str">
        <f t="shared" si="38"/>
        <v>BENDEZU</v>
      </c>
      <c r="I638" t="str">
        <f t="shared" si="39"/>
        <v xml:space="preserve"> PABLO BENJAMIN</v>
      </c>
    </row>
    <row r="639" spans="1:9" x14ac:dyDescent="0.25">
      <c r="A639" t="s">
        <v>946</v>
      </c>
      <c r="B639" t="s">
        <v>947</v>
      </c>
      <c r="C639" s="2">
        <v>34443</v>
      </c>
      <c r="D639" t="s">
        <v>1743</v>
      </c>
      <c r="F639" t="str">
        <f t="shared" si="36"/>
        <v>LOPEZ VALERA</v>
      </c>
      <c r="G639" t="str">
        <f t="shared" si="37"/>
        <v>LOPEZ</v>
      </c>
      <c r="H639" t="str">
        <f t="shared" si="38"/>
        <v>VALERA</v>
      </c>
      <c r="I639" t="str">
        <f t="shared" si="39"/>
        <v xml:space="preserve"> DAVID MARTIN</v>
      </c>
    </row>
    <row r="640" spans="1:9" x14ac:dyDescent="0.25">
      <c r="A640" t="s">
        <v>1105</v>
      </c>
      <c r="B640" t="s">
        <v>1106</v>
      </c>
      <c r="C640" s="2">
        <v>37106</v>
      </c>
      <c r="D640" t="s">
        <v>1743</v>
      </c>
      <c r="F640" t="str">
        <f t="shared" si="36"/>
        <v>SUAREZ MURILLO</v>
      </c>
      <c r="G640" t="str">
        <f t="shared" si="37"/>
        <v>SUAREZ</v>
      </c>
      <c r="H640" t="str">
        <f t="shared" si="38"/>
        <v>MURILLO</v>
      </c>
      <c r="I640" t="str">
        <f t="shared" si="39"/>
        <v xml:space="preserve"> JAIRO LENNYN</v>
      </c>
    </row>
    <row r="641" spans="1:9" x14ac:dyDescent="0.25">
      <c r="A641" t="s">
        <v>1107</v>
      </c>
      <c r="B641" t="s">
        <v>1108</v>
      </c>
      <c r="C641" s="2">
        <v>28610</v>
      </c>
      <c r="D641" t="s">
        <v>1743</v>
      </c>
      <c r="F641" t="str">
        <f t="shared" si="36"/>
        <v>YPANAQUE DIOSES</v>
      </c>
      <c r="G641" t="str">
        <f t="shared" si="37"/>
        <v>YPANAQUE</v>
      </c>
      <c r="H641" t="str">
        <f t="shared" si="38"/>
        <v>DIOSES</v>
      </c>
      <c r="I641" t="str">
        <f t="shared" si="39"/>
        <v xml:space="preserve"> JUAN CARLOS </v>
      </c>
    </row>
    <row r="642" spans="1:9" x14ac:dyDescent="0.25">
      <c r="A642" t="s">
        <v>1109</v>
      </c>
      <c r="B642" t="s">
        <v>1110</v>
      </c>
      <c r="C642" s="2">
        <v>35927</v>
      </c>
      <c r="D642" t="s">
        <v>1743</v>
      </c>
      <c r="F642" t="str">
        <f t="shared" si="36"/>
        <v>MOGOLLON RONDOY</v>
      </c>
      <c r="G642" t="str">
        <f t="shared" si="37"/>
        <v>MOGOLLON</v>
      </c>
      <c r="H642" t="str">
        <f t="shared" si="38"/>
        <v>RONDOY</v>
      </c>
      <c r="I642" t="str">
        <f t="shared" si="39"/>
        <v xml:space="preserve"> EDDY XAVIER</v>
      </c>
    </row>
    <row r="643" spans="1:9" x14ac:dyDescent="0.25">
      <c r="A643" t="s">
        <v>1111</v>
      </c>
      <c r="B643" t="s">
        <v>1112</v>
      </c>
      <c r="C643" s="2">
        <v>33157</v>
      </c>
      <c r="D643" t="s">
        <v>1743</v>
      </c>
      <c r="F643" t="str">
        <f t="shared" ref="F643:F706" si="40">LEFT(B643,SEARCH(",",B643)-1)</f>
        <v>TORRES DE LA CRUZ</v>
      </c>
      <c r="G643" t="str">
        <f t="shared" ref="G643:G706" si="41">LEFT(F643,SEARCH(" ",F643)-1)</f>
        <v>TORRES</v>
      </c>
      <c r="H643" t="str">
        <f t="shared" ref="H643:H706" si="42">RIGHT(F643,LEN(F643)- SEARCH(" ",F643))</f>
        <v>DE LA CRUZ</v>
      </c>
      <c r="I643" t="str">
        <f t="shared" ref="I643:I706" si="43">RIGHT(B643,LEN(B643)- SEARCH(",",B643))</f>
        <v xml:space="preserve"> VLADIMIR</v>
      </c>
    </row>
    <row r="644" spans="1:9" x14ac:dyDescent="0.25">
      <c r="A644" t="s">
        <v>1113</v>
      </c>
      <c r="B644" t="s">
        <v>1114</v>
      </c>
      <c r="C644" s="2">
        <v>37162</v>
      </c>
      <c r="D644" t="s">
        <v>1743</v>
      </c>
      <c r="F644" t="str">
        <f t="shared" si="40"/>
        <v>CHIPANI VALENCIA</v>
      </c>
      <c r="G644" t="str">
        <f t="shared" si="41"/>
        <v>CHIPANI</v>
      </c>
      <c r="H644" t="str">
        <f t="shared" si="42"/>
        <v>VALENCIA</v>
      </c>
      <c r="I644" t="str">
        <f t="shared" si="43"/>
        <v xml:space="preserve"> NICOLAS ALONSO</v>
      </c>
    </row>
    <row r="645" spans="1:9" x14ac:dyDescent="0.25">
      <c r="A645" t="s">
        <v>952</v>
      </c>
      <c r="B645" t="s">
        <v>953</v>
      </c>
      <c r="C645" s="2">
        <v>38118</v>
      </c>
      <c r="D645" t="s">
        <v>1743</v>
      </c>
      <c r="F645" t="str">
        <f t="shared" si="40"/>
        <v>PÉREZ ESPINOZA</v>
      </c>
      <c r="G645" t="str">
        <f t="shared" si="41"/>
        <v>PÉREZ</v>
      </c>
      <c r="H645" t="str">
        <f t="shared" si="42"/>
        <v>ESPINOZA</v>
      </c>
      <c r="I645" t="str">
        <f t="shared" si="43"/>
        <v xml:space="preserve"> CIRO MAURICIO </v>
      </c>
    </row>
    <row r="646" spans="1:9" x14ac:dyDescent="0.25">
      <c r="A646" t="s">
        <v>238</v>
      </c>
      <c r="B646" t="s">
        <v>239</v>
      </c>
      <c r="C646" s="2">
        <v>35321</v>
      </c>
      <c r="D646" t="s">
        <v>1743</v>
      </c>
      <c r="E646" t="s">
        <v>1603</v>
      </c>
      <c r="F646" t="str">
        <f t="shared" si="40"/>
        <v>TORREJON TERREROS</v>
      </c>
      <c r="G646" t="str">
        <f t="shared" si="41"/>
        <v>TORREJON</v>
      </c>
      <c r="H646" t="str">
        <f t="shared" si="42"/>
        <v>TERREROS</v>
      </c>
      <c r="I646" t="str">
        <f t="shared" si="43"/>
        <v xml:space="preserve"> JERSON LEONCIO</v>
      </c>
    </row>
    <row r="647" spans="1:9" x14ac:dyDescent="0.25">
      <c r="A647" t="s">
        <v>1052</v>
      </c>
      <c r="B647" t="s">
        <v>1053</v>
      </c>
      <c r="C647" s="2">
        <v>34662</v>
      </c>
      <c r="D647" t="s">
        <v>1743</v>
      </c>
      <c r="F647" t="str">
        <f t="shared" si="40"/>
        <v>ZAPATA ROSALES</v>
      </c>
      <c r="G647" t="str">
        <f t="shared" si="41"/>
        <v>ZAPATA</v>
      </c>
      <c r="H647" t="str">
        <f t="shared" si="42"/>
        <v>ROSALES</v>
      </c>
      <c r="I647" t="str">
        <f t="shared" si="43"/>
        <v xml:space="preserve"> LUIS ANGEL DEL CARMEN </v>
      </c>
    </row>
    <row r="648" spans="1:9" x14ac:dyDescent="0.25">
      <c r="A648" t="s">
        <v>198</v>
      </c>
      <c r="B648" t="s">
        <v>199</v>
      </c>
      <c r="C648" s="2">
        <v>31725</v>
      </c>
      <c r="D648" t="s">
        <v>1743</v>
      </c>
      <c r="F648" t="str">
        <f t="shared" si="40"/>
        <v>LAZO YAURI</v>
      </c>
      <c r="G648" t="str">
        <f t="shared" si="41"/>
        <v>LAZO</v>
      </c>
      <c r="H648" t="str">
        <f t="shared" si="42"/>
        <v>YAURI</v>
      </c>
      <c r="I648" t="str">
        <f t="shared" si="43"/>
        <v xml:space="preserve"> JOSIMAR FINDLAY</v>
      </c>
    </row>
    <row r="649" spans="1:9" x14ac:dyDescent="0.25">
      <c r="A649" t="s">
        <v>1115</v>
      </c>
      <c r="B649" t="s">
        <v>1116</v>
      </c>
      <c r="C649" s="2">
        <v>37160</v>
      </c>
      <c r="D649" t="s">
        <v>1743</v>
      </c>
      <c r="F649" t="str">
        <f t="shared" si="40"/>
        <v>CRUZ BALLARDO</v>
      </c>
      <c r="G649" t="str">
        <f t="shared" si="41"/>
        <v>CRUZ</v>
      </c>
      <c r="H649" t="str">
        <f t="shared" si="42"/>
        <v>BALLARDO</v>
      </c>
      <c r="I649" t="str">
        <f t="shared" si="43"/>
        <v xml:space="preserve"> BRAULI YEFER</v>
      </c>
    </row>
    <row r="650" spans="1:9" x14ac:dyDescent="0.25">
      <c r="A650" t="s">
        <v>1117</v>
      </c>
      <c r="B650" t="s">
        <v>1118</v>
      </c>
      <c r="C650" s="2">
        <v>34840</v>
      </c>
      <c r="D650" t="s">
        <v>1743</v>
      </c>
      <c r="F650" t="str">
        <f t="shared" si="40"/>
        <v>URRESTTY PEREZ</v>
      </c>
      <c r="G650" t="str">
        <f t="shared" si="41"/>
        <v>URRESTTY</v>
      </c>
      <c r="H650" t="str">
        <f t="shared" si="42"/>
        <v>PEREZ</v>
      </c>
      <c r="I650" t="str">
        <f t="shared" si="43"/>
        <v xml:space="preserve"> CHRISTIAN</v>
      </c>
    </row>
    <row r="651" spans="1:9" x14ac:dyDescent="0.25">
      <c r="A651" t="s">
        <v>1119</v>
      </c>
      <c r="B651" t="s">
        <v>1120</v>
      </c>
      <c r="C651" s="2">
        <v>29174</v>
      </c>
      <c r="D651" t="s">
        <v>1743</v>
      </c>
      <c r="F651" t="str">
        <f t="shared" si="40"/>
        <v>SANCHEZ PEREZ</v>
      </c>
      <c r="G651" t="str">
        <f t="shared" si="41"/>
        <v>SANCHEZ</v>
      </c>
      <c r="H651" t="str">
        <f t="shared" si="42"/>
        <v>PEREZ</v>
      </c>
      <c r="I651" t="str">
        <f t="shared" si="43"/>
        <v xml:space="preserve"> EVERLIN MILTON</v>
      </c>
    </row>
    <row r="652" spans="1:9" x14ac:dyDescent="0.25">
      <c r="A652" t="s">
        <v>1121</v>
      </c>
      <c r="B652" t="s">
        <v>1122</v>
      </c>
      <c r="C652" s="2">
        <v>33029</v>
      </c>
      <c r="D652" t="s">
        <v>1743</v>
      </c>
      <c r="F652" t="str">
        <f t="shared" si="40"/>
        <v>MONTERO SAUCEDO</v>
      </c>
      <c r="G652" t="str">
        <f t="shared" si="41"/>
        <v>MONTERO</v>
      </c>
      <c r="H652" t="str">
        <f t="shared" si="42"/>
        <v>SAUCEDO</v>
      </c>
      <c r="I652" t="str">
        <f t="shared" si="43"/>
        <v xml:space="preserve"> OCLANDER</v>
      </c>
    </row>
    <row r="653" spans="1:9" x14ac:dyDescent="0.25">
      <c r="A653" t="s">
        <v>1123</v>
      </c>
      <c r="B653" t="s">
        <v>1124</v>
      </c>
      <c r="C653" s="2">
        <v>37045</v>
      </c>
      <c r="D653" t="s">
        <v>1743</v>
      </c>
      <c r="F653" t="str">
        <f t="shared" si="40"/>
        <v>CAMARENA PARCO</v>
      </c>
      <c r="G653" t="str">
        <f t="shared" si="41"/>
        <v>CAMARENA</v>
      </c>
      <c r="H653" t="str">
        <f t="shared" si="42"/>
        <v>PARCO</v>
      </c>
      <c r="I653" t="str">
        <f t="shared" si="43"/>
        <v xml:space="preserve"> JHON HEINZ</v>
      </c>
    </row>
    <row r="654" spans="1:9" x14ac:dyDescent="0.25">
      <c r="A654" t="s">
        <v>1125</v>
      </c>
      <c r="B654" t="s">
        <v>1126</v>
      </c>
      <c r="C654" s="2">
        <v>28103</v>
      </c>
      <c r="D654" t="s">
        <v>1743</v>
      </c>
      <c r="E654" t="s">
        <v>1604</v>
      </c>
      <c r="F654" t="str">
        <f t="shared" si="40"/>
        <v>HUAYPAR HUAYTA</v>
      </c>
      <c r="G654" t="str">
        <f t="shared" si="41"/>
        <v>HUAYPAR</v>
      </c>
      <c r="H654" t="str">
        <f t="shared" si="42"/>
        <v>HUAYTA</v>
      </c>
      <c r="I654" t="str">
        <f t="shared" si="43"/>
        <v xml:space="preserve"> RAÚL</v>
      </c>
    </row>
    <row r="655" spans="1:9" x14ac:dyDescent="0.25">
      <c r="A655" t="s">
        <v>1127</v>
      </c>
      <c r="B655" t="s">
        <v>1128</v>
      </c>
      <c r="C655" s="2">
        <v>33368</v>
      </c>
      <c r="D655" t="s">
        <v>1743</v>
      </c>
      <c r="F655" t="str">
        <f t="shared" si="40"/>
        <v>AGUILAR GUAYAC</v>
      </c>
      <c r="G655" t="str">
        <f t="shared" si="41"/>
        <v>AGUILAR</v>
      </c>
      <c r="H655" t="str">
        <f t="shared" si="42"/>
        <v>GUAYAC</v>
      </c>
      <c r="I655" t="str">
        <f t="shared" si="43"/>
        <v xml:space="preserve"> JUAN ANTONIO</v>
      </c>
    </row>
    <row r="656" spans="1:9" x14ac:dyDescent="0.25">
      <c r="A656" t="s">
        <v>1129</v>
      </c>
      <c r="B656" t="s">
        <v>1130</v>
      </c>
      <c r="C656" s="2">
        <v>35339</v>
      </c>
      <c r="D656" t="s">
        <v>1743</v>
      </c>
      <c r="F656" t="str">
        <f t="shared" si="40"/>
        <v>ANCHANTE FIGUEROA</v>
      </c>
      <c r="G656" t="str">
        <f t="shared" si="41"/>
        <v>ANCHANTE</v>
      </c>
      <c r="H656" t="str">
        <f t="shared" si="42"/>
        <v>FIGUEROA</v>
      </c>
      <c r="I656" t="str">
        <f t="shared" si="43"/>
        <v xml:space="preserve"> MÁXIMO JUNIOR</v>
      </c>
    </row>
    <row r="657" spans="1:9" x14ac:dyDescent="0.25">
      <c r="A657" t="s">
        <v>1131</v>
      </c>
      <c r="B657" t="s">
        <v>1132</v>
      </c>
      <c r="C657" s="2">
        <v>34681</v>
      </c>
      <c r="D657" t="s">
        <v>1743</v>
      </c>
      <c r="F657" t="str">
        <f t="shared" si="40"/>
        <v>HUARI DURAND</v>
      </c>
      <c r="G657" t="str">
        <f t="shared" si="41"/>
        <v>HUARI</v>
      </c>
      <c r="H657" t="str">
        <f t="shared" si="42"/>
        <v>DURAND</v>
      </c>
      <c r="I657" t="str">
        <f t="shared" si="43"/>
        <v xml:space="preserve"> CRISTHIAN RUBER </v>
      </c>
    </row>
    <row r="658" spans="1:9" x14ac:dyDescent="0.25">
      <c r="A658" t="s">
        <v>1133</v>
      </c>
      <c r="B658" t="s">
        <v>1134</v>
      </c>
      <c r="C658" s="2">
        <v>34973</v>
      </c>
      <c r="D658" t="s">
        <v>1743</v>
      </c>
      <c r="F658" t="str">
        <f t="shared" si="40"/>
        <v>IPURRE CRISANTE</v>
      </c>
      <c r="G658" t="str">
        <f t="shared" si="41"/>
        <v>IPURRE</v>
      </c>
      <c r="H658" t="str">
        <f t="shared" si="42"/>
        <v>CRISANTE</v>
      </c>
      <c r="I658" t="str">
        <f t="shared" si="43"/>
        <v xml:space="preserve"> MANUEL ALBERTO</v>
      </c>
    </row>
    <row r="659" spans="1:9" x14ac:dyDescent="0.25">
      <c r="A659" t="s">
        <v>1135</v>
      </c>
      <c r="B659" t="s">
        <v>1136</v>
      </c>
      <c r="C659" s="2">
        <v>35203</v>
      </c>
      <c r="D659" t="s">
        <v>1743</v>
      </c>
      <c r="F659" t="str">
        <f t="shared" si="40"/>
        <v>PALMA BARRENECHEA</v>
      </c>
      <c r="G659" t="str">
        <f t="shared" si="41"/>
        <v>PALMA</v>
      </c>
      <c r="H659" t="str">
        <f t="shared" si="42"/>
        <v>BARRENECHEA</v>
      </c>
      <c r="I659" t="str">
        <f t="shared" si="43"/>
        <v xml:space="preserve"> LINCOLN JHON</v>
      </c>
    </row>
    <row r="660" spans="1:9" x14ac:dyDescent="0.25">
      <c r="A660" t="s">
        <v>1137</v>
      </c>
      <c r="B660" t="s">
        <v>1138</v>
      </c>
      <c r="C660" s="2">
        <v>36456</v>
      </c>
      <c r="D660" t="s">
        <v>1743</v>
      </c>
      <c r="F660" t="str">
        <f t="shared" si="40"/>
        <v>SIERRA SAMILLAN</v>
      </c>
      <c r="G660" t="str">
        <f t="shared" si="41"/>
        <v>SIERRA</v>
      </c>
      <c r="H660" t="str">
        <f t="shared" si="42"/>
        <v>SAMILLAN</v>
      </c>
      <c r="I660" t="str">
        <f t="shared" si="43"/>
        <v xml:space="preserve"> JOHAN PIERO</v>
      </c>
    </row>
    <row r="661" spans="1:9" x14ac:dyDescent="0.25">
      <c r="A661" t="s">
        <v>1139</v>
      </c>
      <c r="B661" t="s">
        <v>1140</v>
      </c>
      <c r="C661" s="2">
        <v>38428</v>
      </c>
      <c r="D661" t="s">
        <v>1743</v>
      </c>
      <c r="E661" t="s">
        <v>1605</v>
      </c>
      <c r="F661" t="str">
        <f t="shared" si="40"/>
        <v>ESPINOZA MATEO</v>
      </c>
      <c r="G661" t="str">
        <f t="shared" si="41"/>
        <v>ESPINOZA</v>
      </c>
      <c r="H661" t="str">
        <f t="shared" si="42"/>
        <v>MATEO</v>
      </c>
      <c r="I661" t="str">
        <f t="shared" si="43"/>
        <v xml:space="preserve"> JUAN DE DIOS </v>
      </c>
    </row>
    <row r="662" spans="1:9" x14ac:dyDescent="0.25">
      <c r="A662" t="s">
        <v>1141</v>
      </c>
      <c r="B662" t="s">
        <v>1142</v>
      </c>
      <c r="C662" s="2">
        <v>34362</v>
      </c>
      <c r="D662" t="s">
        <v>1743</v>
      </c>
      <c r="F662" t="str">
        <f t="shared" si="40"/>
        <v>ANDIA ROMERO</v>
      </c>
      <c r="G662" t="str">
        <f t="shared" si="41"/>
        <v>ANDIA</v>
      </c>
      <c r="H662" t="str">
        <f t="shared" si="42"/>
        <v>ROMERO</v>
      </c>
      <c r="I662" t="str">
        <f t="shared" si="43"/>
        <v xml:space="preserve"> EDUARDO AGUSTIN</v>
      </c>
    </row>
    <row r="663" spans="1:9" x14ac:dyDescent="0.25">
      <c r="A663" t="s">
        <v>1143</v>
      </c>
      <c r="B663" t="s">
        <v>1144</v>
      </c>
      <c r="C663" s="2">
        <v>33435</v>
      </c>
      <c r="D663" t="s">
        <v>1743</v>
      </c>
      <c r="F663" t="str">
        <f t="shared" si="40"/>
        <v>MANYARI MALLMA</v>
      </c>
      <c r="G663" t="str">
        <f t="shared" si="41"/>
        <v>MANYARI</v>
      </c>
      <c r="H663" t="str">
        <f t="shared" si="42"/>
        <v>MALLMA</v>
      </c>
      <c r="I663" t="str">
        <f t="shared" si="43"/>
        <v xml:space="preserve"> PAUL JHANCARLOS</v>
      </c>
    </row>
    <row r="664" spans="1:9" x14ac:dyDescent="0.25">
      <c r="A664" t="s">
        <v>1145</v>
      </c>
      <c r="B664" t="s">
        <v>1146</v>
      </c>
      <c r="C664" s="2">
        <v>30578</v>
      </c>
      <c r="D664" t="s">
        <v>1743</v>
      </c>
      <c r="F664" t="str">
        <f t="shared" si="40"/>
        <v>RODRÍGUEZ SALAZAR</v>
      </c>
      <c r="G664" t="str">
        <f t="shared" si="41"/>
        <v>RODRÍGUEZ</v>
      </c>
      <c r="H664" t="str">
        <f t="shared" si="42"/>
        <v>SALAZAR</v>
      </c>
      <c r="I664" t="str">
        <f t="shared" si="43"/>
        <v xml:space="preserve"> VÍCTOR ANTONIO </v>
      </c>
    </row>
    <row r="665" spans="1:9" x14ac:dyDescent="0.25">
      <c r="A665" t="s">
        <v>1147</v>
      </c>
      <c r="B665" t="s">
        <v>1148</v>
      </c>
      <c r="C665" s="2">
        <v>35881</v>
      </c>
      <c r="D665" t="s">
        <v>1743</v>
      </c>
      <c r="E665" t="s">
        <v>1606</v>
      </c>
      <c r="F665" t="str">
        <f t="shared" si="40"/>
        <v>OROPEZA BORJA</v>
      </c>
      <c r="G665" t="str">
        <f t="shared" si="41"/>
        <v>OROPEZA</v>
      </c>
      <c r="H665" t="str">
        <f t="shared" si="42"/>
        <v>BORJA</v>
      </c>
      <c r="I665" t="str">
        <f t="shared" si="43"/>
        <v xml:space="preserve"> ELIAS PAUL</v>
      </c>
    </row>
    <row r="666" spans="1:9" x14ac:dyDescent="0.25">
      <c r="A666" t="s">
        <v>1149</v>
      </c>
      <c r="B666" t="s">
        <v>1150</v>
      </c>
      <c r="C666" s="2">
        <v>33888</v>
      </c>
      <c r="D666" t="s">
        <v>1743</v>
      </c>
      <c r="E666" t="s">
        <v>1607</v>
      </c>
      <c r="F666" t="str">
        <f t="shared" si="40"/>
        <v>HUACCOTO GOIZUETA</v>
      </c>
      <c r="G666" t="str">
        <f t="shared" si="41"/>
        <v>HUACCOTO</v>
      </c>
      <c r="H666" t="str">
        <f t="shared" si="42"/>
        <v>GOIZUETA</v>
      </c>
      <c r="I666" t="str">
        <f t="shared" si="43"/>
        <v xml:space="preserve"> LUDVING DANIEL</v>
      </c>
    </row>
    <row r="667" spans="1:9" x14ac:dyDescent="0.25">
      <c r="A667" t="s">
        <v>1151</v>
      </c>
      <c r="B667" t="s">
        <v>1152</v>
      </c>
      <c r="C667" s="2">
        <v>32068</v>
      </c>
      <c r="D667" t="s">
        <v>1743</v>
      </c>
      <c r="F667" t="str">
        <f t="shared" si="40"/>
        <v>REYES CHILET</v>
      </c>
      <c r="G667" t="str">
        <f t="shared" si="41"/>
        <v>REYES</v>
      </c>
      <c r="H667" t="str">
        <f t="shared" si="42"/>
        <v>CHILET</v>
      </c>
      <c r="I667" t="str">
        <f t="shared" si="43"/>
        <v xml:space="preserve"> CHARLY JHONY</v>
      </c>
    </row>
    <row r="668" spans="1:9" x14ac:dyDescent="0.25">
      <c r="A668" t="s">
        <v>1153</v>
      </c>
      <c r="B668" t="s">
        <v>1154</v>
      </c>
      <c r="C668" s="2">
        <v>31305</v>
      </c>
      <c r="D668" t="s">
        <v>1743</v>
      </c>
      <c r="F668" t="str">
        <f t="shared" si="40"/>
        <v>JIMENEZ TINEO</v>
      </c>
      <c r="G668" t="str">
        <f t="shared" si="41"/>
        <v>JIMENEZ</v>
      </c>
      <c r="H668" t="str">
        <f t="shared" si="42"/>
        <v>TINEO</v>
      </c>
      <c r="I668" t="str">
        <f t="shared" si="43"/>
        <v xml:space="preserve"> DANIEL ALCIDES</v>
      </c>
    </row>
    <row r="669" spans="1:9" x14ac:dyDescent="0.25">
      <c r="A669" t="s">
        <v>1155</v>
      </c>
      <c r="B669" t="s">
        <v>1156</v>
      </c>
      <c r="C669" s="2">
        <v>38451</v>
      </c>
      <c r="D669" t="s">
        <v>1743</v>
      </c>
      <c r="E669" t="s">
        <v>1608</v>
      </c>
      <c r="F669" t="str">
        <f t="shared" si="40"/>
        <v>BRAVO VALLEJOS</v>
      </c>
      <c r="G669" t="str">
        <f t="shared" si="41"/>
        <v>BRAVO</v>
      </c>
      <c r="H669" t="str">
        <f t="shared" si="42"/>
        <v>VALLEJOS</v>
      </c>
      <c r="I669" t="str">
        <f t="shared" si="43"/>
        <v xml:space="preserve"> DIEGO ALONSO </v>
      </c>
    </row>
    <row r="670" spans="1:9" x14ac:dyDescent="0.25">
      <c r="A670" t="s">
        <v>1079</v>
      </c>
      <c r="B670" t="s">
        <v>1080</v>
      </c>
      <c r="C670" s="2">
        <v>33800</v>
      </c>
      <c r="D670" t="s">
        <v>1743</v>
      </c>
      <c r="E670" t="s">
        <v>1609</v>
      </c>
      <c r="F670" t="str">
        <f t="shared" si="40"/>
        <v>MAURI GUERRERO</v>
      </c>
      <c r="G670" t="str">
        <f t="shared" si="41"/>
        <v>MAURI</v>
      </c>
      <c r="H670" t="str">
        <f t="shared" si="42"/>
        <v>GUERRERO</v>
      </c>
      <c r="I670" t="str">
        <f t="shared" si="43"/>
        <v xml:space="preserve"> TOMAS IVAN </v>
      </c>
    </row>
    <row r="671" spans="1:9" x14ac:dyDescent="0.25">
      <c r="A671" t="s">
        <v>940</v>
      </c>
      <c r="B671" t="s">
        <v>941</v>
      </c>
      <c r="C671" s="2">
        <v>36194</v>
      </c>
      <c r="D671" t="s">
        <v>1743</v>
      </c>
      <c r="F671" t="str">
        <f t="shared" si="40"/>
        <v>ESPARZA GALLO</v>
      </c>
      <c r="G671" t="str">
        <f t="shared" si="41"/>
        <v>ESPARZA</v>
      </c>
      <c r="H671" t="str">
        <f t="shared" si="42"/>
        <v>GALLO</v>
      </c>
      <c r="I671" t="str">
        <f t="shared" si="43"/>
        <v xml:space="preserve"> MANFREDO </v>
      </c>
    </row>
    <row r="672" spans="1:9" x14ac:dyDescent="0.25">
      <c r="A672" t="s">
        <v>179</v>
      </c>
      <c r="B672" t="s">
        <v>1068</v>
      </c>
      <c r="C672" s="2">
        <v>32198</v>
      </c>
      <c r="D672" t="s">
        <v>1743</v>
      </c>
      <c r="F672" t="str">
        <f t="shared" si="40"/>
        <v>ESPINOZA PEREZ</v>
      </c>
      <c r="G672" t="str">
        <f t="shared" si="41"/>
        <v>ESPINOZA</v>
      </c>
      <c r="H672" t="str">
        <f t="shared" si="42"/>
        <v>PEREZ</v>
      </c>
      <c r="I672" t="str">
        <f t="shared" si="43"/>
        <v xml:space="preserve"> LUIGUI BRAYAN </v>
      </c>
    </row>
    <row r="673" spans="1:9" x14ac:dyDescent="0.25">
      <c r="A673" t="s">
        <v>1157</v>
      </c>
      <c r="B673" t="s">
        <v>1158</v>
      </c>
      <c r="C673" s="2">
        <v>36409</v>
      </c>
      <c r="D673" t="s">
        <v>1743</v>
      </c>
      <c r="F673" t="str">
        <f t="shared" si="40"/>
        <v>BARRENA ORDINOLA</v>
      </c>
      <c r="G673" t="str">
        <f t="shared" si="41"/>
        <v>BARRENA</v>
      </c>
      <c r="H673" t="str">
        <f t="shared" si="42"/>
        <v>ORDINOLA</v>
      </c>
      <c r="I673" t="str">
        <f t="shared" si="43"/>
        <v xml:space="preserve"> MARIO ANGEL</v>
      </c>
    </row>
    <row r="674" spans="1:9" x14ac:dyDescent="0.25">
      <c r="A674" t="s">
        <v>1159</v>
      </c>
      <c r="B674" t="s">
        <v>1160</v>
      </c>
      <c r="C674" s="2">
        <v>36470</v>
      </c>
      <c r="D674" t="s">
        <v>1744</v>
      </c>
      <c r="F674" t="str">
        <f t="shared" si="40"/>
        <v>CANDIA CORDERO</v>
      </c>
      <c r="G674" t="str">
        <f t="shared" si="41"/>
        <v>CANDIA</v>
      </c>
      <c r="H674" t="str">
        <f t="shared" si="42"/>
        <v>CORDERO</v>
      </c>
      <c r="I674" t="str">
        <f t="shared" si="43"/>
        <v xml:space="preserve"> ANDREA CECILIA</v>
      </c>
    </row>
    <row r="675" spans="1:9" x14ac:dyDescent="0.25">
      <c r="A675" t="s">
        <v>1161</v>
      </c>
      <c r="B675" t="s">
        <v>1162</v>
      </c>
      <c r="C675" s="2">
        <v>28869</v>
      </c>
      <c r="D675" t="s">
        <v>1743</v>
      </c>
      <c r="E675" t="s">
        <v>1610</v>
      </c>
      <c r="F675" t="str">
        <f t="shared" si="40"/>
        <v>ZANELLI RUIZ</v>
      </c>
      <c r="G675" t="str">
        <f t="shared" si="41"/>
        <v>ZANELLI</v>
      </c>
      <c r="H675" t="str">
        <f t="shared" si="42"/>
        <v>RUIZ</v>
      </c>
      <c r="I675" t="str">
        <f t="shared" si="43"/>
        <v xml:space="preserve"> MICHELL ROBERT</v>
      </c>
    </row>
    <row r="676" spans="1:9" x14ac:dyDescent="0.25">
      <c r="A676" t="s">
        <v>984</v>
      </c>
      <c r="B676" t="s">
        <v>985</v>
      </c>
      <c r="C676" s="2">
        <v>36195</v>
      </c>
      <c r="D676" t="s">
        <v>1743</v>
      </c>
      <c r="F676" t="str">
        <f t="shared" si="40"/>
        <v>COTRINA GAITAN</v>
      </c>
      <c r="G676" t="str">
        <f t="shared" si="41"/>
        <v>COTRINA</v>
      </c>
      <c r="H676" t="str">
        <f t="shared" si="42"/>
        <v>GAITAN</v>
      </c>
      <c r="I676" t="str">
        <f t="shared" si="43"/>
        <v xml:space="preserve"> JOSE FRANCISCO</v>
      </c>
    </row>
    <row r="677" spans="1:9" x14ac:dyDescent="0.25">
      <c r="A677" t="s">
        <v>1012</v>
      </c>
      <c r="B677" t="s">
        <v>1013</v>
      </c>
      <c r="C677" s="2">
        <v>37429</v>
      </c>
      <c r="D677" t="s">
        <v>1743</v>
      </c>
      <c r="F677" t="str">
        <f t="shared" si="40"/>
        <v>TABOADA SARAVIA</v>
      </c>
      <c r="G677" t="str">
        <f t="shared" si="41"/>
        <v>TABOADA</v>
      </c>
      <c r="H677" t="str">
        <f t="shared" si="42"/>
        <v>SARAVIA</v>
      </c>
      <c r="I677" t="str">
        <f t="shared" si="43"/>
        <v xml:space="preserve"> ONEIL DEL PIERO</v>
      </c>
    </row>
    <row r="678" spans="1:9" x14ac:dyDescent="0.25">
      <c r="A678" t="s">
        <v>16</v>
      </c>
      <c r="B678" t="s">
        <v>17</v>
      </c>
      <c r="C678" s="2">
        <v>29266</v>
      </c>
      <c r="D678" t="s">
        <v>1743</v>
      </c>
      <c r="F678" t="str">
        <f t="shared" si="40"/>
        <v>CALERO LOPEZ</v>
      </c>
      <c r="G678" t="str">
        <f t="shared" si="41"/>
        <v>CALERO</v>
      </c>
      <c r="H678" t="str">
        <f t="shared" si="42"/>
        <v>LOPEZ</v>
      </c>
      <c r="I678" t="str">
        <f t="shared" si="43"/>
        <v xml:space="preserve"> CORDOVA</v>
      </c>
    </row>
    <row r="679" spans="1:9" x14ac:dyDescent="0.25">
      <c r="A679" t="s">
        <v>1163</v>
      </c>
      <c r="B679" t="s">
        <v>1164</v>
      </c>
      <c r="C679" s="2">
        <v>37026</v>
      </c>
      <c r="D679" t="s">
        <v>1744</v>
      </c>
      <c r="F679" t="str">
        <f t="shared" si="40"/>
        <v>HURTADO YUPANQUI</v>
      </c>
      <c r="G679" t="str">
        <f t="shared" si="41"/>
        <v>HURTADO</v>
      </c>
      <c r="H679" t="str">
        <f t="shared" si="42"/>
        <v>YUPANQUI</v>
      </c>
      <c r="I679" t="str">
        <f t="shared" si="43"/>
        <v xml:space="preserve"> KATHERINE</v>
      </c>
    </row>
    <row r="680" spans="1:9" x14ac:dyDescent="0.25">
      <c r="A680" t="s">
        <v>1165</v>
      </c>
      <c r="B680" t="s">
        <v>1166</v>
      </c>
      <c r="C680" s="2">
        <v>35765</v>
      </c>
      <c r="D680" t="s">
        <v>1743</v>
      </c>
      <c r="F680" t="str">
        <f t="shared" si="40"/>
        <v>ESQUECHE GALÁN</v>
      </c>
      <c r="G680" t="str">
        <f t="shared" si="41"/>
        <v>ESQUECHE</v>
      </c>
      <c r="H680" t="str">
        <f t="shared" si="42"/>
        <v>GALÁN</v>
      </c>
      <c r="I680" t="str">
        <f t="shared" si="43"/>
        <v xml:space="preserve"> JESUS ALEXSANDER</v>
      </c>
    </row>
    <row r="681" spans="1:9" x14ac:dyDescent="0.25">
      <c r="A681" t="s">
        <v>758</v>
      </c>
      <c r="B681" t="s">
        <v>759</v>
      </c>
      <c r="C681" s="2">
        <v>36320</v>
      </c>
      <c r="D681" t="s">
        <v>1743</v>
      </c>
      <c r="E681" t="s">
        <v>1579</v>
      </c>
      <c r="F681" t="str">
        <f t="shared" si="40"/>
        <v>CABANA PAUCARA</v>
      </c>
      <c r="G681" t="str">
        <f t="shared" si="41"/>
        <v>CABANA</v>
      </c>
      <c r="H681" t="str">
        <f t="shared" si="42"/>
        <v>PAUCARA</v>
      </c>
      <c r="I681" t="str">
        <f t="shared" si="43"/>
        <v xml:space="preserve"> LENYN</v>
      </c>
    </row>
    <row r="682" spans="1:9" x14ac:dyDescent="0.25">
      <c r="A682" t="s">
        <v>1167</v>
      </c>
      <c r="B682" t="s">
        <v>1168</v>
      </c>
      <c r="C682" s="2">
        <v>34489</v>
      </c>
      <c r="D682" t="s">
        <v>1743</v>
      </c>
      <c r="F682" t="str">
        <f t="shared" si="40"/>
        <v>ALARCON GUERRA</v>
      </c>
      <c r="G682" t="str">
        <f t="shared" si="41"/>
        <v>ALARCON</v>
      </c>
      <c r="H682" t="str">
        <f t="shared" si="42"/>
        <v>GUERRA</v>
      </c>
      <c r="I682" t="str">
        <f t="shared" si="43"/>
        <v xml:space="preserve"> ANTHONY ROBERTH </v>
      </c>
    </row>
    <row r="683" spans="1:9" x14ac:dyDescent="0.25">
      <c r="A683" t="s">
        <v>1169</v>
      </c>
      <c r="B683" t="s">
        <v>1170</v>
      </c>
      <c r="C683" s="2">
        <v>37024</v>
      </c>
      <c r="D683" t="s">
        <v>1743</v>
      </c>
      <c r="E683" t="s">
        <v>1611</v>
      </c>
      <c r="F683" t="str">
        <f t="shared" si="40"/>
        <v>CALLA BEGAZO</v>
      </c>
      <c r="G683" t="str">
        <f t="shared" si="41"/>
        <v>CALLA</v>
      </c>
      <c r="H683" t="str">
        <f t="shared" si="42"/>
        <v>BEGAZO</v>
      </c>
      <c r="I683" t="str">
        <f t="shared" si="43"/>
        <v xml:space="preserve"> JHON GABRIEL</v>
      </c>
    </row>
    <row r="684" spans="1:9" x14ac:dyDescent="0.25">
      <c r="A684" t="s">
        <v>538</v>
      </c>
      <c r="B684" t="s">
        <v>539</v>
      </c>
      <c r="C684" s="2">
        <v>35000</v>
      </c>
      <c r="D684" t="s">
        <v>1743</v>
      </c>
      <c r="F684" t="str">
        <f t="shared" si="40"/>
        <v>GALARZA FEBRES</v>
      </c>
      <c r="G684" t="str">
        <f t="shared" si="41"/>
        <v>GALARZA</v>
      </c>
      <c r="H684" t="str">
        <f t="shared" si="42"/>
        <v>FEBRES</v>
      </c>
      <c r="I684" t="str">
        <f t="shared" si="43"/>
        <v xml:space="preserve"> MARCELO MARTIN</v>
      </c>
    </row>
    <row r="685" spans="1:9" x14ac:dyDescent="0.25">
      <c r="A685" t="s">
        <v>1171</v>
      </c>
      <c r="B685" t="s">
        <v>1172</v>
      </c>
      <c r="C685" s="2">
        <v>36607</v>
      </c>
      <c r="D685" t="s">
        <v>1743</v>
      </c>
      <c r="F685" t="str">
        <f t="shared" si="40"/>
        <v>MARTINEZ HUAMANI</v>
      </c>
      <c r="G685" t="str">
        <f t="shared" si="41"/>
        <v>MARTINEZ</v>
      </c>
      <c r="H685" t="str">
        <f t="shared" si="42"/>
        <v>HUAMANI</v>
      </c>
      <c r="I685" t="str">
        <f t="shared" si="43"/>
        <v xml:space="preserve"> BRYAN ALDAIR</v>
      </c>
    </row>
    <row r="686" spans="1:9" x14ac:dyDescent="0.25">
      <c r="A686" t="s">
        <v>1173</v>
      </c>
      <c r="B686" t="s">
        <v>1174</v>
      </c>
      <c r="C686" s="2">
        <v>35640</v>
      </c>
      <c r="D686" t="s">
        <v>1743</v>
      </c>
      <c r="F686" t="str">
        <f t="shared" si="40"/>
        <v>PUMASUPA ARCE</v>
      </c>
      <c r="G686" t="str">
        <f t="shared" si="41"/>
        <v>PUMASUPA</v>
      </c>
      <c r="H686" t="str">
        <f t="shared" si="42"/>
        <v>ARCE</v>
      </c>
      <c r="I686" t="str">
        <f t="shared" si="43"/>
        <v xml:space="preserve"> BRYAN ANTONIO</v>
      </c>
    </row>
    <row r="687" spans="1:9" x14ac:dyDescent="0.25">
      <c r="A687" t="s">
        <v>823</v>
      </c>
      <c r="B687" t="s">
        <v>824</v>
      </c>
      <c r="C687" s="2">
        <v>37575</v>
      </c>
      <c r="D687" t="s">
        <v>1743</v>
      </c>
      <c r="F687" t="str">
        <f t="shared" si="40"/>
        <v>BALDEON SALAZAR</v>
      </c>
      <c r="G687" t="str">
        <f t="shared" si="41"/>
        <v>BALDEON</v>
      </c>
      <c r="H687" t="str">
        <f t="shared" si="42"/>
        <v>SALAZAR</v>
      </c>
      <c r="I687" t="str">
        <f t="shared" si="43"/>
        <v xml:space="preserve"> JESUS WALTER HUMBERTO</v>
      </c>
    </row>
    <row r="688" spans="1:9" x14ac:dyDescent="0.25">
      <c r="A688" t="s">
        <v>1175</v>
      </c>
      <c r="B688" t="s">
        <v>1176</v>
      </c>
      <c r="C688" s="2">
        <v>33736</v>
      </c>
      <c r="D688" t="s">
        <v>1743</v>
      </c>
      <c r="F688" t="str">
        <f t="shared" si="40"/>
        <v>CARHUA ALANIA</v>
      </c>
      <c r="G688" t="str">
        <f t="shared" si="41"/>
        <v>CARHUA</v>
      </c>
      <c r="H688" t="str">
        <f t="shared" si="42"/>
        <v>ALANIA</v>
      </c>
      <c r="I688" t="str">
        <f t="shared" si="43"/>
        <v xml:space="preserve"> CAYO YOSMIL</v>
      </c>
    </row>
    <row r="689" spans="1:9" x14ac:dyDescent="0.25">
      <c r="A689" t="s">
        <v>1177</v>
      </c>
      <c r="B689" t="s">
        <v>1178</v>
      </c>
      <c r="C689" s="2">
        <v>31049</v>
      </c>
      <c r="D689" t="s">
        <v>1743</v>
      </c>
      <c r="E689" t="s">
        <v>1612</v>
      </c>
      <c r="F689" t="str">
        <f t="shared" si="40"/>
        <v>QUISPE MENDOZA</v>
      </c>
      <c r="G689" t="str">
        <f t="shared" si="41"/>
        <v>QUISPE</v>
      </c>
      <c r="H689" t="str">
        <f t="shared" si="42"/>
        <v>MENDOZA</v>
      </c>
      <c r="I689" t="str">
        <f t="shared" si="43"/>
        <v xml:space="preserve"> JOHAN PAUL</v>
      </c>
    </row>
    <row r="690" spans="1:9" x14ac:dyDescent="0.25">
      <c r="A690" t="s">
        <v>962</v>
      </c>
      <c r="B690" t="s">
        <v>963</v>
      </c>
      <c r="C690" s="2">
        <v>34029</v>
      </c>
      <c r="D690" t="s">
        <v>1743</v>
      </c>
      <c r="F690" t="str">
        <f t="shared" si="40"/>
        <v>ZELADA ABANTO</v>
      </c>
      <c r="G690" t="str">
        <f t="shared" si="41"/>
        <v>ZELADA</v>
      </c>
      <c r="H690" t="str">
        <f t="shared" si="42"/>
        <v>ABANTO</v>
      </c>
      <c r="I690" t="str">
        <f t="shared" si="43"/>
        <v xml:space="preserve"> LELIXS JANDER </v>
      </c>
    </row>
    <row r="691" spans="1:9" x14ac:dyDescent="0.25">
      <c r="A691" t="s">
        <v>1179</v>
      </c>
      <c r="B691" t="s">
        <v>1180</v>
      </c>
      <c r="C691" s="2">
        <v>31995</v>
      </c>
      <c r="D691" t="s">
        <v>1743</v>
      </c>
      <c r="E691" t="s">
        <v>1613</v>
      </c>
      <c r="F691" t="str">
        <f t="shared" si="40"/>
        <v>OLAYA ALVARADO</v>
      </c>
      <c r="G691" t="str">
        <f t="shared" si="41"/>
        <v>OLAYA</v>
      </c>
      <c r="H691" t="str">
        <f t="shared" si="42"/>
        <v>ALVARADO</v>
      </c>
      <c r="I691" t="str">
        <f t="shared" si="43"/>
        <v xml:space="preserve"> JOHN YEISON</v>
      </c>
    </row>
    <row r="692" spans="1:9" x14ac:dyDescent="0.25">
      <c r="A692" t="s">
        <v>1181</v>
      </c>
      <c r="B692" t="s">
        <v>1182</v>
      </c>
      <c r="C692" s="2">
        <v>37248</v>
      </c>
      <c r="D692" t="s">
        <v>1743</v>
      </c>
      <c r="F692" t="str">
        <f t="shared" si="40"/>
        <v>PORTAL GIRON</v>
      </c>
      <c r="G692" t="str">
        <f t="shared" si="41"/>
        <v>PORTAL</v>
      </c>
      <c r="H692" t="str">
        <f t="shared" si="42"/>
        <v>GIRON</v>
      </c>
      <c r="I692" t="str">
        <f t="shared" si="43"/>
        <v xml:space="preserve"> JERIN LYNCOLNS </v>
      </c>
    </row>
    <row r="693" spans="1:9" x14ac:dyDescent="0.25">
      <c r="A693" t="s">
        <v>1183</v>
      </c>
      <c r="B693" t="s">
        <v>1184</v>
      </c>
      <c r="C693" s="2">
        <v>35947</v>
      </c>
      <c r="D693" t="s">
        <v>1743</v>
      </c>
      <c r="F693" t="str">
        <f t="shared" si="40"/>
        <v>SANCHEZ VARGAS</v>
      </c>
      <c r="G693" t="str">
        <f t="shared" si="41"/>
        <v>SANCHEZ</v>
      </c>
      <c r="H693" t="str">
        <f t="shared" si="42"/>
        <v>VARGAS</v>
      </c>
      <c r="I693" t="str">
        <f t="shared" si="43"/>
        <v xml:space="preserve"> JOSE ANTONIO </v>
      </c>
    </row>
    <row r="694" spans="1:9" x14ac:dyDescent="0.25">
      <c r="A694" t="s">
        <v>574</v>
      </c>
      <c r="B694" t="s">
        <v>575</v>
      </c>
      <c r="C694" s="2">
        <v>33414</v>
      </c>
      <c r="D694" t="s">
        <v>1743</v>
      </c>
      <c r="F694" t="str">
        <f t="shared" si="40"/>
        <v>ZEVALLOS PEREZ</v>
      </c>
      <c r="G694" t="str">
        <f t="shared" si="41"/>
        <v>ZEVALLOS</v>
      </c>
      <c r="H694" t="str">
        <f t="shared" si="42"/>
        <v>PEREZ</v>
      </c>
      <c r="I694" t="str">
        <f t="shared" si="43"/>
        <v xml:space="preserve"> SEGUNDO JOHN</v>
      </c>
    </row>
    <row r="695" spans="1:9" x14ac:dyDescent="0.25">
      <c r="A695" t="s">
        <v>1185</v>
      </c>
      <c r="B695" t="s">
        <v>1186</v>
      </c>
      <c r="C695" s="2">
        <v>34518</v>
      </c>
      <c r="D695" t="s">
        <v>1743</v>
      </c>
      <c r="F695" t="str">
        <f t="shared" si="40"/>
        <v>RAMOS DÁVILA</v>
      </c>
      <c r="G695" t="str">
        <f t="shared" si="41"/>
        <v>RAMOS</v>
      </c>
      <c r="H695" t="str">
        <f t="shared" si="42"/>
        <v>DÁVILA</v>
      </c>
      <c r="I695" t="str">
        <f t="shared" si="43"/>
        <v xml:space="preserve"> ROGER ALDAIR</v>
      </c>
    </row>
    <row r="696" spans="1:9" x14ac:dyDescent="0.25">
      <c r="A696" t="s">
        <v>972</v>
      </c>
      <c r="B696" t="s">
        <v>973</v>
      </c>
      <c r="C696" s="2">
        <v>32813</v>
      </c>
      <c r="D696" t="s">
        <v>1743</v>
      </c>
      <c r="E696" t="s">
        <v>1614</v>
      </c>
      <c r="F696" t="str">
        <f t="shared" si="40"/>
        <v>LLACSAHUACHE CRISANTO</v>
      </c>
      <c r="G696" t="str">
        <f t="shared" si="41"/>
        <v>LLACSAHUACHE</v>
      </c>
      <c r="H696" t="str">
        <f t="shared" si="42"/>
        <v>CRISANTO</v>
      </c>
      <c r="I696" t="str">
        <f t="shared" si="43"/>
        <v xml:space="preserve"> DARWIN EUDOCIO</v>
      </c>
    </row>
    <row r="697" spans="1:9" x14ac:dyDescent="0.25">
      <c r="A697" t="s">
        <v>580</v>
      </c>
      <c r="B697" t="s">
        <v>581</v>
      </c>
      <c r="C697" s="2">
        <v>33404</v>
      </c>
      <c r="D697" t="s">
        <v>1743</v>
      </c>
      <c r="E697" t="s">
        <v>1615</v>
      </c>
      <c r="F697" t="str">
        <f t="shared" si="40"/>
        <v>OBREGON MEJIA</v>
      </c>
      <c r="G697" t="str">
        <f t="shared" si="41"/>
        <v>OBREGON</v>
      </c>
      <c r="H697" t="str">
        <f t="shared" si="42"/>
        <v>MEJIA</v>
      </c>
      <c r="I697" t="str">
        <f t="shared" si="43"/>
        <v xml:space="preserve"> GUILLERMO FRANKLIN</v>
      </c>
    </row>
    <row r="698" spans="1:9" x14ac:dyDescent="0.25">
      <c r="A698" t="s">
        <v>476</v>
      </c>
      <c r="B698" t="s">
        <v>477</v>
      </c>
      <c r="C698" s="2">
        <v>34692</v>
      </c>
      <c r="D698" t="s">
        <v>1743</v>
      </c>
      <c r="E698" t="s">
        <v>1616</v>
      </c>
      <c r="F698" t="str">
        <f t="shared" si="40"/>
        <v>ORE CONCHA</v>
      </c>
      <c r="G698" t="str">
        <f t="shared" si="41"/>
        <v>ORE</v>
      </c>
      <c r="H698" t="str">
        <f t="shared" si="42"/>
        <v>CONCHA</v>
      </c>
      <c r="I698" t="str">
        <f t="shared" si="43"/>
        <v xml:space="preserve"> JESUS</v>
      </c>
    </row>
    <row r="699" spans="1:9" x14ac:dyDescent="0.25">
      <c r="A699" t="s">
        <v>259</v>
      </c>
      <c r="B699" t="s">
        <v>260</v>
      </c>
      <c r="C699" s="2">
        <v>36732</v>
      </c>
      <c r="D699" t="s">
        <v>1743</v>
      </c>
      <c r="E699" t="s">
        <v>1617</v>
      </c>
      <c r="F699" t="str">
        <f t="shared" si="40"/>
        <v>POMAYA PEÑALOZA</v>
      </c>
      <c r="G699" t="str">
        <f t="shared" si="41"/>
        <v>POMAYA</v>
      </c>
      <c r="H699" t="str">
        <f t="shared" si="42"/>
        <v>PEÑALOZA</v>
      </c>
      <c r="I699" t="str">
        <f t="shared" si="43"/>
        <v xml:space="preserve"> RUSEL DILVER</v>
      </c>
    </row>
    <row r="700" spans="1:9" x14ac:dyDescent="0.25">
      <c r="A700" t="s">
        <v>1187</v>
      </c>
      <c r="B700" t="s">
        <v>1188</v>
      </c>
      <c r="C700" s="2">
        <v>23426</v>
      </c>
      <c r="D700" t="s">
        <v>1743</v>
      </c>
      <c r="F700" t="str">
        <f t="shared" si="40"/>
        <v>RABANAL CHAVEZ</v>
      </c>
      <c r="G700" t="str">
        <f t="shared" si="41"/>
        <v>RABANAL</v>
      </c>
      <c r="H700" t="str">
        <f t="shared" si="42"/>
        <v>CHAVEZ</v>
      </c>
      <c r="I700" t="str">
        <f t="shared" si="43"/>
        <v xml:space="preserve"> CARLOS ENRIQUE</v>
      </c>
    </row>
    <row r="701" spans="1:9" x14ac:dyDescent="0.25">
      <c r="A701" t="s">
        <v>348</v>
      </c>
      <c r="B701" t="s">
        <v>349</v>
      </c>
      <c r="C701" s="2">
        <v>34808</v>
      </c>
      <c r="D701" t="s">
        <v>1743</v>
      </c>
      <c r="F701" t="str">
        <f t="shared" si="40"/>
        <v>TOSCANO FERNANDEZ</v>
      </c>
      <c r="G701" t="str">
        <f t="shared" si="41"/>
        <v>TOSCANO</v>
      </c>
      <c r="H701" t="str">
        <f t="shared" si="42"/>
        <v>FERNANDEZ</v>
      </c>
      <c r="I701" t="str">
        <f t="shared" si="43"/>
        <v xml:space="preserve"> ERASMO</v>
      </c>
    </row>
    <row r="702" spans="1:9" x14ac:dyDescent="0.25">
      <c r="A702" t="s">
        <v>869</v>
      </c>
      <c r="B702" t="s">
        <v>870</v>
      </c>
      <c r="C702" s="2">
        <v>34857</v>
      </c>
      <c r="D702" t="s">
        <v>1743</v>
      </c>
      <c r="F702" t="str">
        <f t="shared" si="40"/>
        <v>VALENCIA ASPILCUETA</v>
      </c>
      <c r="G702" t="str">
        <f t="shared" si="41"/>
        <v>VALENCIA</v>
      </c>
      <c r="H702" t="str">
        <f t="shared" si="42"/>
        <v>ASPILCUETA</v>
      </c>
      <c r="I702" t="str">
        <f t="shared" si="43"/>
        <v xml:space="preserve"> JOSE MAURICIO</v>
      </c>
    </row>
    <row r="703" spans="1:9" x14ac:dyDescent="0.25">
      <c r="A703" t="s">
        <v>1189</v>
      </c>
      <c r="B703" t="s">
        <v>1190</v>
      </c>
      <c r="C703" s="2">
        <v>30783</v>
      </c>
      <c r="D703" t="s">
        <v>1743</v>
      </c>
      <c r="F703" t="str">
        <f t="shared" si="40"/>
        <v>HUAMAN MENDEZ</v>
      </c>
      <c r="G703" t="str">
        <f t="shared" si="41"/>
        <v>HUAMAN</v>
      </c>
      <c r="H703" t="str">
        <f t="shared" si="42"/>
        <v>MENDEZ</v>
      </c>
      <c r="I703" t="str">
        <f t="shared" si="43"/>
        <v xml:space="preserve"> REX RENE</v>
      </c>
    </row>
    <row r="704" spans="1:9" x14ac:dyDescent="0.25">
      <c r="A704" t="s">
        <v>867</v>
      </c>
      <c r="B704" t="s">
        <v>868</v>
      </c>
      <c r="C704" s="2">
        <v>37604</v>
      </c>
      <c r="D704" t="s">
        <v>1743</v>
      </c>
      <c r="F704" t="str">
        <f t="shared" si="40"/>
        <v>RIVAS CINCE</v>
      </c>
      <c r="G704" t="str">
        <f t="shared" si="41"/>
        <v>RIVAS</v>
      </c>
      <c r="H704" t="str">
        <f t="shared" si="42"/>
        <v>CINCE</v>
      </c>
      <c r="I704" t="str">
        <f t="shared" si="43"/>
        <v xml:space="preserve"> MAYCOLT JORDI</v>
      </c>
    </row>
    <row r="705" spans="1:9" x14ac:dyDescent="0.25">
      <c r="A705" t="s">
        <v>1191</v>
      </c>
      <c r="B705" t="s">
        <v>1192</v>
      </c>
      <c r="C705" s="2">
        <v>33929</v>
      </c>
      <c r="D705" t="s">
        <v>1743</v>
      </c>
      <c r="F705" t="str">
        <f t="shared" si="40"/>
        <v>RODRIGUEZ CUBA</v>
      </c>
      <c r="G705" t="str">
        <f t="shared" si="41"/>
        <v>RODRIGUEZ</v>
      </c>
      <c r="H705" t="str">
        <f t="shared" si="42"/>
        <v>CUBA</v>
      </c>
      <c r="I705" t="str">
        <f t="shared" si="43"/>
        <v xml:space="preserve"> FREDY ALFREDO</v>
      </c>
    </row>
    <row r="706" spans="1:9" x14ac:dyDescent="0.25">
      <c r="A706" t="s">
        <v>1193</v>
      </c>
      <c r="B706" t="s">
        <v>1194</v>
      </c>
      <c r="C706" s="2">
        <v>33871</v>
      </c>
      <c r="D706" t="s">
        <v>1743</v>
      </c>
      <c r="E706" t="s">
        <v>1618</v>
      </c>
      <c r="F706" t="str">
        <f t="shared" si="40"/>
        <v>LIMA SIME</v>
      </c>
      <c r="G706" t="str">
        <f t="shared" si="41"/>
        <v>LIMA</v>
      </c>
      <c r="H706" t="str">
        <f t="shared" si="42"/>
        <v>SIME</v>
      </c>
      <c r="I706" t="str">
        <f t="shared" si="43"/>
        <v xml:space="preserve"> GUSTAVO BARTOLOMÉ</v>
      </c>
    </row>
    <row r="707" spans="1:9" x14ac:dyDescent="0.25">
      <c r="A707" t="s">
        <v>815</v>
      </c>
      <c r="B707" t="s">
        <v>816</v>
      </c>
      <c r="C707" s="2">
        <v>30082</v>
      </c>
      <c r="D707" t="s">
        <v>1743</v>
      </c>
      <c r="F707" t="str">
        <f t="shared" ref="F707:F770" si="44">LEFT(B707,SEARCH(",",B707)-1)</f>
        <v>ROJAS TUMBA</v>
      </c>
      <c r="G707" t="str">
        <f t="shared" ref="G707:G770" si="45">LEFT(F707,SEARCH(" ",F707)-1)</f>
        <v>ROJAS</v>
      </c>
      <c r="H707" t="str">
        <f t="shared" ref="H707:H770" si="46">RIGHT(F707,LEN(F707)- SEARCH(" ",F707))</f>
        <v>TUMBA</v>
      </c>
      <c r="I707" t="str">
        <f t="shared" ref="I707:I770" si="47">RIGHT(B707,LEN(B707)- SEARCH(",",B707))</f>
        <v xml:space="preserve"> MARIO MANUEL</v>
      </c>
    </row>
    <row r="708" spans="1:9" x14ac:dyDescent="0.25">
      <c r="A708" t="s">
        <v>1195</v>
      </c>
      <c r="B708" t="s">
        <v>1196</v>
      </c>
      <c r="C708" s="2">
        <v>25871</v>
      </c>
      <c r="D708" t="s">
        <v>1743</v>
      </c>
      <c r="F708" t="str">
        <f t="shared" si="44"/>
        <v>VASQUEZ ESCALANTE</v>
      </c>
      <c r="G708" t="str">
        <f t="shared" si="45"/>
        <v>VASQUEZ</v>
      </c>
      <c r="H708" t="str">
        <f t="shared" si="46"/>
        <v>ESCALANTE</v>
      </c>
      <c r="I708" t="str">
        <f t="shared" si="47"/>
        <v xml:space="preserve"> JORGE LUIS</v>
      </c>
    </row>
    <row r="709" spans="1:9" x14ac:dyDescent="0.25">
      <c r="A709" t="s">
        <v>1197</v>
      </c>
      <c r="B709" t="s">
        <v>1198</v>
      </c>
      <c r="C709" s="2">
        <v>31376</v>
      </c>
      <c r="D709" t="s">
        <v>1743</v>
      </c>
      <c r="F709" t="str">
        <f t="shared" si="44"/>
        <v>CONDORI CAMA</v>
      </c>
      <c r="G709" t="str">
        <f t="shared" si="45"/>
        <v>CONDORI</v>
      </c>
      <c r="H709" t="str">
        <f t="shared" si="46"/>
        <v>CAMA</v>
      </c>
      <c r="I709" t="str">
        <f t="shared" si="47"/>
        <v xml:space="preserve"> VICTOR LUIS</v>
      </c>
    </row>
    <row r="710" spans="1:9" x14ac:dyDescent="0.25">
      <c r="A710" t="s">
        <v>1199</v>
      </c>
      <c r="B710" t="s">
        <v>1200</v>
      </c>
      <c r="C710" s="2">
        <v>36863</v>
      </c>
      <c r="D710" t="s">
        <v>1743</v>
      </c>
      <c r="E710" t="s">
        <v>1619</v>
      </c>
      <c r="F710" t="str">
        <f t="shared" si="44"/>
        <v>LUNA AGUILAR</v>
      </c>
      <c r="G710" t="str">
        <f t="shared" si="45"/>
        <v>LUNA</v>
      </c>
      <c r="H710" t="str">
        <f t="shared" si="46"/>
        <v>AGUILAR</v>
      </c>
      <c r="I710" t="str">
        <f t="shared" si="47"/>
        <v xml:space="preserve"> DANTE JEAN FRANCO</v>
      </c>
    </row>
    <row r="711" spans="1:9" x14ac:dyDescent="0.25">
      <c r="A711" t="s">
        <v>1201</v>
      </c>
      <c r="B711" t="s">
        <v>1202</v>
      </c>
      <c r="C711" s="2">
        <v>28732</v>
      </c>
      <c r="D711" t="s">
        <v>1743</v>
      </c>
      <c r="F711" t="str">
        <f t="shared" si="44"/>
        <v>ESPEJO ROJAS</v>
      </c>
      <c r="G711" t="str">
        <f t="shared" si="45"/>
        <v>ESPEJO</v>
      </c>
      <c r="H711" t="str">
        <f t="shared" si="46"/>
        <v>ROJAS</v>
      </c>
      <c r="I711" t="str">
        <f t="shared" si="47"/>
        <v xml:space="preserve"> JORDAN WILSON</v>
      </c>
    </row>
    <row r="712" spans="1:9" x14ac:dyDescent="0.25">
      <c r="A712" t="s">
        <v>1203</v>
      </c>
      <c r="B712" t="s">
        <v>1204</v>
      </c>
      <c r="C712" s="2">
        <v>31180</v>
      </c>
      <c r="D712" t="s">
        <v>1743</v>
      </c>
      <c r="F712" t="str">
        <f t="shared" si="44"/>
        <v>GARAYCOCHEA ASENJO</v>
      </c>
      <c r="G712" t="str">
        <f t="shared" si="45"/>
        <v>GARAYCOCHEA</v>
      </c>
      <c r="H712" t="str">
        <f t="shared" si="46"/>
        <v>ASENJO</v>
      </c>
      <c r="I712" t="str">
        <f t="shared" si="47"/>
        <v xml:space="preserve"> TXIKI XAVIER </v>
      </c>
    </row>
    <row r="713" spans="1:9" x14ac:dyDescent="0.25">
      <c r="A713" t="s">
        <v>1205</v>
      </c>
      <c r="B713" t="s">
        <v>1206</v>
      </c>
      <c r="C713" s="2">
        <v>33292</v>
      </c>
      <c r="D713" t="s">
        <v>1743</v>
      </c>
      <c r="F713" t="str">
        <f t="shared" si="44"/>
        <v>ELIAS PARIÑAS</v>
      </c>
      <c r="G713" t="str">
        <f t="shared" si="45"/>
        <v>ELIAS</v>
      </c>
      <c r="H713" t="str">
        <f t="shared" si="46"/>
        <v>PARIÑAS</v>
      </c>
      <c r="I713" t="str">
        <f t="shared" si="47"/>
        <v xml:space="preserve"> ERICK ALEXANDER </v>
      </c>
    </row>
    <row r="714" spans="1:9" x14ac:dyDescent="0.25">
      <c r="A714" t="s">
        <v>381</v>
      </c>
      <c r="B714" t="s">
        <v>382</v>
      </c>
      <c r="C714" s="2">
        <v>34189</v>
      </c>
      <c r="D714" t="s">
        <v>1743</v>
      </c>
      <c r="F714" t="str">
        <f t="shared" si="44"/>
        <v>GIL CUSIHUALLPA</v>
      </c>
      <c r="G714" t="str">
        <f t="shared" si="45"/>
        <v>GIL</v>
      </c>
      <c r="H714" t="str">
        <f t="shared" si="46"/>
        <v>CUSIHUALLPA</v>
      </c>
      <c r="I714" t="str">
        <f t="shared" si="47"/>
        <v xml:space="preserve"> EDISON</v>
      </c>
    </row>
    <row r="715" spans="1:9" x14ac:dyDescent="0.25">
      <c r="A715" t="s">
        <v>590</v>
      </c>
      <c r="B715" t="s">
        <v>591</v>
      </c>
      <c r="C715" s="2">
        <v>37803</v>
      </c>
      <c r="D715" t="s">
        <v>1743</v>
      </c>
      <c r="F715" t="str">
        <f t="shared" si="44"/>
        <v>CRUZ RIVAS</v>
      </c>
      <c r="G715" t="str">
        <f t="shared" si="45"/>
        <v>CRUZ</v>
      </c>
      <c r="H715" t="str">
        <f t="shared" si="46"/>
        <v>RIVAS</v>
      </c>
      <c r="I715" t="str">
        <f t="shared" si="47"/>
        <v xml:space="preserve"> ALEX JOEL</v>
      </c>
    </row>
    <row r="716" spans="1:9" x14ac:dyDescent="0.25">
      <c r="A716" t="s">
        <v>1207</v>
      </c>
      <c r="B716" t="s">
        <v>1208</v>
      </c>
      <c r="C716" s="2">
        <v>36291</v>
      </c>
      <c r="D716" t="s">
        <v>1743</v>
      </c>
      <c r="F716" t="str">
        <f t="shared" si="44"/>
        <v>AVALOS CHIZA</v>
      </c>
      <c r="G716" t="str">
        <f t="shared" si="45"/>
        <v>AVALOS</v>
      </c>
      <c r="H716" t="str">
        <f t="shared" si="46"/>
        <v>CHIZA</v>
      </c>
      <c r="I716" t="str">
        <f t="shared" si="47"/>
        <v xml:space="preserve"> JOSE ARMANDO</v>
      </c>
    </row>
    <row r="717" spans="1:9" x14ac:dyDescent="0.25">
      <c r="A717" t="s">
        <v>1209</v>
      </c>
      <c r="B717" t="s">
        <v>1210</v>
      </c>
      <c r="C717" s="2">
        <v>36535</v>
      </c>
      <c r="D717" t="s">
        <v>1743</v>
      </c>
      <c r="E717" t="s">
        <v>1620</v>
      </c>
      <c r="F717" t="str">
        <f t="shared" si="44"/>
        <v>GONZALES COVEÑAS</v>
      </c>
      <c r="G717" t="str">
        <f t="shared" si="45"/>
        <v>GONZALES</v>
      </c>
      <c r="H717" t="str">
        <f t="shared" si="46"/>
        <v>COVEÑAS</v>
      </c>
      <c r="I717" t="str">
        <f t="shared" si="47"/>
        <v xml:space="preserve"> JUNIOR OMAR </v>
      </c>
    </row>
    <row r="718" spans="1:9" x14ac:dyDescent="0.25">
      <c r="A718" t="s">
        <v>1211</v>
      </c>
      <c r="B718" t="s">
        <v>1212</v>
      </c>
      <c r="C718" s="2">
        <v>33861</v>
      </c>
      <c r="D718" t="s">
        <v>1743</v>
      </c>
      <c r="E718" t="s">
        <v>1621</v>
      </c>
      <c r="F718" t="str">
        <f t="shared" si="44"/>
        <v>LOAYZA LLANOS</v>
      </c>
      <c r="G718" t="str">
        <f t="shared" si="45"/>
        <v>LOAYZA</v>
      </c>
      <c r="H718" t="str">
        <f t="shared" si="46"/>
        <v>LLANOS</v>
      </c>
      <c r="I718" t="str">
        <f t="shared" si="47"/>
        <v xml:space="preserve"> JOSÉ WILDER</v>
      </c>
    </row>
    <row r="719" spans="1:9" x14ac:dyDescent="0.25">
      <c r="A719" t="s">
        <v>1213</v>
      </c>
      <c r="B719" t="s">
        <v>1214</v>
      </c>
      <c r="C719" s="2">
        <v>37350</v>
      </c>
      <c r="D719" t="s">
        <v>1743</v>
      </c>
      <c r="E719" t="s">
        <v>1622</v>
      </c>
      <c r="F719" t="str">
        <f t="shared" si="44"/>
        <v>VARGAS AQUIJES</v>
      </c>
      <c r="G719" t="str">
        <f t="shared" si="45"/>
        <v>VARGAS</v>
      </c>
      <c r="H719" t="str">
        <f t="shared" si="46"/>
        <v>AQUIJES</v>
      </c>
      <c r="I719" t="str">
        <f t="shared" si="47"/>
        <v xml:space="preserve"> RODOLFO SONY</v>
      </c>
    </row>
    <row r="720" spans="1:9" x14ac:dyDescent="0.25">
      <c r="A720" t="s">
        <v>1215</v>
      </c>
      <c r="B720" t="s">
        <v>1216</v>
      </c>
      <c r="C720" s="2">
        <v>34402</v>
      </c>
      <c r="D720" t="s">
        <v>1743</v>
      </c>
      <c r="F720" t="str">
        <f t="shared" si="44"/>
        <v>JULCAHUANCA SAAVEDRA</v>
      </c>
      <c r="G720" t="str">
        <f t="shared" si="45"/>
        <v>JULCAHUANCA</v>
      </c>
      <c r="H720" t="str">
        <f t="shared" si="46"/>
        <v>SAAVEDRA</v>
      </c>
      <c r="I720" t="str">
        <f t="shared" si="47"/>
        <v xml:space="preserve"> JOSÉ FRANCISCO</v>
      </c>
    </row>
    <row r="721" spans="1:9" x14ac:dyDescent="0.25">
      <c r="A721" t="s">
        <v>902</v>
      </c>
      <c r="B721" t="s">
        <v>903</v>
      </c>
      <c r="C721" s="2">
        <v>37443</v>
      </c>
      <c r="D721" t="s">
        <v>1743</v>
      </c>
      <c r="E721" t="s">
        <v>1585</v>
      </c>
      <c r="F721" t="str">
        <f t="shared" si="44"/>
        <v>HUAMANI ZAA</v>
      </c>
      <c r="G721" t="str">
        <f t="shared" si="45"/>
        <v>HUAMANI</v>
      </c>
      <c r="H721" t="str">
        <f t="shared" si="46"/>
        <v>ZAA</v>
      </c>
      <c r="I721" t="str">
        <f t="shared" si="47"/>
        <v xml:space="preserve"> LUCIO RIVALDO</v>
      </c>
    </row>
    <row r="722" spans="1:9" x14ac:dyDescent="0.25">
      <c r="A722" t="s">
        <v>1217</v>
      </c>
      <c r="B722" t="s">
        <v>1218</v>
      </c>
      <c r="C722" s="2">
        <v>36167</v>
      </c>
      <c r="D722" t="s">
        <v>1743</v>
      </c>
      <c r="F722" t="str">
        <f t="shared" si="44"/>
        <v>ROSALES RAMOS</v>
      </c>
      <c r="G722" t="str">
        <f t="shared" si="45"/>
        <v>ROSALES</v>
      </c>
      <c r="H722" t="str">
        <f t="shared" si="46"/>
        <v>RAMOS</v>
      </c>
      <c r="I722" t="str">
        <f t="shared" si="47"/>
        <v xml:space="preserve"> LUIS FERNANDO</v>
      </c>
    </row>
    <row r="723" spans="1:9" x14ac:dyDescent="0.25">
      <c r="A723" t="s">
        <v>1219</v>
      </c>
      <c r="B723" t="s">
        <v>1220</v>
      </c>
      <c r="C723" s="2">
        <v>32953</v>
      </c>
      <c r="D723" t="s">
        <v>1743</v>
      </c>
      <c r="F723" t="str">
        <f t="shared" si="44"/>
        <v>TORO CHANG</v>
      </c>
      <c r="G723" t="str">
        <f t="shared" si="45"/>
        <v>TORO</v>
      </c>
      <c r="H723" t="str">
        <f t="shared" si="46"/>
        <v>CHANG</v>
      </c>
      <c r="I723" t="str">
        <f t="shared" si="47"/>
        <v xml:space="preserve"> CESAR HUMBERTO</v>
      </c>
    </row>
    <row r="724" spans="1:9" x14ac:dyDescent="0.25">
      <c r="A724" t="s">
        <v>1221</v>
      </c>
      <c r="B724" t="s">
        <v>1222</v>
      </c>
      <c r="C724" s="2">
        <v>38013</v>
      </c>
      <c r="D724" t="s">
        <v>1743</v>
      </c>
      <c r="E724" t="s">
        <v>1623</v>
      </c>
      <c r="F724" t="str">
        <f t="shared" si="44"/>
        <v>MALCA QUIROZ</v>
      </c>
      <c r="G724" t="str">
        <f t="shared" si="45"/>
        <v>MALCA</v>
      </c>
      <c r="H724" t="str">
        <f t="shared" si="46"/>
        <v>QUIROZ</v>
      </c>
      <c r="I724" t="str">
        <f t="shared" si="47"/>
        <v xml:space="preserve"> JEAN CARLOS</v>
      </c>
    </row>
    <row r="725" spans="1:9" x14ac:dyDescent="0.25">
      <c r="A725" t="s">
        <v>1223</v>
      </c>
      <c r="B725" t="s">
        <v>1224</v>
      </c>
      <c r="C725" s="2">
        <v>37349</v>
      </c>
      <c r="D725" t="s">
        <v>1743</v>
      </c>
      <c r="E725" t="s">
        <v>1624</v>
      </c>
      <c r="F725" t="str">
        <f t="shared" si="44"/>
        <v>PEREZ RAMOS</v>
      </c>
      <c r="G725" t="str">
        <f t="shared" si="45"/>
        <v>PEREZ</v>
      </c>
      <c r="H725" t="str">
        <f t="shared" si="46"/>
        <v>RAMOS</v>
      </c>
      <c r="I725" t="str">
        <f t="shared" si="47"/>
        <v xml:space="preserve"> JEAN CARLO</v>
      </c>
    </row>
    <row r="726" spans="1:9" x14ac:dyDescent="0.25">
      <c r="A726" t="s">
        <v>1225</v>
      </c>
      <c r="B726" t="s">
        <v>1226</v>
      </c>
      <c r="C726" s="2">
        <v>26614</v>
      </c>
      <c r="D726" t="s">
        <v>1743</v>
      </c>
      <c r="E726" t="s">
        <v>1625</v>
      </c>
      <c r="F726" t="str">
        <f t="shared" si="44"/>
        <v>KARI OCHOA</v>
      </c>
      <c r="G726" t="str">
        <f t="shared" si="45"/>
        <v>KARI</v>
      </c>
      <c r="H726" t="str">
        <f t="shared" si="46"/>
        <v>OCHOA</v>
      </c>
      <c r="I726" t="str">
        <f t="shared" si="47"/>
        <v xml:space="preserve"> GILMER JESUS</v>
      </c>
    </row>
    <row r="727" spans="1:9" x14ac:dyDescent="0.25">
      <c r="A727" t="s">
        <v>1227</v>
      </c>
      <c r="B727" t="s">
        <v>1228</v>
      </c>
      <c r="C727" s="2">
        <v>29132</v>
      </c>
      <c r="D727" t="s">
        <v>1743</v>
      </c>
      <c r="F727" t="str">
        <f t="shared" si="44"/>
        <v>DELGADO VIGO</v>
      </c>
      <c r="G727" t="str">
        <f t="shared" si="45"/>
        <v>DELGADO</v>
      </c>
      <c r="H727" t="str">
        <f t="shared" si="46"/>
        <v>VIGO</v>
      </c>
      <c r="I727" t="str">
        <f t="shared" si="47"/>
        <v xml:space="preserve"> OSCAR WILLY</v>
      </c>
    </row>
    <row r="728" spans="1:9" x14ac:dyDescent="0.25">
      <c r="A728" t="s">
        <v>1229</v>
      </c>
      <c r="B728" t="s">
        <v>1230</v>
      </c>
      <c r="C728" s="2">
        <v>32267</v>
      </c>
      <c r="D728" t="s">
        <v>1743</v>
      </c>
      <c r="F728" t="str">
        <f t="shared" si="44"/>
        <v>AYALA YAURI</v>
      </c>
      <c r="G728" t="str">
        <f t="shared" si="45"/>
        <v>AYALA</v>
      </c>
      <c r="H728" t="str">
        <f t="shared" si="46"/>
        <v>YAURI</v>
      </c>
      <c r="I728" t="str">
        <f t="shared" si="47"/>
        <v xml:space="preserve"> DAVID</v>
      </c>
    </row>
    <row r="729" spans="1:9" x14ac:dyDescent="0.25">
      <c r="A729" t="s">
        <v>1231</v>
      </c>
      <c r="B729" t="s">
        <v>1232</v>
      </c>
      <c r="C729" s="2">
        <v>36326</v>
      </c>
      <c r="D729" t="s">
        <v>1743</v>
      </c>
      <c r="F729" t="str">
        <f t="shared" si="44"/>
        <v>HOLGUIN JIMENEZ</v>
      </c>
      <c r="G729" t="str">
        <f t="shared" si="45"/>
        <v>HOLGUIN</v>
      </c>
      <c r="H729" t="str">
        <f t="shared" si="46"/>
        <v>JIMENEZ</v>
      </c>
      <c r="I729" t="str">
        <f t="shared" si="47"/>
        <v xml:space="preserve"> ADRIAN IBRAIN </v>
      </c>
    </row>
    <row r="730" spans="1:9" x14ac:dyDescent="0.25">
      <c r="A730" t="s">
        <v>1233</v>
      </c>
      <c r="B730" t="s">
        <v>1234</v>
      </c>
      <c r="C730" s="2">
        <v>30861</v>
      </c>
      <c r="D730" t="s">
        <v>1743</v>
      </c>
      <c r="F730" t="str">
        <f t="shared" si="44"/>
        <v>MALPARTIDA RAMOS</v>
      </c>
      <c r="G730" t="str">
        <f t="shared" si="45"/>
        <v>MALPARTIDA</v>
      </c>
      <c r="H730" t="str">
        <f t="shared" si="46"/>
        <v>RAMOS</v>
      </c>
      <c r="I730" t="str">
        <f t="shared" si="47"/>
        <v xml:space="preserve"> EDGARD FELIPE</v>
      </c>
    </row>
    <row r="731" spans="1:9" x14ac:dyDescent="0.25">
      <c r="A731" t="s">
        <v>397</v>
      </c>
      <c r="B731" t="s">
        <v>398</v>
      </c>
      <c r="C731" s="2">
        <v>32524</v>
      </c>
      <c r="D731" t="s">
        <v>1743</v>
      </c>
      <c r="F731" t="str">
        <f t="shared" si="44"/>
        <v>HUAMAN SUPA</v>
      </c>
      <c r="G731" t="str">
        <f t="shared" si="45"/>
        <v>HUAMAN</v>
      </c>
      <c r="H731" t="str">
        <f t="shared" si="46"/>
        <v>SUPA</v>
      </c>
      <c r="I731" t="str">
        <f t="shared" si="47"/>
        <v xml:space="preserve"> LUIS ALBERTO</v>
      </c>
    </row>
    <row r="732" spans="1:9" x14ac:dyDescent="0.25">
      <c r="A732" t="s">
        <v>1235</v>
      </c>
      <c r="B732" t="s">
        <v>1236</v>
      </c>
      <c r="C732" s="2">
        <v>33031</v>
      </c>
      <c r="D732" t="s">
        <v>1743</v>
      </c>
      <c r="F732" t="str">
        <f t="shared" si="44"/>
        <v>VENERO CORNEJO</v>
      </c>
      <c r="G732" t="str">
        <f t="shared" si="45"/>
        <v>VENERO</v>
      </c>
      <c r="H732" t="str">
        <f t="shared" si="46"/>
        <v>CORNEJO</v>
      </c>
      <c r="I732" t="str">
        <f t="shared" si="47"/>
        <v xml:space="preserve"> JEAN CARLO</v>
      </c>
    </row>
    <row r="733" spans="1:9" x14ac:dyDescent="0.25">
      <c r="A733" t="s">
        <v>1237</v>
      </c>
      <c r="B733" t="s">
        <v>1238</v>
      </c>
      <c r="C733" s="2">
        <v>37469</v>
      </c>
      <c r="D733" t="s">
        <v>1743</v>
      </c>
      <c r="E733" t="s">
        <v>1626</v>
      </c>
      <c r="F733" t="str">
        <f t="shared" si="44"/>
        <v>NUNURA JARAMILLO</v>
      </c>
      <c r="G733" t="str">
        <f t="shared" si="45"/>
        <v>NUNURA</v>
      </c>
      <c r="H733" t="str">
        <f t="shared" si="46"/>
        <v>JARAMILLO</v>
      </c>
      <c r="I733" t="str">
        <f t="shared" si="47"/>
        <v xml:space="preserve"> ANGEL EDUARDO</v>
      </c>
    </row>
    <row r="734" spans="1:9" x14ac:dyDescent="0.25">
      <c r="A734" t="s">
        <v>1239</v>
      </c>
      <c r="B734" t="s">
        <v>1240</v>
      </c>
      <c r="C734" s="2">
        <v>33632</v>
      </c>
      <c r="D734" t="s">
        <v>1743</v>
      </c>
      <c r="F734" t="str">
        <f t="shared" si="44"/>
        <v>GARCÍA GUTIÉRREZ</v>
      </c>
      <c r="G734" t="str">
        <f t="shared" si="45"/>
        <v>GARCÍA</v>
      </c>
      <c r="H734" t="str">
        <f t="shared" si="46"/>
        <v>GUTIÉRREZ</v>
      </c>
      <c r="I734" t="str">
        <f t="shared" si="47"/>
        <v xml:space="preserve"> MARCO ANTONIO JUSTO</v>
      </c>
    </row>
    <row r="735" spans="1:9" x14ac:dyDescent="0.25">
      <c r="A735" t="s">
        <v>1241</v>
      </c>
      <c r="B735" t="s">
        <v>1242</v>
      </c>
      <c r="C735" s="2">
        <v>30137</v>
      </c>
      <c r="D735" t="s">
        <v>1743</v>
      </c>
      <c r="F735" t="str">
        <f t="shared" si="44"/>
        <v>MENDOZA MENDOZA</v>
      </c>
      <c r="G735" t="str">
        <f t="shared" si="45"/>
        <v>MENDOZA</v>
      </c>
      <c r="H735" t="str">
        <f t="shared" si="46"/>
        <v>MENDOZA</v>
      </c>
      <c r="I735" t="str">
        <f t="shared" si="47"/>
        <v xml:space="preserve"> LUIS ANGEL</v>
      </c>
    </row>
    <row r="736" spans="1:9" x14ac:dyDescent="0.25">
      <c r="A736" t="s">
        <v>1243</v>
      </c>
      <c r="B736" t="s">
        <v>1244</v>
      </c>
      <c r="C736" s="2">
        <v>34417</v>
      </c>
      <c r="D736" t="s">
        <v>1743</v>
      </c>
      <c r="E736" t="s">
        <v>1627</v>
      </c>
      <c r="F736" t="str">
        <f t="shared" si="44"/>
        <v>ESPINO ANCHANTE</v>
      </c>
      <c r="G736" t="str">
        <f t="shared" si="45"/>
        <v>ESPINO</v>
      </c>
      <c r="H736" t="str">
        <f t="shared" si="46"/>
        <v>ANCHANTE</v>
      </c>
      <c r="I736" t="str">
        <f t="shared" si="47"/>
        <v xml:space="preserve"> JESUS ALEXANDER</v>
      </c>
    </row>
    <row r="737" spans="1:9" x14ac:dyDescent="0.25">
      <c r="A737" t="s">
        <v>1245</v>
      </c>
      <c r="B737" t="s">
        <v>1246</v>
      </c>
      <c r="C737" s="2">
        <v>34962</v>
      </c>
      <c r="D737" t="s">
        <v>1743</v>
      </c>
      <c r="E737" t="s">
        <v>1628</v>
      </c>
      <c r="F737" t="str">
        <f t="shared" si="44"/>
        <v>PARIONA ROJAS</v>
      </c>
      <c r="G737" t="str">
        <f t="shared" si="45"/>
        <v>PARIONA</v>
      </c>
      <c r="H737" t="str">
        <f t="shared" si="46"/>
        <v>ROJAS</v>
      </c>
      <c r="I737" t="str">
        <f t="shared" si="47"/>
        <v xml:space="preserve"> EDISON ELVIS</v>
      </c>
    </row>
    <row r="738" spans="1:9" x14ac:dyDescent="0.25">
      <c r="A738" t="s">
        <v>1247</v>
      </c>
      <c r="B738" t="s">
        <v>1248</v>
      </c>
      <c r="C738" s="2">
        <v>38015</v>
      </c>
      <c r="D738" t="s">
        <v>1743</v>
      </c>
      <c r="E738" t="s">
        <v>1629</v>
      </c>
      <c r="F738" t="str">
        <f t="shared" si="44"/>
        <v>PARRA ARBOLEDA</v>
      </c>
      <c r="G738" t="str">
        <f t="shared" si="45"/>
        <v>PARRA</v>
      </c>
      <c r="H738" t="str">
        <f t="shared" si="46"/>
        <v>ARBOLEDA</v>
      </c>
      <c r="I738" t="str">
        <f t="shared" si="47"/>
        <v xml:space="preserve"> ENRIQUE ALEJANDRO</v>
      </c>
    </row>
    <row r="739" spans="1:9" x14ac:dyDescent="0.25">
      <c r="A739" t="s">
        <v>1249</v>
      </c>
      <c r="B739" t="s">
        <v>1250</v>
      </c>
      <c r="C739" s="2">
        <v>33113</v>
      </c>
      <c r="D739" t="s">
        <v>1743</v>
      </c>
      <c r="E739" t="s">
        <v>1630</v>
      </c>
      <c r="F739" t="str">
        <f t="shared" si="44"/>
        <v>ALCEDO CAMACHO</v>
      </c>
      <c r="G739" t="str">
        <f t="shared" si="45"/>
        <v>ALCEDO</v>
      </c>
      <c r="H739" t="str">
        <f t="shared" si="46"/>
        <v>CAMACHO</v>
      </c>
      <c r="I739" t="str">
        <f t="shared" si="47"/>
        <v xml:space="preserve"> RODOLFO UBER </v>
      </c>
    </row>
    <row r="740" spans="1:9" x14ac:dyDescent="0.25">
      <c r="A740" t="s">
        <v>1251</v>
      </c>
      <c r="B740" t="s">
        <v>1252</v>
      </c>
      <c r="C740" s="2">
        <v>31293</v>
      </c>
      <c r="D740" t="s">
        <v>1743</v>
      </c>
      <c r="E740" t="s">
        <v>1631</v>
      </c>
      <c r="F740" t="str">
        <f t="shared" si="44"/>
        <v>SALDARRIAGA MONTEALBAN</v>
      </c>
      <c r="G740" t="str">
        <f t="shared" si="45"/>
        <v>SALDARRIAGA</v>
      </c>
      <c r="H740" t="str">
        <f t="shared" si="46"/>
        <v>MONTEALBAN</v>
      </c>
      <c r="I740" t="str">
        <f t="shared" si="47"/>
        <v xml:space="preserve"> JUAN MANUEL</v>
      </c>
    </row>
    <row r="741" spans="1:9" x14ac:dyDescent="0.25">
      <c r="A741" t="s">
        <v>1253</v>
      </c>
      <c r="B741" t="s">
        <v>1254</v>
      </c>
      <c r="C741" s="2">
        <v>38147</v>
      </c>
      <c r="D741" t="s">
        <v>1743</v>
      </c>
      <c r="E741" t="s">
        <v>1632</v>
      </c>
      <c r="F741" t="str">
        <f t="shared" si="44"/>
        <v>VALDIVIEZO SAONA</v>
      </c>
      <c r="G741" t="str">
        <f t="shared" si="45"/>
        <v>VALDIVIEZO</v>
      </c>
      <c r="H741" t="str">
        <f t="shared" si="46"/>
        <v>SAONA</v>
      </c>
      <c r="I741" t="str">
        <f t="shared" si="47"/>
        <v xml:space="preserve"> ALESSANDRO RAMON</v>
      </c>
    </row>
    <row r="742" spans="1:9" x14ac:dyDescent="0.25">
      <c r="A742" t="s">
        <v>1255</v>
      </c>
      <c r="B742" t="s">
        <v>1256</v>
      </c>
      <c r="C742" s="2">
        <v>34472</v>
      </c>
      <c r="D742" t="s">
        <v>1743</v>
      </c>
      <c r="F742" t="str">
        <f t="shared" si="44"/>
        <v>TINCO PARINA</v>
      </c>
      <c r="G742" t="str">
        <f t="shared" si="45"/>
        <v>TINCO</v>
      </c>
      <c r="H742" t="str">
        <f t="shared" si="46"/>
        <v>PARINA</v>
      </c>
      <c r="I742" t="str">
        <f t="shared" si="47"/>
        <v xml:space="preserve"> RUBEN DAVID </v>
      </c>
    </row>
    <row r="743" spans="1:9" x14ac:dyDescent="0.25">
      <c r="A743" t="s">
        <v>1257</v>
      </c>
      <c r="B743" t="s">
        <v>1258</v>
      </c>
      <c r="C743" s="2">
        <v>37350</v>
      </c>
      <c r="D743" t="s">
        <v>1744</v>
      </c>
      <c r="F743" t="str">
        <f t="shared" si="44"/>
        <v>MENDOZA BUSTAMANTE</v>
      </c>
      <c r="G743" t="str">
        <f t="shared" si="45"/>
        <v>MENDOZA</v>
      </c>
      <c r="H743" t="str">
        <f t="shared" si="46"/>
        <v>BUSTAMANTE</v>
      </c>
      <c r="I743" t="str">
        <f t="shared" si="47"/>
        <v xml:space="preserve"> CYNTHIA MAYELY</v>
      </c>
    </row>
    <row r="744" spans="1:9" x14ac:dyDescent="0.25">
      <c r="A744" t="s">
        <v>1259</v>
      </c>
      <c r="B744" t="s">
        <v>1260</v>
      </c>
      <c r="C744" s="2">
        <v>33514</v>
      </c>
      <c r="D744" t="s">
        <v>1743</v>
      </c>
      <c r="E744" t="s">
        <v>1633</v>
      </c>
      <c r="F744" t="str">
        <f t="shared" si="44"/>
        <v>VIDAL BUIZA</v>
      </c>
      <c r="G744" t="str">
        <f t="shared" si="45"/>
        <v>VIDAL</v>
      </c>
      <c r="H744" t="str">
        <f t="shared" si="46"/>
        <v>BUIZA</v>
      </c>
      <c r="I744" t="str">
        <f t="shared" si="47"/>
        <v xml:space="preserve"> JUAN CARLOS</v>
      </c>
    </row>
    <row r="745" spans="1:9" x14ac:dyDescent="0.25">
      <c r="A745" t="s">
        <v>1261</v>
      </c>
      <c r="B745" t="s">
        <v>1262</v>
      </c>
      <c r="C745" s="2">
        <v>36027</v>
      </c>
      <c r="D745" t="s">
        <v>1743</v>
      </c>
      <c r="E745" t="s">
        <v>1634</v>
      </c>
      <c r="F745" t="str">
        <f t="shared" si="44"/>
        <v>PUCUHUAYLA ORIHUELA</v>
      </c>
      <c r="G745" t="str">
        <f t="shared" si="45"/>
        <v>PUCUHUAYLA</v>
      </c>
      <c r="H745" t="str">
        <f t="shared" si="46"/>
        <v>ORIHUELA</v>
      </c>
      <c r="I745" t="str">
        <f t="shared" si="47"/>
        <v xml:space="preserve"> JORGE LUIS</v>
      </c>
    </row>
    <row r="746" spans="1:9" x14ac:dyDescent="0.25">
      <c r="A746" t="s">
        <v>1263</v>
      </c>
      <c r="B746" t="s">
        <v>1264</v>
      </c>
      <c r="C746" s="2">
        <v>33746</v>
      </c>
      <c r="D746" t="s">
        <v>1743</v>
      </c>
      <c r="F746" t="str">
        <f t="shared" si="44"/>
        <v>PISCO VERASTEGUI</v>
      </c>
      <c r="G746" t="str">
        <f t="shared" si="45"/>
        <v>PISCO</v>
      </c>
      <c r="H746" t="str">
        <f t="shared" si="46"/>
        <v>VERASTEGUI</v>
      </c>
      <c r="I746" t="str">
        <f t="shared" si="47"/>
        <v xml:space="preserve"> MARIO ANTONIO</v>
      </c>
    </row>
    <row r="747" spans="1:9" x14ac:dyDescent="0.25">
      <c r="A747" t="s">
        <v>1265</v>
      </c>
      <c r="B747" t="s">
        <v>1266</v>
      </c>
      <c r="C747" s="2">
        <v>34010</v>
      </c>
      <c r="D747" t="s">
        <v>1743</v>
      </c>
      <c r="F747" t="str">
        <f t="shared" si="44"/>
        <v>BECERRA CORONADO</v>
      </c>
      <c r="G747" t="str">
        <f t="shared" si="45"/>
        <v>BECERRA</v>
      </c>
      <c r="H747" t="str">
        <f t="shared" si="46"/>
        <v>CORONADO</v>
      </c>
      <c r="I747" t="str">
        <f t="shared" si="47"/>
        <v xml:space="preserve"> SAÚL</v>
      </c>
    </row>
    <row r="748" spans="1:9" x14ac:dyDescent="0.25">
      <c r="A748" t="s">
        <v>1267</v>
      </c>
      <c r="B748" t="s">
        <v>1268</v>
      </c>
      <c r="C748" s="2">
        <v>36851</v>
      </c>
      <c r="D748" t="s">
        <v>1743</v>
      </c>
      <c r="E748" t="s">
        <v>1635</v>
      </c>
      <c r="F748" t="str">
        <f t="shared" si="44"/>
        <v>GAMARRA MORALES</v>
      </c>
      <c r="G748" t="str">
        <f t="shared" si="45"/>
        <v>GAMARRA</v>
      </c>
      <c r="H748" t="str">
        <f t="shared" si="46"/>
        <v>MORALES</v>
      </c>
      <c r="I748" t="str">
        <f t="shared" si="47"/>
        <v xml:space="preserve"> EDISON</v>
      </c>
    </row>
    <row r="749" spans="1:9" x14ac:dyDescent="0.25">
      <c r="A749" t="s">
        <v>1269</v>
      </c>
      <c r="B749" t="s">
        <v>1270</v>
      </c>
      <c r="C749" s="2">
        <v>31024</v>
      </c>
      <c r="D749" t="s">
        <v>1743</v>
      </c>
      <c r="F749" t="str">
        <f t="shared" si="44"/>
        <v>ALFARO RIVERA</v>
      </c>
      <c r="G749" t="str">
        <f t="shared" si="45"/>
        <v>ALFARO</v>
      </c>
      <c r="H749" t="str">
        <f t="shared" si="46"/>
        <v>RIVERA</v>
      </c>
      <c r="I749" t="str">
        <f t="shared" si="47"/>
        <v xml:space="preserve"> ALVARO ROLANDO</v>
      </c>
    </row>
    <row r="750" spans="1:9" x14ac:dyDescent="0.25">
      <c r="A750" t="s">
        <v>1271</v>
      </c>
      <c r="B750" t="s">
        <v>1272</v>
      </c>
      <c r="C750" s="2">
        <v>32904</v>
      </c>
      <c r="D750" t="s">
        <v>1743</v>
      </c>
      <c r="E750" t="s">
        <v>1636</v>
      </c>
      <c r="F750" t="str">
        <f t="shared" si="44"/>
        <v>CALSIN TICONA</v>
      </c>
      <c r="G750" t="str">
        <f t="shared" si="45"/>
        <v>CALSIN</v>
      </c>
      <c r="H750" t="str">
        <f t="shared" si="46"/>
        <v>TICONA</v>
      </c>
      <c r="I750" t="str">
        <f t="shared" si="47"/>
        <v xml:space="preserve"> LUIS JUNIOR</v>
      </c>
    </row>
    <row r="751" spans="1:9" x14ac:dyDescent="0.25">
      <c r="A751" t="s">
        <v>1060</v>
      </c>
      <c r="B751" t="s">
        <v>1061</v>
      </c>
      <c r="C751" s="2">
        <v>36167</v>
      </c>
      <c r="D751" t="s">
        <v>1743</v>
      </c>
      <c r="F751" t="str">
        <f t="shared" si="44"/>
        <v>CHICLLA ABARCA</v>
      </c>
      <c r="G751" t="str">
        <f t="shared" si="45"/>
        <v>CHICLLA</v>
      </c>
      <c r="H751" t="str">
        <f t="shared" si="46"/>
        <v>ABARCA</v>
      </c>
      <c r="I751" t="str">
        <f t="shared" si="47"/>
        <v xml:space="preserve"> OSCAR POOL</v>
      </c>
    </row>
    <row r="752" spans="1:9" x14ac:dyDescent="0.25">
      <c r="A752" t="s">
        <v>1165</v>
      </c>
      <c r="B752" t="s">
        <v>1166</v>
      </c>
      <c r="C752" s="2">
        <v>35765</v>
      </c>
      <c r="D752" t="s">
        <v>1743</v>
      </c>
      <c r="F752" t="str">
        <f t="shared" si="44"/>
        <v>ESQUECHE GALÁN</v>
      </c>
      <c r="G752" t="str">
        <f t="shared" si="45"/>
        <v>ESQUECHE</v>
      </c>
      <c r="H752" t="str">
        <f t="shared" si="46"/>
        <v>GALÁN</v>
      </c>
      <c r="I752" t="str">
        <f t="shared" si="47"/>
        <v xml:space="preserve"> JESUS ALEXSANDER</v>
      </c>
    </row>
    <row r="753" spans="1:9" x14ac:dyDescent="0.25">
      <c r="A753" t="s">
        <v>970</v>
      </c>
      <c r="B753" t="s">
        <v>971</v>
      </c>
      <c r="C753" s="2">
        <v>34595</v>
      </c>
      <c r="D753" t="s">
        <v>1743</v>
      </c>
      <c r="E753" t="s">
        <v>1637</v>
      </c>
      <c r="F753" t="str">
        <f t="shared" si="44"/>
        <v>GONZALES MAZA</v>
      </c>
      <c r="G753" t="str">
        <f t="shared" si="45"/>
        <v>GONZALES</v>
      </c>
      <c r="H753" t="str">
        <f t="shared" si="46"/>
        <v>MAZA</v>
      </c>
      <c r="I753" t="str">
        <f t="shared" si="47"/>
        <v xml:space="preserve"> MARCIO SANTOS</v>
      </c>
    </row>
    <row r="754" spans="1:9" x14ac:dyDescent="0.25">
      <c r="A754" t="s">
        <v>1273</v>
      </c>
      <c r="B754" t="s">
        <v>1274</v>
      </c>
      <c r="C754" s="2">
        <v>36599</v>
      </c>
      <c r="D754" t="s">
        <v>1743</v>
      </c>
      <c r="F754" t="str">
        <f t="shared" si="44"/>
        <v>PAREDES LAMA</v>
      </c>
      <c r="G754" t="str">
        <f t="shared" si="45"/>
        <v>PAREDES</v>
      </c>
      <c r="H754" t="str">
        <f t="shared" si="46"/>
        <v>LAMA</v>
      </c>
      <c r="I754" t="str">
        <f t="shared" si="47"/>
        <v xml:space="preserve"> CARLOS ALEJANDRO</v>
      </c>
    </row>
    <row r="755" spans="1:9" x14ac:dyDescent="0.25">
      <c r="A755" t="s">
        <v>1275</v>
      </c>
      <c r="B755" t="s">
        <v>1276</v>
      </c>
      <c r="C755" s="2">
        <v>36970</v>
      </c>
      <c r="D755" t="s">
        <v>1743</v>
      </c>
      <c r="E755" t="s">
        <v>1638</v>
      </c>
      <c r="F755" t="str">
        <f t="shared" si="44"/>
        <v>QUISPE CORRALES</v>
      </c>
      <c r="G755" t="str">
        <f t="shared" si="45"/>
        <v>QUISPE</v>
      </c>
      <c r="H755" t="str">
        <f t="shared" si="46"/>
        <v>CORRALES</v>
      </c>
      <c r="I755" t="str">
        <f t="shared" si="47"/>
        <v xml:space="preserve"> RENZO</v>
      </c>
    </row>
    <row r="756" spans="1:9" x14ac:dyDescent="0.25">
      <c r="A756" t="s">
        <v>226</v>
      </c>
      <c r="B756" t="s">
        <v>227</v>
      </c>
      <c r="C756" s="2">
        <v>27632</v>
      </c>
      <c r="D756" t="s">
        <v>1743</v>
      </c>
      <c r="E756" t="s">
        <v>1639</v>
      </c>
      <c r="F756" t="str">
        <f t="shared" si="44"/>
        <v>QUISPE MOROCCO</v>
      </c>
      <c r="G756" t="str">
        <f t="shared" si="45"/>
        <v>QUISPE</v>
      </c>
      <c r="H756" t="str">
        <f t="shared" si="46"/>
        <v>MOROCCO</v>
      </c>
      <c r="I756" t="str">
        <f t="shared" si="47"/>
        <v xml:space="preserve"> WILVER</v>
      </c>
    </row>
    <row r="757" spans="1:9" x14ac:dyDescent="0.25">
      <c r="A757" t="s">
        <v>1277</v>
      </c>
      <c r="B757" t="s">
        <v>1278</v>
      </c>
      <c r="C757" s="2">
        <v>35960</v>
      </c>
      <c r="D757" t="s">
        <v>1743</v>
      </c>
      <c r="E757" t="s">
        <v>1640</v>
      </c>
      <c r="F757" t="str">
        <f t="shared" si="44"/>
        <v>TORPOCO ROJAS</v>
      </c>
      <c r="G757" t="str">
        <f t="shared" si="45"/>
        <v>TORPOCO</v>
      </c>
      <c r="H757" t="str">
        <f t="shared" si="46"/>
        <v>ROJAS</v>
      </c>
      <c r="I757" t="str">
        <f t="shared" si="47"/>
        <v xml:space="preserve"> WILLIAM ANDRES</v>
      </c>
    </row>
    <row r="758" spans="1:9" x14ac:dyDescent="0.25">
      <c r="A758" t="s">
        <v>1279</v>
      </c>
      <c r="B758" t="s">
        <v>1280</v>
      </c>
      <c r="C758" s="2">
        <v>36266</v>
      </c>
      <c r="D758" t="s">
        <v>1743</v>
      </c>
      <c r="F758" t="str">
        <f t="shared" si="44"/>
        <v>ABAD NAVARRO</v>
      </c>
      <c r="G758" t="str">
        <f t="shared" si="45"/>
        <v>ABAD</v>
      </c>
      <c r="H758" t="str">
        <f t="shared" si="46"/>
        <v>NAVARRO</v>
      </c>
      <c r="I758" t="str">
        <f t="shared" si="47"/>
        <v xml:space="preserve"> PAULO CESAR</v>
      </c>
    </row>
    <row r="759" spans="1:9" x14ac:dyDescent="0.25">
      <c r="A759" t="s">
        <v>1281</v>
      </c>
      <c r="B759" t="s">
        <v>1282</v>
      </c>
      <c r="C759" s="2">
        <v>36176</v>
      </c>
      <c r="D759" t="s">
        <v>1743</v>
      </c>
      <c r="E759" t="s">
        <v>1641</v>
      </c>
      <c r="F759" t="str">
        <f t="shared" si="44"/>
        <v>CURO CAMPOS</v>
      </c>
      <c r="G759" t="str">
        <f t="shared" si="45"/>
        <v>CURO</v>
      </c>
      <c r="H759" t="str">
        <f t="shared" si="46"/>
        <v>CAMPOS</v>
      </c>
      <c r="I759" t="str">
        <f t="shared" si="47"/>
        <v xml:space="preserve"> MARCO ANTONIO</v>
      </c>
    </row>
    <row r="760" spans="1:9" x14ac:dyDescent="0.25">
      <c r="A760" t="s">
        <v>1283</v>
      </c>
      <c r="B760" t="s">
        <v>1284</v>
      </c>
      <c r="C760" s="2">
        <v>36274</v>
      </c>
      <c r="D760" t="s">
        <v>1743</v>
      </c>
      <c r="F760" t="str">
        <f t="shared" si="44"/>
        <v>RUIZ JUAREZ</v>
      </c>
      <c r="G760" t="str">
        <f t="shared" si="45"/>
        <v>RUIZ</v>
      </c>
      <c r="H760" t="str">
        <f t="shared" si="46"/>
        <v>JUAREZ</v>
      </c>
      <c r="I760" t="str">
        <f t="shared" si="47"/>
        <v xml:space="preserve"> ANTHONY JOEL</v>
      </c>
    </row>
    <row r="761" spans="1:9" x14ac:dyDescent="0.25">
      <c r="A761" t="s">
        <v>1285</v>
      </c>
      <c r="B761" t="s">
        <v>1286</v>
      </c>
      <c r="C761" s="2">
        <v>33929</v>
      </c>
      <c r="D761" t="s">
        <v>1743</v>
      </c>
      <c r="E761" t="s">
        <v>1642</v>
      </c>
      <c r="F761" t="str">
        <f t="shared" si="44"/>
        <v>CHUQUIHUANGA SAAVEDRA</v>
      </c>
      <c r="G761" t="str">
        <f t="shared" si="45"/>
        <v>CHUQUIHUANGA</v>
      </c>
      <c r="H761" t="str">
        <f t="shared" si="46"/>
        <v>SAAVEDRA</v>
      </c>
      <c r="I761" t="str">
        <f t="shared" si="47"/>
        <v xml:space="preserve"> ELEAZAR</v>
      </c>
    </row>
    <row r="762" spans="1:9" x14ac:dyDescent="0.25">
      <c r="A762" t="s">
        <v>1287</v>
      </c>
      <c r="B762" t="s">
        <v>1288</v>
      </c>
      <c r="C762" s="2">
        <v>37901</v>
      </c>
      <c r="D762" t="s">
        <v>1743</v>
      </c>
      <c r="E762" t="s">
        <v>1643</v>
      </c>
      <c r="F762" t="str">
        <f t="shared" si="44"/>
        <v>POMA SALAS</v>
      </c>
      <c r="G762" t="str">
        <f t="shared" si="45"/>
        <v>POMA</v>
      </c>
      <c r="H762" t="str">
        <f t="shared" si="46"/>
        <v>SALAS</v>
      </c>
      <c r="I762" t="str">
        <f t="shared" si="47"/>
        <v xml:space="preserve"> MOISES AARON</v>
      </c>
    </row>
    <row r="763" spans="1:9" x14ac:dyDescent="0.25">
      <c r="A763" t="s">
        <v>1289</v>
      </c>
      <c r="B763" t="s">
        <v>1290</v>
      </c>
      <c r="C763" s="2">
        <v>33699</v>
      </c>
      <c r="D763" t="s">
        <v>1743</v>
      </c>
      <c r="E763" t="s">
        <v>1644</v>
      </c>
      <c r="F763" t="str">
        <f t="shared" si="44"/>
        <v>BENITES CHIROQUE</v>
      </c>
      <c r="G763" t="str">
        <f t="shared" si="45"/>
        <v>BENITES</v>
      </c>
      <c r="H763" t="str">
        <f t="shared" si="46"/>
        <v>CHIROQUE</v>
      </c>
      <c r="I763" t="str">
        <f t="shared" si="47"/>
        <v xml:space="preserve"> SAULO SAUL</v>
      </c>
    </row>
    <row r="764" spans="1:9" x14ac:dyDescent="0.25">
      <c r="A764" t="s">
        <v>1291</v>
      </c>
      <c r="B764" t="s">
        <v>1292</v>
      </c>
      <c r="C764" s="2">
        <v>37770</v>
      </c>
      <c r="D764" t="s">
        <v>1743</v>
      </c>
      <c r="E764" t="s">
        <v>1645</v>
      </c>
      <c r="F764" t="str">
        <f t="shared" si="44"/>
        <v>SAAVEDRA YOVERA</v>
      </c>
      <c r="G764" t="str">
        <f t="shared" si="45"/>
        <v>SAAVEDRA</v>
      </c>
      <c r="H764" t="str">
        <f t="shared" si="46"/>
        <v>YOVERA</v>
      </c>
      <c r="I764" t="str">
        <f t="shared" si="47"/>
        <v xml:space="preserve"> MARCO</v>
      </c>
    </row>
    <row r="765" spans="1:9" x14ac:dyDescent="0.25">
      <c r="A765" t="s">
        <v>1293</v>
      </c>
      <c r="B765" t="s">
        <v>1294</v>
      </c>
      <c r="C765" s="2">
        <v>34150</v>
      </c>
      <c r="D765" t="s">
        <v>1743</v>
      </c>
      <c r="E765" t="s">
        <v>1646</v>
      </c>
      <c r="F765" t="str">
        <f t="shared" si="44"/>
        <v>ATAUCUSI ABARCA</v>
      </c>
      <c r="G765" t="str">
        <f t="shared" si="45"/>
        <v>ATAUCUSI</v>
      </c>
      <c r="H765" t="str">
        <f t="shared" si="46"/>
        <v>ABARCA</v>
      </c>
      <c r="I765" t="str">
        <f t="shared" si="47"/>
        <v xml:space="preserve"> ALVARO HENRY</v>
      </c>
    </row>
    <row r="766" spans="1:9" x14ac:dyDescent="0.25">
      <c r="A766" t="s">
        <v>1265</v>
      </c>
      <c r="B766" t="s">
        <v>1266</v>
      </c>
      <c r="C766" s="2">
        <v>34010</v>
      </c>
      <c r="D766" t="s">
        <v>1743</v>
      </c>
      <c r="E766" t="s">
        <v>1647</v>
      </c>
      <c r="F766" t="str">
        <f t="shared" si="44"/>
        <v>BECERRA CORONADO</v>
      </c>
      <c r="G766" t="str">
        <f t="shared" si="45"/>
        <v>BECERRA</v>
      </c>
      <c r="H766" t="str">
        <f t="shared" si="46"/>
        <v>CORONADO</v>
      </c>
      <c r="I766" t="str">
        <f t="shared" si="47"/>
        <v xml:space="preserve"> SAÚL</v>
      </c>
    </row>
    <row r="767" spans="1:9" x14ac:dyDescent="0.25">
      <c r="A767" t="s">
        <v>1295</v>
      </c>
      <c r="B767" t="s">
        <v>1296</v>
      </c>
      <c r="C767" s="2">
        <v>29107</v>
      </c>
      <c r="D767" t="s">
        <v>1743</v>
      </c>
      <c r="F767" t="str">
        <f t="shared" si="44"/>
        <v>LEDEZMA NAVARRO</v>
      </c>
      <c r="G767" t="str">
        <f t="shared" si="45"/>
        <v>LEDEZMA</v>
      </c>
      <c r="H767" t="str">
        <f t="shared" si="46"/>
        <v>NAVARRO</v>
      </c>
      <c r="I767" t="str">
        <f t="shared" si="47"/>
        <v xml:space="preserve"> LUIS</v>
      </c>
    </row>
    <row r="768" spans="1:9" x14ac:dyDescent="0.25">
      <c r="A768" t="s">
        <v>1297</v>
      </c>
      <c r="B768" t="s">
        <v>1298</v>
      </c>
      <c r="C768" s="2">
        <v>36942</v>
      </c>
      <c r="D768" t="s">
        <v>1743</v>
      </c>
      <c r="F768" t="str">
        <f t="shared" si="44"/>
        <v>URTECHO CASTRO</v>
      </c>
      <c r="G768" t="str">
        <f t="shared" si="45"/>
        <v>URTECHO</v>
      </c>
      <c r="H768" t="str">
        <f t="shared" si="46"/>
        <v>CASTRO</v>
      </c>
      <c r="I768" t="str">
        <f t="shared" si="47"/>
        <v xml:space="preserve"> ALEXANDER</v>
      </c>
    </row>
    <row r="769" spans="1:9" x14ac:dyDescent="0.25">
      <c r="A769" t="s">
        <v>1299</v>
      </c>
      <c r="B769" t="s">
        <v>1300</v>
      </c>
      <c r="C769" s="2">
        <v>36103</v>
      </c>
      <c r="D769" t="s">
        <v>1744</v>
      </c>
      <c r="F769" t="str">
        <f t="shared" si="44"/>
        <v>ROMAN HUACHOHUILLCA</v>
      </c>
      <c r="G769" t="str">
        <f t="shared" si="45"/>
        <v>ROMAN</v>
      </c>
      <c r="H769" t="str">
        <f t="shared" si="46"/>
        <v>HUACHOHUILLCA</v>
      </c>
      <c r="I769" t="str">
        <f t="shared" si="47"/>
        <v xml:space="preserve"> LAURA</v>
      </c>
    </row>
    <row r="770" spans="1:9" x14ac:dyDescent="0.25">
      <c r="A770" t="s">
        <v>1301</v>
      </c>
      <c r="B770" t="s">
        <v>1302</v>
      </c>
      <c r="C770" s="2">
        <v>36511</v>
      </c>
      <c r="D770" t="s">
        <v>1743</v>
      </c>
      <c r="E770" t="s">
        <v>1648</v>
      </c>
      <c r="F770" t="str">
        <f t="shared" si="44"/>
        <v>CONDORCAHUANA CONDORCAHUANA</v>
      </c>
      <c r="G770" t="str">
        <f t="shared" si="45"/>
        <v>CONDORCAHUANA</v>
      </c>
      <c r="H770" t="str">
        <f t="shared" si="46"/>
        <v>CONDORCAHUANA</v>
      </c>
      <c r="I770" t="str">
        <f t="shared" si="47"/>
        <v xml:space="preserve"> FREDY</v>
      </c>
    </row>
    <row r="771" spans="1:9" x14ac:dyDescent="0.25">
      <c r="A771" t="s">
        <v>1303</v>
      </c>
      <c r="B771" t="s">
        <v>1304</v>
      </c>
      <c r="C771" s="2">
        <v>37491</v>
      </c>
      <c r="D771" t="s">
        <v>1743</v>
      </c>
      <c r="E771" t="s">
        <v>1649</v>
      </c>
      <c r="F771" t="str">
        <f t="shared" ref="F771:F834" si="48">LEFT(B771,SEARCH(",",B771)-1)</f>
        <v>CHUNGA SHIMOKAWA</v>
      </c>
      <c r="G771" t="str">
        <f t="shared" ref="G771:G834" si="49">LEFT(F771,SEARCH(" ",F771)-1)</f>
        <v>CHUNGA</v>
      </c>
      <c r="H771" t="str">
        <f t="shared" ref="H771:H834" si="50">RIGHT(F771,LEN(F771)- SEARCH(" ",F771))</f>
        <v>SHIMOKAWA</v>
      </c>
      <c r="I771" t="str">
        <f t="shared" ref="I771:I834" si="51">RIGHT(B771,LEN(B771)- SEARCH(",",B771))</f>
        <v xml:space="preserve"> DIEGO ALFONSO </v>
      </c>
    </row>
    <row r="772" spans="1:9" x14ac:dyDescent="0.25">
      <c r="A772" t="s">
        <v>1305</v>
      </c>
      <c r="B772" t="s">
        <v>1306</v>
      </c>
      <c r="C772" s="2">
        <v>36008</v>
      </c>
      <c r="D772" t="s">
        <v>1743</v>
      </c>
      <c r="F772" t="str">
        <f t="shared" si="48"/>
        <v>CARHUANCHO ALMANZA</v>
      </c>
      <c r="G772" t="str">
        <f t="shared" si="49"/>
        <v>CARHUANCHO</v>
      </c>
      <c r="H772" t="str">
        <f t="shared" si="50"/>
        <v>ALMANZA</v>
      </c>
      <c r="I772" t="str">
        <f t="shared" si="51"/>
        <v xml:space="preserve"> DANIEL JUSTO</v>
      </c>
    </row>
    <row r="773" spans="1:9" x14ac:dyDescent="0.25">
      <c r="A773" t="s">
        <v>1307</v>
      </c>
      <c r="B773" t="s">
        <v>1308</v>
      </c>
      <c r="C773" s="2">
        <v>37374</v>
      </c>
      <c r="D773" t="s">
        <v>1743</v>
      </c>
      <c r="E773" t="s">
        <v>1650</v>
      </c>
      <c r="F773" t="str">
        <f t="shared" si="48"/>
        <v>LLANOS AGUILAR</v>
      </c>
      <c r="G773" t="str">
        <f t="shared" si="49"/>
        <v>LLANOS</v>
      </c>
      <c r="H773" t="str">
        <f t="shared" si="50"/>
        <v>AGUILAR</v>
      </c>
      <c r="I773" t="str">
        <f t="shared" si="51"/>
        <v xml:space="preserve"> ALAN JEAN PIERRE</v>
      </c>
    </row>
    <row r="774" spans="1:9" x14ac:dyDescent="0.25">
      <c r="A774" t="s">
        <v>1309</v>
      </c>
      <c r="B774" t="s">
        <v>1310</v>
      </c>
      <c r="C774" s="2">
        <v>30483</v>
      </c>
      <c r="D774" t="s">
        <v>1743</v>
      </c>
      <c r="E774" t="s">
        <v>1651</v>
      </c>
      <c r="F774" t="str">
        <f t="shared" si="48"/>
        <v>MAGUIÑA MALDONADO</v>
      </c>
      <c r="G774" t="str">
        <f t="shared" si="49"/>
        <v>MAGUIÑA</v>
      </c>
      <c r="H774" t="str">
        <f t="shared" si="50"/>
        <v>MALDONADO</v>
      </c>
      <c r="I774" t="str">
        <f t="shared" si="51"/>
        <v xml:space="preserve"> EFRAIN AQUILES</v>
      </c>
    </row>
    <row r="775" spans="1:9" x14ac:dyDescent="0.25">
      <c r="A775" t="s">
        <v>346</v>
      </c>
      <c r="B775" t="s">
        <v>347</v>
      </c>
      <c r="C775" s="2">
        <v>34260</v>
      </c>
      <c r="D775" t="s">
        <v>1743</v>
      </c>
      <c r="E775" t="s">
        <v>1652</v>
      </c>
      <c r="F775" t="str">
        <f t="shared" si="48"/>
        <v>MOGOLLON PALOMINO</v>
      </c>
      <c r="G775" t="str">
        <f t="shared" si="49"/>
        <v>MOGOLLON</v>
      </c>
      <c r="H775" t="str">
        <f t="shared" si="50"/>
        <v>PALOMINO</v>
      </c>
      <c r="I775" t="str">
        <f t="shared" si="51"/>
        <v xml:space="preserve"> ARNOLD OLIVER</v>
      </c>
    </row>
    <row r="776" spans="1:9" x14ac:dyDescent="0.25">
      <c r="A776" t="s">
        <v>1311</v>
      </c>
      <c r="B776" t="s">
        <v>1312</v>
      </c>
      <c r="C776" s="2">
        <v>36899</v>
      </c>
      <c r="D776" t="s">
        <v>1743</v>
      </c>
      <c r="E776" t="s">
        <v>1645</v>
      </c>
      <c r="F776" t="str">
        <f t="shared" si="48"/>
        <v>VILLEGAS MENDOZA</v>
      </c>
      <c r="G776" t="str">
        <f t="shared" si="49"/>
        <v>VILLEGAS</v>
      </c>
      <c r="H776" t="str">
        <f t="shared" si="50"/>
        <v>MENDOZA</v>
      </c>
      <c r="I776" t="str">
        <f t="shared" si="51"/>
        <v xml:space="preserve"> JOSE ERARDO</v>
      </c>
    </row>
    <row r="777" spans="1:9" x14ac:dyDescent="0.25">
      <c r="A777" t="s">
        <v>1313</v>
      </c>
      <c r="B777" t="s">
        <v>1314</v>
      </c>
      <c r="C777" s="2">
        <v>28592</v>
      </c>
      <c r="D777" t="s">
        <v>1743</v>
      </c>
      <c r="E777" t="s">
        <v>1653</v>
      </c>
      <c r="F777" t="str">
        <f t="shared" si="48"/>
        <v>GUERE DAGA</v>
      </c>
      <c r="G777" t="str">
        <f t="shared" si="49"/>
        <v>GUERE</v>
      </c>
      <c r="H777" t="str">
        <f t="shared" si="50"/>
        <v>DAGA</v>
      </c>
      <c r="I777" t="str">
        <f t="shared" si="51"/>
        <v xml:space="preserve"> SAUL</v>
      </c>
    </row>
    <row r="778" spans="1:9" x14ac:dyDescent="0.25">
      <c r="A778" t="s">
        <v>1315</v>
      </c>
      <c r="B778" t="s">
        <v>1316</v>
      </c>
      <c r="C778" s="2">
        <v>36990</v>
      </c>
      <c r="D778" t="s">
        <v>1743</v>
      </c>
      <c r="E778" t="s">
        <v>1654</v>
      </c>
      <c r="F778" t="str">
        <f t="shared" si="48"/>
        <v>HUAMAN CABRERA</v>
      </c>
      <c r="G778" t="str">
        <f t="shared" si="49"/>
        <v>HUAMAN</v>
      </c>
      <c r="H778" t="str">
        <f t="shared" si="50"/>
        <v>CABRERA</v>
      </c>
      <c r="I778" t="str">
        <f t="shared" si="51"/>
        <v xml:space="preserve"> RODRIGO MICHEL</v>
      </c>
    </row>
    <row r="779" spans="1:9" x14ac:dyDescent="0.25">
      <c r="A779" t="s">
        <v>1317</v>
      </c>
      <c r="B779" t="s">
        <v>1318</v>
      </c>
      <c r="C779" s="2">
        <v>38546</v>
      </c>
      <c r="D779" t="s">
        <v>1743</v>
      </c>
      <c r="E779" t="s">
        <v>1655</v>
      </c>
      <c r="F779" t="str">
        <f t="shared" si="48"/>
        <v>DAORTA ROJAS</v>
      </c>
      <c r="G779" t="str">
        <f t="shared" si="49"/>
        <v>DAORTA</v>
      </c>
      <c r="H779" t="str">
        <f t="shared" si="50"/>
        <v>ROJAS</v>
      </c>
      <c r="I779" t="str">
        <f t="shared" si="51"/>
        <v xml:space="preserve"> ALVARO SEBASTIÁN</v>
      </c>
    </row>
    <row r="780" spans="1:9" x14ac:dyDescent="0.25">
      <c r="A780" t="s">
        <v>1319</v>
      </c>
      <c r="B780" t="s">
        <v>1320</v>
      </c>
      <c r="C780" s="2">
        <v>28359</v>
      </c>
      <c r="D780" t="s">
        <v>1743</v>
      </c>
      <c r="E780" t="s">
        <v>1656</v>
      </c>
      <c r="F780" t="str">
        <f t="shared" si="48"/>
        <v>MEZA NANO</v>
      </c>
      <c r="G780" t="str">
        <f t="shared" si="49"/>
        <v>MEZA</v>
      </c>
      <c r="H780" t="str">
        <f t="shared" si="50"/>
        <v>NANO</v>
      </c>
      <c r="I780" t="str">
        <f t="shared" si="51"/>
        <v xml:space="preserve"> DEYVI YULI</v>
      </c>
    </row>
    <row r="781" spans="1:9" x14ac:dyDescent="0.25">
      <c r="A781" t="s">
        <v>1321</v>
      </c>
      <c r="B781" t="s">
        <v>1322</v>
      </c>
      <c r="C781" s="2">
        <v>36208</v>
      </c>
      <c r="D781" t="s">
        <v>1743</v>
      </c>
      <c r="E781" t="s">
        <v>1657</v>
      </c>
      <c r="F781" t="str">
        <f t="shared" si="48"/>
        <v>VELÁSQUEZ PARIONA</v>
      </c>
      <c r="G781" t="str">
        <f t="shared" si="49"/>
        <v>VELÁSQUEZ</v>
      </c>
      <c r="H781" t="str">
        <f t="shared" si="50"/>
        <v>PARIONA</v>
      </c>
      <c r="I781" t="str">
        <f t="shared" si="51"/>
        <v xml:space="preserve"> GIAN CARLO</v>
      </c>
    </row>
    <row r="782" spans="1:9" x14ac:dyDescent="0.25">
      <c r="A782" t="s">
        <v>1323</v>
      </c>
      <c r="B782" t="s">
        <v>1324</v>
      </c>
      <c r="C782" s="2">
        <v>36811</v>
      </c>
      <c r="D782" t="s">
        <v>1743</v>
      </c>
      <c r="E782" t="s">
        <v>1658</v>
      </c>
      <c r="F782" t="str">
        <f t="shared" si="48"/>
        <v>PAYAJO HERRERA</v>
      </c>
      <c r="G782" t="str">
        <f t="shared" si="49"/>
        <v>PAYAJO</v>
      </c>
      <c r="H782" t="str">
        <f t="shared" si="50"/>
        <v>HERRERA</v>
      </c>
      <c r="I782" t="str">
        <f t="shared" si="51"/>
        <v xml:space="preserve"> JONATHAN</v>
      </c>
    </row>
    <row r="783" spans="1:9" x14ac:dyDescent="0.25">
      <c r="A783" t="s">
        <v>1325</v>
      </c>
      <c r="B783" t="s">
        <v>1326</v>
      </c>
      <c r="C783" s="2">
        <v>37624</v>
      </c>
      <c r="D783" t="s">
        <v>1743</v>
      </c>
      <c r="E783" t="s">
        <v>1659</v>
      </c>
      <c r="F783" t="str">
        <f t="shared" si="48"/>
        <v>SERON SANABRIA</v>
      </c>
      <c r="G783" t="str">
        <f t="shared" si="49"/>
        <v>SERON</v>
      </c>
      <c r="H783" t="str">
        <f t="shared" si="50"/>
        <v>SANABRIA</v>
      </c>
      <c r="I783" t="str">
        <f t="shared" si="51"/>
        <v xml:space="preserve"> ANTHONY EDUARDO</v>
      </c>
    </row>
    <row r="784" spans="1:9" x14ac:dyDescent="0.25">
      <c r="A784" t="s">
        <v>1327</v>
      </c>
      <c r="B784" t="s">
        <v>1328</v>
      </c>
      <c r="C784" s="2">
        <v>37788</v>
      </c>
      <c r="D784" t="s">
        <v>1743</v>
      </c>
      <c r="E784" t="s">
        <v>1660</v>
      </c>
      <c r="F784" t="str">
        <f t="shared" si="48"/>
        <v>PASACHE SANDOVAL</v>
      </c>
      <c r="G784" t="str">
        <f t="shared" si="49"/>
        <v>PASACHE</v>
      </c>
      <c r="H784" t="str">
        <f t="shared" si="50"/>
        <v>SANDOVAL</v>
      </c>
      <c r="I784" t="str">
        <f t="shared" si="51"/>
        <v xml:space="preserve"> EDINSON IVAN </v>
      </c>
    </row>
    <row r="785" spans="1:9" x14ac:dyDescent="0.25">
      <c r="A785" t="s">
        <v>1329</v>
      </c>
      <c r="B785" t="s">
        <v>1330</v>
      </c>
      <c r="C785" s="2">
        <v>37181</v>
      </c>
      <c r="D785" t="s">
        <v>1743</v>
      </c>
      <c r="E785" t="s">
        <v>1661</v>
      </c>
      <c r="F785" t="str">
        <f t="shared" si="48"/>
        <v>VILCHERRES GARCÉS</v>
      </c>
      <c r="G785" t="str">
        <f t="shared" si="49"/>
        <v>VILCHERRES</v>
      </c>
      <c r="H785" t="str">
        <f t="shared" si="50"/>
        <v>GARCÉS</v>
      </c>
      <c r="I785" t="str">
        <f t="shared" si="51"/>
        <v xml:space="preserve"> AARON</v>
      </c>
    </row>
    <row r="786" spans="1:9" x14ac:dyDescent="0.25">
      <c r="A786" t="s">
        <v>1331</v>
      </c>
      <c r="B786" t="s">
        <v>1332</v>
      </c>
      <c r="C786" s="2">
        <v>34331</v>
      </c>
      <c r="D786" t="s">
        <v>1743</v>
      </c>
      <c r="E786" t="s">
        <v>1662</v>
      </c>
      <c r="F786" t="str">
        <f t="shared" si="48"/>
        <v>CARHUAS GASPAR</v>
      </c>
      <c r="G786" t="str">
        <f t="shared" si="49"/>
        <v>CARHUAS</v>
      </c>
      <c r="H786" t="str">
        <f t="shared" si="50"/>
        <v>GASPAR</v>
      </c>
      <c r="I786" t="str">
        <f t="shared" si="51"/>
        <v xml:space="preserve"> JOEL ALBERTO</v>
      </c>
    </row>
    <row r="787" spans="1:9" x14ac:dyDescent="0.25">
      <c r="A787" t="s">
        <v>1333</v>
      </c>
      <c r="B787" t="s">
        <v>1334</v>
      </c>
      <c r="C787" s="2">
        <v>36320</v>
      </c>
      <c r="D787" t="s">
        <v>1743</v>
      </c>
      <c r="E787" t="s">
        <v>1663</v>
      </c>
      <c r="F787" t="str">
        <f t="shared" si="48"/>
        <v>BALDEON INGA</v>
      </c>
      <c r="G787" t="str">
        <f t="shared" si="49"/>
        <v>BALDEON</v>
      </c>
      <c r="H787" t="str">
        <f t="shared" si="50"/>
        <v>INGA</v>
      </c>
      <c r="I787" t="str">
        <f t="shared" si="51"/>
        <v xml:space="preserve"> ELMER JESUS</v>
      </c>
    </row>
    <row r="788" spans="1:9" x14ac:dyDescent="0.25">
      <c r="A788" t="s">
        <v>1335</v>
      </c>
      <c r="B788" t="s">
        <v>1336</v>
      </c>
      <c r="C788" s="2">
        <v>38136</v>
      </c>
      <c r="D788" t="s">
        <v>1743</v>
      </c>
      <c r="E788" t="s">
        <v>1664</v>
      </c>
      <c r="F788" t="str">
        <f t="shared" si="48"/>
        <v>SANTIAGO MOGOLLON</v>
      </c>
      <c r="G788" t="str">
        <f t="shared" si="49"/>
        <v>SANTIAGO</v>
      </c>
      <c r="H788" t="str">
        <f t="shared" si="50"/>
        <v>MOGOLLON</v>
      </c>
      <c r="I788" t="str">
        <f t="shared" si="51"/>
        <v xml:space="preserve"> ANDERSON MIGUEL</v>
      </c>
    </row>
    <row r="789" spans="1:9" x14ac:dyDescent="0.25">
      <c r="A789" t="s">
        <v>1337</v>
      </c>
      <c r="B789" t="s">
        <v>1338</v>
      </c>
      <c r="C789" s="2">
        <v>30945</v>
      </c>
      <c r="D789" t="s">
        <v>1743</v>
      </c>
      <c r="E789" t="s">
        <v>1665</v>
      </c>
      <c r="F789" t="str">
        <f t="shared" si="48"/>
        <v>RUESTA SANDOVAL</v>
      </c>
      <c r="G789" t="str">
        <f t="shared" si="49"/>
        <v>RUESTA</v>
      </c>
      <c r="H789" t="str">
        <f t="shared" si="50"/>
        <v>SANDOVAL</v>
      </c>
      <c r="I789" t="str">
        <f t="shared" si="51"/>
        <v xml:space="preserve"> JULIO RAMIRO</v>
      </c>
    </row>
    <row r="790" spans="1:9" x14ac:dyDescent="0.25">
      <c r="A790" t="s">
        <v>397</v>
      </c>
      <c r="B790" t="s">
        <v>398</v>
      </c>
      <c r="C790" s="2">
        <v>32524</v>
      </c>
      <c r="D790" t="s">
        <v>1743</v>
      </c>
      <c r="F790" t="str">
        <f t="shared" si="48"/>
        <v>HUAMAN SUPA</v>
      </c>
      <c r="G790" t="str">
        <f t="shared" si="49"/>
        <v>HUAMAN</v>
      </c>
      <c r="H790" t="str">
        <f t="shared" si="50"/>
        <v>SUPA</v>
      </c>
      <c r="I790" t="str">
        <f t="shared" si="51"/>
        <v xml:space="preserve"> LUIS ALBERTO</v>
      </c>
    </row>
    <row r="791" spans="1:9" x14ac:dyDescent="0.25">
      <c r="A791" t="s">
        <v>1339</v>
      </c>
      <c r="B791" t="s">
        <v>1340</v>
      </c>
      <c r="C791" s="2">
        <v>35325</v>
      </c>
      <c r="D791" t="s">
        <v>1743</v>
      </c>
      <c r="E791" t="s">
        <v>1666</v>
      </c>
      <c r="F791" t="str">
        <f t="shared" si="48"/>
        <v>SAMANIEGO PIZARRO</v>
      </c>
      <c r="G791" t="str">
        <f t="shared" si="49"/>
        <v>SAMANIEGO</v>
      </c>
      <c r="H791" t="str">
        <f t="shared" si="50"/>
        <v>PIZARRO</v>
      </c>
      <c r="I791" t="str">
        <f t="shared" si="51"/>
        <v xml:space="preserve"> ANTHONY ALEXANDER</v>
      </c>
    </row>
    <row r="792" spans="1:9" x14ac:dyDescent="0.25">
      <c r="A792" t="s">
        <v>942</v>
      </c>
      <c r="B792" t="s">
        <v>943</v>
      </c>
      <c r="C792" s="2">
        <v>35887</v>
      </c>
      <c r="D792" t="s">
        <v>1743</v>
      </c>
      <c r="F792" t="str">
        <f t="shared" si="48"/>
        <v>SEQUEIROS CANCAPA</v>
      </c>
      <c r="G792" t="str">
        <f t="shared" si="49"/>
        <v>SEQUEIROS</v>
      </c>
      <c r="H792" t="str">
        <f t="shared" si="50"/>
        <v>CANCAPA</v>
      </c>
      <c r="I792" t="str">
        <f t="shared" si="51"/>
        <v xml:space="preserve"> GONZALO NADIM</v>
      </c>
    </row>
    <row r="793" spans="1:9" x14ac:dyDescent="0.25">
      <c r="A793" t="s">
        <v>780</v>
      </c>
      <c r="B793" t="s">
        <v>781</v>
      </c>
      <c r="C793" s="2">
        <v>35756</v>
      </c>
      <c r="D793" t="s">
        <v>1743</v>
      </c>
      <c r="E793" t="s">
        <v>1580</v>
      </c>
      <c r="F793" t="str">
        <f t="shared" si="48"/>
        <v>ACUÑA ESTELA</v>
      </c>
      <c r="G793" t="str">
        <f t="shared" si="49"/>
        <v>ACUÑA</v>
      </c>
      <c r="H793" t="str">
        <f t="shared" si="50"/>
        <v>ESTELA</v>
      </c>
      <c r="I793" t="str">
        <f t="shared" si="51"/>
        <v xml:space="preserve"> MIGUEL ANGEL</v>
      </c>
    </row>
    <row r="794" spans="1:9" x14ac:dyDescent="0.25">
      <c r="A794" t="s">
        <v>835</v>
      </c>
      <c r="B794" t="s">
        <v>1341</v>
      </c>
      <c r="C794" s="2">
        <v>25532</v>
      </c>
      <c r="D794" t="s">
        <v>1743</v>
      </c>
      <c r="F794" t="str">
        <f t="shared" si="48"/>
        <v>ALCALA GALLARDO</v>
      </c>
      <c r="G794" t="str">
        <f t="shared" si="49"/>
        <v>ALCALA</v>
      </c>
      <c r="H794" t="str">
        <f t="shared" si="50"/>
        <v>GALLARDO</v>
      </c>
      <c r="I794" t="str">
        <f t="shared" si="51"/>
        <v xml:space="preserve"> JOSE VICTOR MARTIN</v>
      </c>
    </row>
    <row r="795" spans="1:9" x14ac:dyDescent="0.25">
      <c r="A795" t="s">
        <v>1030</v>
      </c>
      <c r="B795" t="s">
        <v>1342</v>
      </c>
      <c r="C795" s="2">
        <v>36017</v>
      </c>
      <c r="D795" t="s">
        <v>1743</v>
      </c>
      <c r="F795" t="str">
        <f t="shared" si="48"/>
        <v>CARMONA MOGOLLÓN</v>
      </c>
      <c r="G795" t="str">
        <f t="shared" si="49"/>
        <v>CARMONA</v>
      </c>
      <c r="H795" t="str">
        <f t="shared" si="50"/>
        <v>MOGOLLÓN</v>
      </c>
      <c r="I795" t="str">
        <f t="shared" si="51"/>
        <v xml:space="preserve"> JOHAN ALDHAIR</v>
      </c>
    </row>
    <row r="796" spans="1:9" x14ac:dyDescent="0.25">
      <c r="A796" t="s">
        <v>853</v>
      </c>
      <c r="B796" t="s">
        <v>854</v>
      </c>
      <c r="C796" s="2">
        <v>36984</v>
      </c>
      <c r="D796" t="s">
        <v>1743</v>
      </c>
      <c r="E796" t="s">
        <v>1582</v>
      </c>
      <c r="F796" t="str">
        <f t="shared" si="48"/>
        <v>CASQUI GARCIA</v>
      </c>
      <c r="G796" t="str">
        <f t="shared" si="49"/>
        <v>CASQUI</v>
      </c>
      <c r="H796" t="str">
        <f t="shared" si="50"/>
        <v>GARCIA</v>
      </c>
      <c r="I796" t="str">
        <f t="shared" si="51"/>
        <v xml:space="preserve"> ALEXANDER JHON</v>
      </c>
    </row>
    <row r="797" spans="1:9" x14ac:dyDescent="0.25">
      <c r="A797" t="s">
        <v>968</v>
      </c>
      <c r="B797" t="s">
        <v>969</v>
      </c>
      <c r="C797" s="2">
        <v>37062</v>
      </c>
      <c r="D797" t="s">
        <v>1743</v>
      </c>
      <c r="E797" t="s">
        <v>1588</v>
      </c>
      <c r="F797" t="str">
        <f t="shared" si="48"/>
        <v>CUETO MANRIQUE</v>
      </c>
      <c r="G797" t="str">
        <f t="shared" si="49"/>
        <v>CUETO</v>
      </c>
      <c r="H797" t="str">
        <f t="shared" si="50"/>
        <v>MANRIQUE</v>
      </c>
      <c r="I797" t="str">
        <f t="shared" si="51"/>
        <v xml:space="preserve"> JAIRO</v>
      </c>
    </row>
    <row r="798" spans="1:9" x14ac:dyDescent="0.25">
      <c r="A798" t="s">
        <v>1050</v>
      </c>
      <c r="B798" t="s">
        <v>1051</v>
      </c>
      <c r="C798" s="2">
        <v>32153</v>
      </c>
      <c r="D798" t="s">
        <v>1743</v>
      </c>
      <c r="E798" t="s">
        <v>1667</v>
      </c>
      <c r="F798" t="str">
        <f t="shared" si="48"/>
        <v>HORNA BENITES</v>
      </c>
      <c r="G798" t="str">
        <f t="shared" si="49"/>
        <v>HORNA</v>
      </c>
      <c r="H798" t="str">
        <f t="shared" si="50"/>
        <v>BENITES</v>
      </c>
      <c r="I798" t="str">
        <f t="shared" si="51"/>
        <v xml:space="preserve"> VARI</v>
      </c>
    </row>
    <row r="799" spans="1:9" x14ac:dyDescent="0.25">
      <c r="A799" t="s">
        <v>974</v>
      </c>
      <c r="B799" t="s">
        <v>975</v>
      </c>
      <c r="C799" s="2">
        <v>37894</v>
      </c>
      <c r="D799" t="s">
        <v>1743</v>
      </c>
      <c r="E799" t="s">
        <v>1589</v>
      </c>
      <c r="F799" t="str">
        <f t="shared" si="48"/>
        <v>LOAIZA GUTIERREZ</v>
      </c>
      <c r="G799" t="str">
        <f t="shared" si="49"/>
        <v>LOAIZA</v>
      </c>
      <c r="H799" t="str">
        <f t="shared" si="50"/>
        <v>GUTIERREZ</v>
      </c>
      <c r="I799" t="str">
        <f t="shared" si="51"/>
        <v xml:space="preserve"> GILMAR</v>
      </c>
    </row>
    <row r="800" spans="1:9" x14ac:dyDescent="0.25">
      <c r="A800" t="s">
        <v>950</v>
      </c>
      <c r="B800" t="s">
        <v>1343</v>
      </c>
      <c r="C800" s="2">
        <v>36535</v>
      </c>
      <c r="D800" t="s">
        <v>1743</v>
      </c>
      <c r="E800" t="s">
        <v>1668</v>
      </c>
      <c r="F800" t="str">
        <f t="shared" si="48"/>
        <v>MARIN PIZANGO</v>
      </c>
      <c r="G800" t="str">
        <f t="shared" si="49"/>
        <v>MARIN</v>
      </c>
      <c r="H800" t="str">
        <f t="shared" si="50"/>
        <v>PIZANGO</v>
      </c>
      <c r="I800" t="str">
        <f t="shared" si="51"/>
        <v xml:space="preserve"> GUILLERMO HARY</v>
      </c>
    </row>
    <row r="801" spans="1:9" x14ac:dyDescent="0.25">
      <c r="A801" t="s">
        <v>980</v>
      </c>
      <c r="B801" t="s">
        <v>981</v>
      </c>
      <c r="C801" s="2">
        <v>35639</v>
      </c>
      <c r="D801" t="s">
        <v>1743</v>
      </c>
      <c r="F801" t="str">
        <f t="shared" si="48"/>
        <v>PUMAHUALCCA TORRES</v>
      </c>
      <c r="G801" t="str">
        <f t="shared" si="49"/>
        <v>PUMAHUALCCA</v>
      </c>
      <c r="H801" t="str">
        <f t="shared" si="50"/>
        <v>TORRES</v>
      </c>
      <c r="I801" t="str">
        <f t="shared" si="51"/>
        <v xml:space="preserve"> NAZARIO</v>
      </c>
    </row>
    <row r="802" spans="1:9" x14ac:dyDescent="0.25">
      <c r="A802" t="s">
        <v>1093</v>
      </c>
      <c r="B802" t="s">
        <v>1094</v>
      </c>
      <c r="C802" s="2">
        <v>37738</v>
      </c>
      <c r="D802" t="s">
        <v>1743</v>
      </c>
      <c r="F802" t="str">
        <f t="shared" si="48"/>
        <v>QUISPE LOZANO</v>
      </c>
      <c r="G802" t="str">
        <f t="shared" si="49"/>
        <v>QUISPE</v>
      </c>
      <c r="H802" t="str">
        <f t="shared" si="50"/>
        <v>LOZANO</v>
      </c>
      <c r="I802" t="str">
        <f t="shared" si="51"/>
        <v xml:space="preserve"> RAUL SAMMER </v>
      </c>
    </row>
    <row r="803" spans="1:9" x14ac:dyDescent="0.25">
      <c r="A803" t="s">
        <v>644</v>
      </c>
      <c r="B803" t="s">
        <v>645</v>
      </c>
      <c r="C803" s="2">
        <v>35715</v>
      </c>
      <c r="D803" t="s">
        <v>1743</v>
      </c>
      <c r="F803" t="str">
        <f t="shared" si="48"/>
        <v>QUISPE PALOMINO</v>
      </c>
      <c r="G803" t="str">
        <f t="shared" si="49"/>
        <v>QUISPE</v>
      </c>
      <c r="H803" t="str">
        <f t="shared" si="50"/>
        <v>PALOMINO</v>
      </c>
      <c r="I803" t="str">
        <f t="shared" si="51"/>
        <v xml:space="preserve"> FRANKLIN</v>
      </c>
    </row>
    <row r="804" spans="1:9" x14ac:dyDescent="0.25">
      <c r="A804" t="s">
        <v>516</v>
      </c>
      <c r="B804" t="s">
        <v>517</v>
      </c>
      <c r="C804" s="2">
        <v>36052</v>
      </c>
      <c r="D804" t="s">
        <v>1743</v>
      </c>
      <c r="E804" t="s">
        <v>1573</v>
      </c>
      <c r="F804" t="str">
        <f t="shared" si="48"/>
        <v>RAMOS CHUMBES</v>
      </c>
      <c r="G804" t="str">
        <f t="shared" si="49"/>
        <v>RAMOS</v>
      </c>
      <c r="H804" t="str">
        <f t="shared" si="50"/>
        <v>CHUMBES</v>
      </c>
      <c r="I804" t="str">
        <f t="shared" si="51"/>
        <v xml:space="preserve"> KEVIN ROSSEL</v>
      </c>
    </row>
    <row r="805" spans="1:9" x14ac:dyDescent="0.25">
      <c r="A805" t="s">
        <v>564</v>
      </c>
      <c r="B805" t="s">
        <v>565</v>
      </c>
      <c r="C805" s="2">
        <v>37554</v>
      </c>
      <c r="D805" t="s">
        <v>1743</v>
      </c>
      <c r="F805" t="str">
        <f t="shared" si="48"/>
        <v>ROJAS CARDENAS</v>
      </c>
      <c r="G805" t="str">
        <f t="shared" si="49"/>
        <v>ROJAS</v>
      </c>
      <c r="H805" t="str">
        <f t="shared" si="50"/>
        <v>CARDENAS</v>
      </c>
      <c r="I805" t="str">
        <f t="shared" si="51"/>
        <v xml:space="preserve"> JOSEPH EDGAR</v>
      </c>
    </row>
    <row r="806" spans="1:9" x14ac:dyDescent="0.25">
      <c r="A806" t="s">
        <v>494</v>
      </c>
      <c r="B806" t="s">
        <v>495</v>
      </c>
      <c r="C806" s="2">
        <v>28367</v>
      </c>
      <c r="D806" t="s">
        <v>1743</v>
      </c>
      <c r="E806" t="s">
        <v>1572</v>
      </c>
      <c r="F806" t="str">
        <f t="shared" si="48"/>
        <v>TEJADA CACERES</v>
      </c>
      <c r="G806" t="str">
        <f t="shared" si="49"/>
        <v>TEJADA</v>
      </c>
      <c r="H806" t="str">
        <f t="shared" si="50"/>
        <v>CACERES</v>
      </c>
      <c r="I806" t="str">
        <f t="shared" si="51"/>
        <v xml:space="preserve"> WILBER RAUL</v>
      </c>
    </row>
    <row r="807" spans="1:9" x14ac:dyDescent="0.25">
      <c r="A807" t="s">
        <v>875</v>
      </c>
      <c r="B807" t="s">
        <v>876</v>
      </c>
      <c r="C807" s="2">
        <v>37748</v>
      </c>
      <c r="D807" t="s">
        <v>1743</v>
      </c>
      <c r="E807" t="s">
        <v>1583</v>
      </c>
      <c r="F807" t="str">
        <f t="shared" si="48"/>
        <v>YLLAHUAMAN CHIPANA</v>
      </c>
      <c r="G807" t="str">
        <f t="shared" si="49"/>
        <v>YLLAHUAMAN</v>
      </c>
      <c r="H807" t="str">
        <f t="shared" si="50"/>
        <v>CHIPANA</v>
      </c>
      <c r="I807" t="str">
        <f t="shared" si="51"/>
        <v xml:space="preserve"> JAN CARLOS</v>
      </c>
    </row>
    <row r="808" spans="1:9" x14ac:dyDescent="0.25">
      <c r="A808" t="s">
        <v>1161</v>
      </c>
      <c r="B808" t="s">
        <v>1162</v>
      </c>
      <c r="C808" s="2">
        <v>28869</v>
      </c>
      <c r="D808" t="s">
        <v>1743</v>
      </c>
      <c r="E808" t="s">
        <v>1610</v>
      </c>
      <c r="F808" t="str">
        <f t="shared" si="48"/>
        <v>ZANELLI RUIZ</v>
      </c>
      <c r="G808" t="str">
        <f t="shared" si="49"/>
        <v>ZANELLI</v>
      </c>
      <c r="H808" t="str">
        <f t="shared" si="50"/>
        <v>RUIZ</v>
      </c>
      <c r="I808" t="str">
        <f t="shared" si="51"/>
        <v xml:space="preserve"> MICHELL ROBERT</v>
      </c>
    </row>
    <row r="809" spans="1:9" x14ac:dyDescent="0.25">
      <c r="A809" t="s">
        <v>1344</v>
      </c>
      <c r="B809" t="s">
        <v>1345</v>
      </c>
      <c r="C809" s="2">
        <v>34776</v>
      </c>
      <c r="D809" t="s">
        <v>1743</v>
      </c>
      <c r="F809" t="str">
        <f t="shared" si="48"/>
        <v>HUAMAN CASTRO</v>
      </c>
      <c r="G809" t="str">
        <f t="shared" si="49"/>
        <v>HUAMAN</v>
      </c>
      <c r="H809" t="str">
        <f t="shared" si="50"/>
        <v>CASTRO</v>
      </c>
      <c r="I809" t="str">
        <f t="shared" si="51"/>
        <v xml:space="preserve"> FRANCISCO EDUARDO</v>
      </c>
    </row>
    <row r="810" spans="1:9" x14ac:dyDescent="0.25">
      <c r="A810" t="s">
        <v>1346</v>
      </c>
      <c r="B810" t="s">
        <v>1347</v>
      </c>
      <c r="C810" s="2">
        <v>36085</v>
      </c>
      <c r="D810" t="s">
        <v>1743</v>
      </c>
      <c r="F810" t="str">
        <f t="shared" si="48"/>
        <v>RAMOS PEREDA</v>
      </c>
      <c r="G810" t="str">
        <f t="shared" si="49"/>
        <v>RAMOS</v>
      </c>
      <c r="H810" t="str">
        <f t="shared" si="50"/>
        <v>PEREDA</v>
      </c>
      <c r="I810" t="str">
        <f t="shared" si="51"/>
        <v xml:space="preserve"> GIANMARCO ANTONY</v>
      </c>
    </row>
    <row r="811" spans="1:9" x14ac:dyDescent="0.25">
      <c r="A811" t="s">
        <v>1348</v>
      </c>
      <c r="B811" t="s">
        <v>1349</v>
      </c>
      <c r="C811" s="2">
        <v>35177</v>
      </c>
      <c r="D811" t="s">
        <v>1743</v>
      </c>
      <c r="F811" t="str">
        <f t="shared" si="48"/>
        <v>VARGAS CUADROS</v>
      </c>
      <c r="G811" t="str">
        <f t="shared" si="49"/>
        <v>VARGAS</v>
      </c>
      <c r="H811" t="str">
        <f t="shared" si="50"/>
        <v>CUADROS</v>
      </c>
      <c r="I811" t="str">
        <f t="shared" si="51"/>
        <v xml:space="preserve"> JOSSLY PAUL</v>
      </c>
    </row>
    <row r="812" spans="1:9" x14ac:dyDescent="0.25">
      <c r="A812" t="s">
        <v>1350</v>
      </c>
      <c r="B812" t="s">
        <v>1351</v>
      </c>
      <c r="C812" s="2">
        <v>31561</v>
      </c>
      <c r="D812" t="s">
        <v>1743</v>
      </c>
      <c r="F812" t="str">
        <f t="shared" si="48"/>
        <v>QUIROZ ROJAS</v>
      </c>
      <c r="G812" t="str">
        <f t="shared" si="49"/>
        <v>QUIROZ</v>
      </c>
      <c r="H812" t="str">
        <f t="shared" si="50"/>
        <v>ROJAS</v>
      </c>
      <c r="I812" t="str">
        <f t="shared" si="51"/>
        <v xml:space="preserve"> CESAR</v>
      </c>
    </row>
    <row r="813" spans="1:9" x14ac:dyDescent="0.25">
      <c r="A813" t="s">
        <v>1352</v>
      </c>
      <c r="B813" t="s">
        <v>1353</v>
      </c>
      <c r="C813" s="2">
        <v>36745</v>
      </c>
      <c r="D813" t="s">
        <v>1743</v>
      </c>
      <c r="F813" t="str">
        <f t="shared" si="48"/>
        <v>ORIONDO DE LA CRUZ</v>
      </c>
      <c r="G813" t="str">
        <f t="shared" si="49"/>
        <v>ORIONDO</v>
      </c>
      <c r="H813" t="str">
        <f t="shared" si="50"/>
        <v>DE LA CRUZ</v>
      </c>
      <c r="I813" t="str">
        <f t="shared" si="51"/>
        <v xml:space="preserve"> FABRICIO</v>
      </c>
    </row>
    <row r="814" spans="1:9" x14ac:dyDescent="0.25">
      <c r="A814" t="s">
        <v>1354</v>
      </c>
      <c r="B814" t="s">
        <v>1355</v>
      </c>
      <c r="C814" s="2">
        <v>32917</v>
      </c>
      <c r="D814" t="s">
        <v>1743</v>
      </c>
      <c r="F814" t="str">
        <f t="shared" si="48"/>
        <v>RIOS GARAY</v>
      </c>
      <c r="G814" t="str">
        <f t="shared" si="49"/>
        <v>RIOS</v>
      </c>
      <c r="H814" t="str">
        <f t="shared" si="50"/>
        <v>GARAY</v>
      </c>
      <c r="I814" t="str">
        <f t="shared" si="51"/>
        <v xml:space="preserve"> ANTONIO DAVID</v>
      </c>
    </row>
    <row r="815" spans="1:9" x14ac:dyDescent="0.25">
      <c r="A815" t="s">
        <v>1356</v>
      </c>
      <c r="B815" t="s">
        <v>1357</v>
      </c>
      <c r="C815" s="2">
        <v>36621</v>
      </c>
      <c r="D815" t="s">
        <v>1743</v>
      </c>
      <c r="F815" t="str">
        <f t="shared" si="48"/>
        <v>HUANCA CASTILLO</v>
      </c>
      <c r="G815" t="str">
        <f t="shared" si="49"/>
        <v>HUANCA</v>
      </c>
      <c r="H815" t="str">
        <f t="shared" si="50"/>
        <v>CASTILLO</v>
      </c>
      <c r="I815" t="str">
        <f t="shared" si="51"/>
        <v xml:space="preserve"> CARLOS ALEJANDRO</v>
      </c>
    </row>
    <row r="816" spans="1:9" x14ac:dyDescent="0.25">
      <c r="A816" t="s">
        <v>1358</v>
      </c>
      <c r="B816" t="s">
        <v>1359</v>
      </c>
      <c r="C816" s="2">
        <v>33604</v>
      </c>
      <c r="D816" t="s">
        <v>1743</v>
      </c>
      <c r="E816" t="s">
        <v>1669</v>
      </c>
      <c r="F816" t="str">
        <f t="shared" si="48"/>
        <v>QUISPE CARDENAS</v>
      </c>
      <c r="G816" t="str">
        <f t="shared" si="49"/>
        <v>QUISPE</v>
      </c>
      <c r="H816" t="str">
        <f t="shared" si="50"/>
        <v>CARDENAS</v>
      </c>
      <c r="I816" t="str">
        <f t="shared" si="51"/>
        <v xml:space="preserve"> ROMULO</v>
      </c>
    </row>
    <row r="817" spans="1:9" x14ac:dyDescent="0.25">
      <c r="A817" t="s">
        <v>1360</v>
      </c>
      <c r="B817" t="s">
        <v>1361</v>
      </c>
      <c r="C817" s="2">
        <v>37401</v>
      </c>
      <c r="D817" t="s">
        <v>1743</v>
      </c>
      <c r="F817" t="str">
        <f t="shared" si="48"/>
        <v>SANTIVAÑEZ ZACARIAS</v>
      </c>
      <c r="G817" t="str">
        <f t="shared" si="49"/>
        <v>SANTIVAÑEZ</v>
      </c>
      <c r="H817" t="str">
        <f t="shared" si="50"/>
        <v>ZACARIAS</v>
      </c>
      <c r="I817" t="str">
        <f t="shared" si="51"/>
        <v xml:space="preserve"> JHANCARLOS ANDRÉS</v>
      </c>
    </row>
    <row r="818" spans="1:9" x14ac:dyDescent="0.25">
      <c r="A818" t="s">
        <v>498</v>
      </c>
      <c r="B818" t="s">
        <v>499</v>
      </c>
      <c r="C818" s="2">
        <v>34616</v>
      </c>
      <c r="D818" t="s">
        <v>1743</v>
      </c>
      <c r="F818" t="str">
        <f t="shared" si="48"/>
        <v>JARA GOMEZ</v>
      </c>
      <c r="G818" t="str">
        <f t="shared" si="49"/>
        <v>JARA</v>
      </c>
      <c r="H818" t="str">
        <f t="shared" si="50"/>
        <v>GOMEZ</v>
      </c>
      <c r="I818" t="str">
        <f t="shared" si="51"/>
        <v xml:space="preserve"> MIGUEL EDGARDO</v>
      </c>
    </row>
    <row r="819" spans="1:9" x14ac:dyDescent="0.25">
      <c r="A819" t="s">
        <v>1362</v>
      </c>
      <c r="B819" t="s">
        <v>1363</v>
      </c>
      <c r="C819" s="2">
        <v>36710</v>
      </c>
      <c r="D819" t="s">
        <v>1743</v>
      </c>
      <c r="E819" t="s">
        <v>1670</v>
      </c>
      <c r="F819" t="str">
        <f t="shared" si="48"/>
        <v>MENDO CASTAÑEDA</v>
      </c>
      <c r="G819" t="str">
        <f t="shared" si="49"/>
        <v>MENDO</v>
      </c>
      <c r="H819" t="str">
        <f t="shared" si="50"/>
        <v>CASTAÑEDA</v>
      </c>
      <c r="I819" t="str">
        <f t="shared" si="51"/>
        <v xml:space="preserve"> EDUARDO FRANCO</v>
      </c>
    </row>
    <row r="820" spans="1:9" x14ac:dyDescent="0.25">
      <c r="A820" t="s">
        <v>1364</v>
      </c>
      <c r="B820" t="s">
        <v>1365</v>
      </c>
      <c r="C820" s="2">
        <v>34778</v>
      </c>
      <c r="D820" t="s">
        <v>1743</v>
      </c>
      <c r="F820" t="str">
        <f t="shared" si="48"/>
        <v>CAPCHA APAZA</v>
      </c>
      <c r="G820" t="str">
        <f t="shared" si="49"/>
        <v>CAPCHA</v>
      </c>
      <c r="H820" t="str">
        <f t="shared" si="50"/>
        <v>APAZA</v>
      </c>
      <c r="I820" t="str">
        <f t="shared" si="51"/>
        <v xml:space="preserve"> LUIS</v>
      </c>
    </row>
    <row r="821" spans="1:9" x14ac:dyDescent="0.25">
      <c r="A821" t="s">
        <v>1366</v>
      </c>
      <c r="B821" t="s">
        <v>1367</v>
      </c>
      <c r="C821" s="2">
        <v>36917</v>
      </c>
      <c r="D821" t="s">
        <v>1743</v>
      </c>
      <c r="E821" t="s">
        <v>1671</v>
      </c>
      <c r="F821" t="str">
        <f t="shared" si="48"/>
        <v>RONDON CHAVEZ</v>
      </c>
      <c r="G821" t="str">
        <f t="shared" si="49"/>
        <v>RONDON</v>
      </c>
      <c r="H821" t="str">
        <f t="shared" si="50"/>
        <v>CHAVEZ</v>
      </c>
      <c r="I821" t="str">
        <f t="shared" si="51"/>
        <v xml:space="preserve"> GREGORIO JAMPIER</v>
      </c>
    </row>
    <row r="822" spans="1:9" x14ac:dyDescent="0.25">
      <c r="A822" t="s">
        <v>1368</v>
      </c>
      <c r="B822" t="s">
        <v>1369</v>
      </c>
      <c r="C822" s="2">
        <v>36169</v>
      </c>
      <c r="D822" t="s">
        <v>1743</v>
      </c>
      <c r="F822" t="str">
        <f t="shared" si="48"/>
        <v>COLLAZOS ZACARIAS</v>
      </c>
      <c r="G822" t="str">
        <f t="shared" si="49"/>
        <v>COLLAZOS</v>
      </c>
      <c r="H822" t="str">
        <f t="shared" si="50"/>
        <v>ZACARIAS</v>
      </c>
      <c r="I822" t="str">
        <f t="shared" si="51"/>
        <v xml:space="preserve"> OWENH HIPOLITO</v>
      </c>
    </row>
    <row r="823" spans="1:9" x14ac:dyDescent="0.25">
      <c r="A823" t="s">
        <v>1370</v>
      </c>
      <c r="B823" t="s">
        <v>1371</v>
      </c>
      <c r="C823" s="2">
        <v>36000</v>
      </c>
      <c r="D823" t="s">
        <v>1743</v>
      </c>
      <c r="E823" t="s">
        <v>1672</v>
      </c>
      <c r="F823" t="str">
        <f t="shared" si="48"/>
        <v>VIRREYRA PREIS</v>
      </c>
      <c r="G823" t="str">
        <f t="shared" si="49"/>
        <v>VIRREYRA</v>
      </c>
      <c r="H823" t="str">
        <f t="shared" si="50"/>
        <v>PREIS</v>
      </c>
      <c r="I823" t="str">
        <f t="shared" si="51"/>
        <v xml:space="preserve"> RODRIGO DIEGO</v>
      </c>
    </row>
    <row r="824" spans="1:9" x14ac:dyDescent="0.25">
      <c r="A824" t="s">
        <v>1372</v>
      </c>
      <c r="B824" t="s">
        <v>1373</v>
      </c>
      <c r="C824" s="2">
        <v>34096</v>
      </c>
      <c r="D824" t="s">
        <v>1743</v>
      </c>
      <c r="E824" t="s">
        <v>1673</v>
      </c>
      <c r="F824" t="str">
        <f t="shared" si="48"/>
        <v>QUISPE HUAMAN</v>
      </c>
      <c r="G824" t="str">
        <f t="shared" si="49"/>
        <v>QUISPE</v>
      </c>
      <c r="H824" t="str">
        <f t="shared" si="50"/>
        <v>HUAMAN</v>
      </c>
      <c r="I824" t="str">
        <f t="shared" si="51"/>
        <v xml:space="preserve"> JESUS YONY</v>
      </c>
    </row>
    <row r="825" spans="1:9" x14ac:dyDescent="0.25">
      <c r="A825" t="s">
        <v>1374</v>
      </c>
      <c r="B825" t="s">
        <v>1375</v>
      </c>
      <c r="C825" s="2">
        <v>36403</v>
      </c>
      <c r="D825" t="s">
        <v>1743</v>
      </c>
      <c r="E825" t="s">
        <v>1674</v>
      </c>
      <c r="F825" t="str">
        <f t="shared" si="48"/>
        <v>QUISPE LUNA</v>
      </c>
      <c r="G825" t="str">
        <f t="shared" si="49"/>
        <v>QUISPE</v>
      </c>
      <c r="H825" t="str">
        <f t="shared" si="50"/>
        <v>LUNA</v>
      </c>
      <c r="I825" t="str">
        <f t="shared" si="51"/>
        <v xml:space="preserve"> LEMNIS LINO </v>
      </c>
    </row>
    <row r="826" spans="1:9" x14ac:dyDescent="0.25">
      <c r="A826" t="s">
        <v>1376</v>
      </c>
      <c r="B826" t="s">
        <v>1377</v>
      </c>
      <c r="C826" s="2">
        <v>33273</v>
      </c>
      <c r="D826" t="s">
        <v>1743</v>
      </c>
      <c r="E826" t="s">
        <v>1675</v>
      </c>
      <c r="F826" t="str">
        <f t="shared" si="48"/>
        <v>ARANDA TIPISMANA</v>
      </c>
      <c r="G826" t="str">
        <f t="shared" si="49"/>
        <v>ARANDA</v>
      </c>
      <c r="H826" t="str">
        <f t="shared" si="50"/>
        <v>TIPISMANA</v>
      </c>
      <c r="I826" t="str">
        <f t="shared" si="51"/>
        <v xml:space="preserve"> EBERTH OMAR</v>
      </c>
    </row>
    <row r="827" spans="1:9" x14ac:dyDescent="0.25">
      <c r="A827" t="s">
        <v>750</v>
      </c>
      <c r="B827" t="s">
        <v>751</v>
      </c>
      <c r="C827" s="2">
        <v>37033</v>
      </c>
      <c r="D827" t="s">
        <v>1743</v>
      </c>
      <c r="F827" t="str">
        <f t="shared" si="48"/>
        <v>CATASI MIRANDA</v>
      </c>
      <c r="G827" t="str">
        <f t="shared" si="49"/>
        <v>CATASI</v>
      </c>
      <c r="H827" t="str">
        <f t="shared" si="50"/>
        <v>MIRANDA</v>
      </c>
      <c r="I827" t="str">
        <f t="shared" si="51"/>
        <v xml:space="preserve"> WILBER RUBEN </v>
      </c>
    </row>
    <row r="828" spans="1:9" x14ac:dyDescent="0.25">
      <c r="A828" t="s">
        <v>1378</v>
      </c>
      <c r="B828" t="s">
        <v>1379</v>
      </c>
      <c r="C828" s="2">
        <v>36700</v>
      </c>
      <c r="D828" t="s">
        <v>1743</v>
      </c>
      <c r="E828" t="s">
        <v>1676</v>
      </c>
      <c r="F828" t="str">
        <f t="shared" si="48"/>
        <v>COAQUIRA PACCORI</v>
      </c>
      <c r="G828" t="str">
        <f t="shared" si="49"/>
        <v>COAQUIRA</v>
      </c>
      <c r="H828" t="str">
        <f t="shared" si="50"/>
        <v>PACCORI</v>
      </c>
      <c r="I828" t="str">
        <f t="shared" si="51"/>
        <v xml:space="preserve"> DIEGO DOUGLAS</v>
      </c>
    </row>
    <row r="829" spans="1:9" x14ac:dyDescent="0.25">
      <c r="A829" t="s">
        <v>1337</v>
      </c>
      <c r="B829" t="s">
        <v>1338</v>
      </c>
      <c r="C829" s="2">
        <v>30945</v>
      </c>
      <c r="D829" t="s">
        <v>1743</v>
      </c>
      <c r="E829" t="s">
        <v>1665</v>
      </c>
      <c r="F829" t="str">
        <f t="shared" si="48"/>
        <v>RUESTA SANDOVAL</v>
      </c>
      <c r="G829" t="str">
        <f t="shared" si="49"/>
        <v>RUESTA</v>
      </c>
      <c r="H829" t="str">
        <f t="shared" si="50"/>
        <v>SANDOVAL</v>
      </c>
      <c r="I829" t="str">
        <f t="shared" si="51"/>
        <v xml:space="preserve"> JULIO RAMIRO</v>
      </c>
    </row>
    <row r="830" spans="1:9" x14ac:dyDescent="0.25">
      <c r="A830" t="s">
        <v>1380</v>
      </c>
      <c r="B830" t="s">
        <v>1381</v>
      </c>
      <c r="C830" s="2">
        <v>35124</v>
      </c>
      <c r="D830" t="s">
        <v>1743</v>
      </c>
      <c r="E830" t="s">
        <v>1677</v>
      </c>
      <c r="F830" t="str">
        <f t="shared" si="48"/>
        <v>GARCIA SINCHE</v>
      </c>
      <c r="G830" t="str">
        <f t="shared" si="49"/>
        <v>GARCIA</v>
      </c>
      <c r="H830" t="str">
        <f t="shared" si="50"/>
        <v>SINCHE</v>
      </c>
      <c r="I830" t="str">
        <f t="shared" si="51"/>
        <v xml:space="preserve"> JAIME FERNANDO</v>
      </c>
    </row>
    <row r="831" spans="1:9" x14ac:dyDescent="0.25">
      <c r="A831" t="s">
        <v>1382</v>
      </c>
      <c r="B831" t="s">
        <v>1383</v>
      </c>
      <c r="C831" s="2">
        <v>35716</v>
      </c>
      <c r="D831" t="s">
        <v>1744</v>
      </c>
      <c r="F831" t="str">
        <f t="shared" si="48"/>
        <v>HURTADO FARIAS</v>
      </c>
      <c r="G831" t="str">
        <f t="shared" si="49"/>
        <v>HURTADO</v>
      </c>
      <c r="H831" t="str">
        <f t="shared" si="50"/>
        <v>FARIAS</v>
      </c>
      <c r="I831" t="str">
        <f t="shared" si="51"/>
        <v xml:space="preserve"> ADRIANA LUCIA</v>
      </c>
    </row>
    <row r="832" spans="1:9" x14ac:dyDescent="0.25">
      <c r="A832" t="s">
        <v>1384</v>
      </c>
      <c r="B832" t="s">
        <v>1385</v>
      </c>
      <c r="C832" s="2">
        <v>35459</v>
      </c>
      <c r="D832" t="s">
        <v>1743</v>
      </c>
      <c r="F832" t="str">
        <f t="shared" si="48"/>
        <v>SEMINARIO SILVA</v>
      </c>
      <c r="G832" t="str">
        <f t="shared" si="49"/>
        <v>SEMINARIO</v>
      </c>
      <c r="H832" t="str">
        <f t="shared" si="50"/>
        <v>SILVA</v>
      </c>
      <c r="I832" t="str">
        <f t="shared" si="51"/>
        <v xml:space="preserve"> JULIO ALEXANDER</v>
      </c>
    </row>
    <row r="833" spans="1:9" x14ac:dyDescent="0.25">
      <c r="A833" t="s">
        <v>1386</v>
      </c>
      <c r="B833" t="s">
        <v>1387</v>
      </c>
      <c r="C833" s="2">
        <v>24715</v>
      </c>
      <c r="D833" t="s">
        <v>1743</v>
      </c>
      <c r="F833" t="str">
        <f t="shared" si="48"/>
        <v>VILLA ZORRILLA</v>
      </c>
      <c r="G833" t="str">
        <f t="shared" si="49"/>
        <v>VILLA</v>
      </c>
      <c r="H833" t="str">
        <f t="shared" si="50"/>
        <v>ZORRILLA</v>
      </c>
      <c r="I833" t="str">
        <f t="shared" si="51"/>
        <v xml:space="preserve"> ALEJANDRO MARTIN</v>
      </c>
    </row>
    <row r="834" spans="1:9" x14ac:dyDescent="0.25">
      <c r="A834" t="s">
        <v>1388</v>
      </c>
      <c r="B834" t="s">
        <v>1389</v>
      </c>
      <c r="C834" s="2">
        <v>37411</v>
      </c>
      <c r="D834" t="s">
        <v>1743</v>
      </c>
      <c r="F834" t="str">
        <f t="shared" si="48"/>
        <v>ORELLANA SURCO</v>
      </c>
      <c r="G834" t="str">
        <f t="shared" si="49"/>
        <v>ORELLANA</v>
      </c>
      <c r="H834" t="str">
        <f t="shared" si="50"/>
        <v>SURCO</v>
      </c>
      <c r="I834" t="str">
        <f t="shared" si="51"/>
        <v xml:space="preserve"> GABRIEL OSWALDO</v>
      </c>
    </row>
    <row r="835" spans="1:9" x14ac:dyDescent="0.25">
      <c r="A835" t="s">
        <v>1390</v>
      </c>
      <c r="B835" t="s">
        <v>1391</v>
      </c>
      <c r="C835" s="2">
        <v>31708</v>
      </c>
      <c r="D835" t="s">
        <v>1743</v>
      </c>
      <c r="E835" t="s">
        <v>1678</v>
      </c>
      <c r="F835" t="str">
        <f t="shared" ref="F835:F898" si="52">LEFT(B835,SEARCH(",",B835)-1)</f>
        <v>PEREZ PAREDES</v>
      </c>
      <c r="G835" t="str">
        <f t="shared" ref="G835:G898" si="53">LEFT(F835,SEARCH(" ",F835)-1)</f>
        <v>PEREZ</v>
      </c>
      <c r="H835" t="str">
        <f t="shared" ref="H835:H898" si="54">RIGHT(F835,LEN(F835)- SEARCH(" ",F835))</f>
        <v>PAREDES</v>
      </c>
      <c r="I835" t="str">
        <f t="shared" ref="I835:I898" si="55">RIGHT(B835,LEN(B835)- SEARCH(",",B835))</f>
        <v xml:space="preserve"> EDWAR YSRAEL</v>
      </c>
    </row>
    <row r="836" spans="1:9" x14ac:dyDescent="0.25">
      <c r="A836" t="s">
        <v>1392</v>
      </c>
      <c r="B836" t="s">
        <v>1393</v>
      </c>
      <c r="C836" s="2">
        <v>27139</v>
      </c>
      <c r="D836" t="s">
        <v>1743</v>
      </c>
      <c r="F836" t="str">
        <f t="shared" si="52"/>
        <v>VASQUEZ RIMARACHIN</v>
      </c>
      <c r="G836" t="str">
        <f t="shared" si="53"/>
        <v>VASQUEZ</v>
      </c>
      <c r="H836" t="str">
        <f t="shared" si="54"/>
        <v>RIMARACHIN</v>
      </c>
      <c r="I836" t="str">
        <f t="shared" si="55"/>
        <v xml:space="preserve"> ELMER</v>
      </c>
    </row>
    <row r="837" spans="1:9" x14ac:dyDescent="0.25">
      <c r="A837" t="s">
        <v>1394</v>
      </c>
      <c r="B837" t="s">
        <v>1395</v>
      </c>
      <c r="C837" s="2">
        <v>32921</v>
      </c>
      <c r="D837" t="s">
        <v>1743</v>
      </c>
      <c r="F837" t="str">
        <f t="shared" si="52"/>
        <v>QUINCHO ABAD</v>
      </c>
      <c r="G837" t="str">
        <f t="shared" si="53"/>
        <v>QUINCHO</v>
      </c>
      <c r="H837" t="str">
        <f t="shared" si="54"/>
        <v>ABAD</v>
      </c>
      <c r="I837" t="str">
        <f t="shared" si="55"/>
        <v xml:space="preserve"> JOSÉ MIGUEL</v>
      </c>
    </row>
    <row r="838" spans="1:9" x14ac:dyDescent="0.25">
      <c r="A838" t="s">
        <v>1396</v>
      </c>
      <c r="B838" t="s">
        <v>1397</v>
      </c>
      <c r="C838" s="2">
        <v>30134</v>
      </c>
      <c r="D838" t="s">
        <v>1743</v>
      </c>
      <c r="F838" t="str">
        <f t="shared" si="52"/>
        <v>CANO RAMIREZ</v>
      </c>
      <c r="G838" t="str">
        <f t="shared" si="53"/>
        <v>CANO</v>
      </c>
      <c r="H838" t="str">
        <f t="shared" si="54"/>
        <v>RAMIREZ</v>
      </c>
      <c r="I838" t="str">
        <f t="shared" si="55"/>
        <v xml:space="preserve"> MARCO ANTONIO</v>
      </c>
    </row>
    <row r="839" spans="1:9" x14ac:dyDescent="0.25">
      <c r="A839" t="s">
        <v>1398</v>
      </c>
      <c r="B839" t="s">
        <v>1399</v>
      </c>
      <c r="C839" s="2">
        <v>32192</v>
      </c>
      <c r="D839" t="s">
        <v>1743</v>
      </c>
      <c r="E839" t="s">
        <v>1679</v>
      </c>
      <c r="F839" t="str">
        <f t="shared" si="52"/>
        <v>MORALES CHINGUEL</v>
      </c>
      <c r="G839" t="str">
        <f t="shared" si="53"/>
        <v>MORALES</v>
      </c>
      <c r="H839" t="str">
        <f t="shared" si="54"/>
        <v>CHINGUEL</v>
      </c>
      <c r="I839" t="str">
        <f t="shared" si="55"/>
        <v xml:space="preserve"> MIGUEL GUILLERMO</v>
      </c>
    </row>
    <row r="840" spans="1:9" x14ac:dyDescent="0.25">
      <c r="A840" t="s">
        <v>1400</v>
      </c>
      <c r="B840" t="s">
        <v>1401</v>
      </c>
      <c r="C840" s="2">
        <v>38089</v>
      </c>
      <c r="D840" t="s">
        <v>1743</v>
      </c>
      <c r="E840" t="s">
        <v>1680</v>
      </c>
      <c r="F840" t="str">
        <f t="shared" si="52"/>
        <v>DUEÑAS CHOQUE</v>
      </c>
      <c r="G840" t="str">
        <f t="shared" si="53"/>
        <v>DUEÑAS</v>
      </c>
      <c r="H840" t="str">
        <f t="shared" si="54"/>
        <v>CHOQUE</v>
      </c>
      <c r="I840" t="str">
        <f t="shared" si="55"/>
        <v xml:space="preserve"> RODRIGO MARCEL</v>
      </c>
    </row>
    <row r="841" spans="1:9" x14ac:dyDescent="0.25">
      <c r="A841" t="s">
        <v>1402</v>
      </c>
      <c r="B841" t="s">
        <v>1403</v>
      </c>
      <c r="C841" s="2">
        <v>36004</v>
      </c>
      <c r="D841" t="s">
        <v>1743</v>
      </c>
      <c r="E841" t="s">
        <v>1681</v>
      </c>
      <c r="F841" t="str">
        <f t="shared" si="52"/>
        <v>MACHUCA VARGAS</v>
      </c>
      <c r="G841" t="str">
        <f t="shared" si="53"/>
        <v>MACHUCA</v>
      </c>
      <c r="H841" t="str">
        <f t="shared" si="54"/>
        <v>VARGAS</v>
      </c>
      <c r="I841" t="str">
        <f t="shared" si="55"/>
        <v xml:space="preserve"> JULIO CESAR</v>
      </c>
    </row>
    <row r="842" spans="1:9" x14ac:dyDescent="0.25">
      <c r="A842" t="s">
        <v>1404</v>
      </c>
      <c r="B842" t="s">
        <v>1405</v>
      </c>
      <c r="C842" s="2">
        <v>35984</v>
      </c>
      <c r="D842" t="s">
        <v>1743</v>
      </c>
      <c r="E842" t="s">
        <v>1682</v>
      </c>
      <c r="F842" t="str">
        <f t="shared" si="52"/>
        <v>AGUILAR VASQUEZ</v>
      </c>
      <c r="G842" t="str">
        <f t="shared" si="53"/>
        <v>AGUILAR</v>
      </c>
      <c r="H842" t="str">
        <f t="shared" si="54"/>
        <v>VASQUEZ</v>
      </c>
      <c r="I842" t="str">
        <f t="shared" si="55"/>
        <v xml:space="preserve"> ALAMIRO</v>
      </c>
    </row>
    <row r="843" spans="1:9" x14ac:dyDescent="0.25">
      <c r="A843" t="s">
        <v>1406</v>
      </c>
      <c r="B843" t="s">
        <v>1407</v>
      </c>
      <c r="C843" s="2">
        <v>34087</v>
      </c>
      <c r="D843" t="s">
        <v>1743</v>
      </c>
      <c r="E843" t="s">
        <v>1683</v>
      </c>
      <c r="F843" t="str">
        <f t="shared" si="52"/>
        <v>CHINO GRANDEZ</v>
      </c>
      <c r="G843" t="str">
        <f t="shared" si="53"/>
        <v>CHINO</v>
      </c>
      <c r="H843" t="str">
        <f t="shared" si="54"/>
        <v>GRANDEZ</v>
      </c>
      <c r="I843" t="str">
        <f t="shared" si="55"/>
        <v xml:space="preserve"> WILLIAN FRANS</v>
      </c>
    </row>
    <row r="844" spans="1:9" x14ac:dyDescent="0.25">
      <c r="A844" t="s">
        <v>1408</v>
      </c>
      <c r="B844" t="s">
        <v>1409</v>
      </c>
      <c r="C844" s="2">
        <v>35809</v>
      </c>
      <c r="D844" t="s">
        <v>1743</v>
      </c>
      <c r="E844" t="s">
        <v>1684</v>
      </c>
      <c r="F844" t="str">
        <f t="shared" si="52"/>
        <v>PEREZ FIGUEROA</v>
      </c>
      <c r="G844" t="str">
        <f t="shared" si="53"/>
        <v>PEREZ</v>
      </c>
      <c r="H844" t="str">
        <f t="shared" si="54"/>
        <v>FIGUEROA</v>
      </c>
      <c r="I844" t="str">
        <f t="shared" si="55"/>
        <v xml:space="preserve"> CRISTHIAN MICHELL </v>
      </c>
    </row>
    <row r="845" spans="1:9" x14ac:dyDescent="0.25">
      <c r="A845" t="s">
        <v>1410</v>
      </c>
      <c r="B845" t="s">
        <v>1411</v>
      </c>
      <c r="C845" s="2">
        <v>38234</v>
      </c>
      <c r="D845" t="s">
        <v>1743</v>
      </c>
      <c r="E845" t="s">
        <v>1685</v>
      </c>
      <c r="F845" t="str">
        <f t="shared" si="52"/>
        <v>DIAZ VILLEGAS</v>
      </c>
      <c r="G845" t="str">
        <f t="shared" si="53"/>
        <v>DIAZ</v>
      </c>
      <c r="H845" t="str">
        <f t="shared" si="54"/>
        <v>VILLEGAS</v>
      </c>
      <c r="I845" t="str">
        <f t="shared" si="55"/>
        <v xml:space="preserve"> ANDERSON BRANDOM</v>
      </c>
    </row>
    <row r="846" spans="1:9" x14ac:dyDescent="0.25">
      <c r="A846" t="s">
        <v>370</v>
      </c>
      <c r="B846" t="s">
        <v>371</v>
      </c>
      <c r="C846" s="2">
        <v>33102</v>
      </c>
      <c r="D846" t="s">
        <v>1743</v>
      </c>
      <c r="F846" t="str">
        <f t="shared" si="52"/>
        <v>CUADRA MONTECINO</v>
      </c>
      <c r="G846" t="str">
        <f t="shared" si="53"/>
        <v>CUADRA</v>
      </c>
      <c r="H846" t="str">
        <f t="shared" si="54"/>
        <v>MONTECINO</v>
      </c>
      <c r="I846" t="str">
        <f t="shared" si="55"/>
        <v xml:space="preserve"> WILMER</v>
      </c>
    </row>
    <row r="847" spans="1:9" x14ac:dyDescent="0.25">
      <c r="A847" t="s">
        <v>1412</v>
      </c>
      <c r="B847" t="s">
        <v>1413</v>
      </c>
      <c r="C847" s="2">
        <v>30505</v>
      </c>
      <c r="D847" t="s">
        <v>1743</v>
      </c>
      <c r="F847" t="str">
        <f t="shared" si="52"/>
        <v>MINCHOLA ZAVALA</v>
      </c>
      <c r="G847" t="str">
        <f t="shared" si="53"/>
        <v>MINCHOLA</v>
      </c>
      <c r="H847" t="str">
        <f t="shared" si="54"/>
        <v>ZAVALA</v>
      </c>
      <c r="I847" t="str">
        <f t="shared" si="55"/>
        <v xml:space="preserve"> GILMER JAVIER </v>
      </c>
    </row>
    <row r="848" spans="1:9" x14ac:dyDescent="0.25">
      <c r="A848" t="s">
        <v>1414</v>
      </c>
      <c r="B848" t="s">
        <v>1415</v>
      </c>
      <c r="C848" s="2">
        <v>34282</v>
      </c>
      <c r="D848" t="s">
        <v>1743</v>
      </c>
      <c r="E848" t="s">
        <v>1686</v>
      </c>
      <c r="F848" t="str">
        <f t="shared" si="52"/>
        <v>ALARCON ZANABRIA</v>
      </c>
      <c r="G848" t="str">
        <f t="shared" si="53"/>
        <v>ALARCON</v>
      </c>
      <c r="H848" t="str">
        <f t="shared" si="54"/>
        <v>ZANABRIA</v>
      </c>
      <c r="I848" t="str">
        <f t="shared" si="55"/>
        <v xml:space="preserve"> JERSON JAIR</v>
      </c>
    </row>
    <row r="849" spans="1:9" x14ac:dyDescent="0.25">
      <c r="A849" t="s">
        <v>1416</v>
      </c>
      <c r="B849" t="s">
        <v>1417</v>
      </c>
      <c r="C849" s="2">
        <v>35415</v>
      </c>
      <c r="D849" t="s">
        <v>1743</v>
      </c>
      <c r="E849" t="s">
        <v>1687</v>
      </c>
      <c r="F849" t="str">
        <f t="shared" si="52"/>
        <v>ALVARO GUTIERREZ</v>
      </c>
      <c r="G849" t="str">
        <f t="shared" si="53"/>
        <v>ALVARO</v>
      </c>
      <c r="H849" t="str">
        <f t="shared" si="54"/>
        <v>GUTIERREZ</v>
      </c>
      <c r="I849" t="str">
        <f t="shared" si="55"/>
        <v xml:space="preserve"> NILTON ALEXANDER JEAN PIER </v>
      </c>
    </row>
    <row r="850" spans="1:9" x14ac:dyDescent="0.25">
      <c r="A850" t="s">
        <v>1418</v>
      </c>
      <c r="B850" t="s">
        <v>1419</v>
      </c>
      <c r="C850" s="2">
        <v>36357</v>
      </c>
      <c r="D850" t="s">
        <v>1743</v>
      </c>
      <c r="E850" t="s">
        <v>1688</v>
      </c>
      <c r="F850" t="str">
        <f t="shared" si="52"/>
        <v>BAUTISTA CUSMA</v>
      </c>
      <c r="G850" t="str">
        <f t="shared" si="53"/>
        <v>BAUTISTA</v>
      </c>
      <c r="H850" t="str">
        <f t="shared" si="54"/>
        <v>CUSMA</v>
      </c>
      <c r="I850" t="str">
        <f t="shared" si="55"/>
        <v xml:space="preserve"> ELCER</v>
      </c>
    </row>
    <row r="851" spans="1:9" x14ac:dyDescent="0.25">
      <c r="A851" t="s">
        <v>1420</v>
      </c>
      <c r="B851" t="s">
        <v>1421</v>
      </c>
      <c r="C851" s="2">
        <v>33409</v>
      </c>
      <c r="D851" t="s">
        <v>1743</v>
      </c>
      <c r="E851" t="s">
        <v>1689</v>
      </c>
      <c r="F851" t="str">
        <f t="shared" si="52"/>
        <v>PAUCAR ALDANA</v>
      </c>
      <c r="G851" t="str">
        <f t="shared" si="53"/>
        <v>PAUCAR</v>
      </c>
      <c r="H851" t="str">
        <f t="shared" si="54"/>
        <v>ALDANA</v>
      </c>
      <c r="I851" t="str">
        <f t="shared" si="55"/>
        <v xml:space="preserve"> CARLOS FERNANDO </v>
      </c>
    </row>
    <row r="852" spans="1:9" x14ac:dyDescent="0.25">
      <c r="A852" t="s">
        <v>1422</v>
      </c>
      <c r="B852" t="s">
        <v>1423</v>
      </c>
      <c r="C852" s="2">
        <v>29559</v>
      </c>
      <c r="D852" t="s">
        <v>1743</v>
      </c>
      <c r="E852" t="s">
        <v>1690</v>
      </c>
      <c r="F852" t="str">
        <f t="shared" si="52"/>
        <v>REQUEJO ROJAS</v>
      </c>
      <c r="G852" t="str">
        <f t="shared" si="53"/>
        <v>REQUEJO</v>
      </c>
      <c r="H852" t="str">
        <f t="shared" si="54"/>
        <v>ROJAS</v>
      </c>
      <c r="I852" t="str">
        <f t="shared" si="55"/>
        <v xml:space="preserve"> NILTON CÉSAR</v>
      </c>
    </row>
    <row r="853" spans="1:9" x14ac:dyDescent="0.25">
      <c r="A853" t="s">
        <v>1073</v>
      </c>
      <c r="B853" t="s">
        <v>1074</v>
      </c>
      <c r="C853" s="2">
        <v>32290</v>
      </c>
      <c r="D853" t="s">
        <v>1743</v>
      </c>
      <c r="E853" t="s">
        <v>1600</v>
      </c>
      <c r="F853" t="str">
        <f t="shared" si="52"/>
        <v>GONZALEZ ANTEZANA</v>
      </c>
      <c r="G853" t="str">
        <f t="shared" si="53"/>
        <v>GONZALEZ</v>
      </c>
      <c r="H853" t="str">
        <f t="shared" si="54"/>
        <v>ANTEZANA</v>
      </c>
      <c r="I853" t="str">
        <f t="shared" si="55"/>
        <v xml:space="preserve"> ELMER JUAN</v>
      </c>
    </row>
    <row r="854" spans="1:9" x14ac:dyDescent="0.25">
      <c r="A854" t="s">
        <v>1424</v>
      </c>
      <c r="B854" t="s">
        <v>1425</v>
      </c>
      <c r="C854" s="2">
        <v>30829</v>
      </c>
      <c r="D854" t="s">
        <v>1743</v>
      </c>
      <c r="E854" t="s">
        <v>1691</v>
      </c>
      <c r="F854" t="str">
        <f t="shared" si="52"/>
        <v>MENDOZA ALVARADO</v>
      </c>
      <c r="G854" t="str">
        <f t="shared" si="53"/>
        <v>MENDOZA</v>
      </c>
      <c r="H854" t="str">
        <f t="shared" si="54"/>
        <v>ALVARADO</v>
      </c>
      <c r="I854" t="str">
        <f t="shared" si="55"/>
        <v xml:space="preserve"> JOHAN CARLO</v>
      </c>
    </row>
    <row r="855" spans="1:9" x14ac:dyDescent="0.25">
      <c r="A855" t="s">
        <v>1426</v>
      </c>
      <c r="B855" t="s">
        <v>1427</v>
      </c>
      <c r="C855" s="2">
        <v>36148</v>
      </c>
      <c r="D855" t="s">
        <v>1743</v>
      </c>
      <c r="E855" t="s">
        <v>1692</v>
      </c>
      <c r="F855" t="str">
        <f t="shared" si="52"/>
        <v>ATOCHE VINCES</v>
      </c>
      <c r="G855" t="str">
        <f t="shared" si="53"/>
        <v>ATOCHE</v>
      </c>
      <c r="H855" t="str">
        <f t="shared" si="54"/>
        <v>VINCES</v>
      </c>
      <c r="I855" t="str">
        <f t="shared" si="55"/>
        <v xml:space="preserve"> JERCY ARMANDO</v>
      </c>
    </row>
    <row r="856" spans="1:9" x14ac:dyDescent="0.25">
      <c r="A856" t="s">
        <v>1428</v>
      </c>
      <c r="B856" t="s">
        <v>1429</v>
      </c>
      <c r="C856" s="2">
        <v>35125</v>
      </c>
      <c r="D856" t="s">
        <v>1743</v>
      </c>
      <c r="E856" t="s">
        <v>1693</v>
      </c>
      <c r="F856" t="str">
        <f t="shared" si="52"/>
        <v>CHUNGA RUIZ</v>
      </c>
      <c r="G856" t="str">
        <f t="shared" si="53"/>
        <v>CHUNGA</v>
      </c>
      <c r="H856" t="str">
        <f t="shared" si="54"/>
        <v>RUIZ</v>
      </c>
      <c r="I856" t="str">
        <f t="shared" si="55"/>
        <v xml:space="preserve"> ELVIS GEANMARCO</v>
      </c>
    </row>
    <row r="857" spans="1:9" x14ac:dyDescent="0.25">
      <c r="A857" t="s">
        <v>1430</v>
      </c>
      <c r="B857" t="s">
        <v>1431</v>
      </c>
      <c r="C857" s="2">
        <v>37127</v>
      </c>
      <c r="D857" t="s">
        <v>1743</v>
      </c>
      <c r="E857" t="s">
        <v>1694</v>
      </c>
      <c r="F857" t="str">
        <f t="shared" si="52"/>
        <v>QUIROZ VASQUEZ</v>
      </c>
      <c r="G857" t="str">
        <f t="shared" si="53"/>
        <v>QUIROZ</v>
      </c>
      <c r="H857" t="str">
        <f t="shared" si="54"/>
        <v>VASQUEZ</v>
      </c>
      <c r="I857" t="str">
        <f t="shared" si="55"/>
        <v xml:space="preserve"> CHRISTOPHER BRYAN</v>
      </c>
    </row>
    <row r="858" spans="1:9" x14ac:dyDescent="0.25">
      <c r="A858" t="s">
        <v>1432</v>
      </c>
      <c r="B858" t="s">
        <v>1433</v>
      </c>
      <c r="C858" s="2">
        <v>34165</v>
      </c>
      <c r="D858" t="s">
        <v>1743</v>
      </c>
      <c r="E858" t="s">
        <v>1695</v>
      </c>
      <c r="F858" t="str">
        <f t="shared" si="52"/>
        <v>RAMIREZ SEGOVIA</v>
      </c>
      <c r="G858" t="str">
        <f t="shared" si="53"/>
        <v>RAMIREZ</v>
      </c>
      <c r="H858" t="str">
        <f t="shared" si="54"/>
        <v>SEGOVIA</v>
      </c>
      <c r="I858" t="str">
        <f t="shared" si="55"/>
        <v xml:space="preserve"> ITHER ALVARO</v>
      </c>
    </row>
    <row r="859" spans="1:9" x14ac:dyDescent="0.25">
      <c r="A859" t="s">
        <v>1434</v>
      </c>
      <c r="B859" t="s">
        <v>1435</v>
      </c>
      <c r="C859" s="2">
        <v>30782</v>
      </c>
      <c r="D859" t="s">
        <v>1743</v>
      </c>
      <c r="E859" t="s">
        <v>1696</v>
      </c>
      <c r="F859" t="str">
        <f t="shared" si="52"/>
        <v>ALCANTARA ROJAS</v>
      </c>
      <c r="G859" t="str">
        <f t="shared" si="53"/>
        <v>ALCANTARA</v>
      </c>
      <c r="H859" t="str">
        <f t="shared" si="54"/>
        <v>ROJAS</v>
      </c>
      <c r="I859" t="str">
        <f t="shared" si="55"/>
        <v xml:space="preserve"> JULIO CESAR</v>
      </c>
    </row>
    <row r="860" spans="1:9" x14ac:dyDescent="0.25">
      <c r="A860" t="s">
        <v>1436</v>
      </c>
      <c r="B860" t="s">
        <v>1437</v>
      </c>
      <c r="C860" s="2">
        <v>34748</v>
      </c>
      <c r="D860" t="s">
        <v>1743</v>
      </c>
      <c r="F860" t="str">
        <f t="shared" si="52"/>
        <v>GALLO ZAPATA</v>
      </c>
      <c r="G860" t="str">
        <f t="shared" si="53"/>
        <v>GALLO</v>
      </c>
      <c r="H860" t="str">
        <f t="shared" si="54"/>
        <v>ZAPATA</v>
      </c>
      <c r="I860" t="str">
        <f t="shared" si="55"/>
        <v xml:space="preserve"> EMILIO ALBERTO</v>
      </c>
    </row>
    <row r="861" spans="1:9" x14ac:dyDescent="0.25">
      <c r="A861" t="s">
        <v>1438</v>
      </c>
      <c r="B861" t="s">
        <v>1439</v>
      </c>
      <c r="C861" s="2">
        <v>36676</v>
      </c>
      <c r="D861" t="s">
        <v>1743</v>
      </c>
      <c r="E861" t="s">
        <v>1697</v>
      </c>
      <c r="F861" t="str">
        <f t="shared" si="52"/>
        <v>MIRANDA VELEZ</v>
      </c>
      <c r="G861" t="str">
        <f t="shared" si="53"/>
        <v>MIRANDA</v>
      </c>
      <c r="H861" t="str">
        <f t="shared" si="54"/>
        <v>VELEZ</v>
      </c>
      <c r="I861" t="str">
        <f t="shared" si="55"/>
        <v xml:space="preserve"> CALEB ISMAEL</v>
      </c>
    </row>
    <row r="862" spans="1:9" x14ac:dyDescent="0.25">
      <c r="A862" t="s">
        <v>214</v>
      </c>
      <c r="B862" t="s">
        <v>215</v>
      </c>
      <c r="C862" s="2">
        <v>33321</v>
      </c>
      <c r="D862" t="s">
        <v>1743</v>
      </c>
      <c r="F862" t="str">
        <f t="shared" si="52"/>
        <v>ANGELES LOAYZA</v>
      </c>
      <c r="G862" t="str">
        <f t="shared" si="53"/>
        <v>ANGELES</v>
      </c>
      <c r="H862" t="str">
        <f t="shared" si="54"/>
        <v>LOAYZA</v>
      </c>
      <c r="I862" t="str">
        <f t="shared" si="55"/>
        <v xml:space="preserve"> JORGE LUIS</v>
      </c>
    </row>
    <row r="863" spans="1:9" x14ac:dyDescent="0.25">
      <c r="A863" t="s">
        <v>1440</v>
      </c>
      <c r="B863" t="s">
        <v>1441</v>
      </c>
      <c r="C863" s="2">
        <v>36930</v>
      </c>
      <c r="D863" t="s">
        <v>1743</v>
      </c>
      <c r="F863" t="str">
        <f t="shared" si="52"/>
        <v>HUAMANI CALLOSANI</v>
      </c>
      <c r="G863" t="str">
        <f t="shared" si="53"/>
        <v>HUAMANI</v>
      </c>
      <c r="H863" t="str">
        <f t="shared" si="54"/>
        <v>CALLOSANI</v>
      </c>
      <c r="I863" t="str">
        <f t="shared" si="55"/>
        <v xml:space="preserve"> FRAY HECTOR</v>
      </c>
    </row>
    <row r="864" spans="1:9" x14ac:dyDescent="0.25">
      <c r="A864" t="s">
        <v>1442</v>
      </c>
      <c r="B864" t="s">
        <v>1443</v>
      </c>
      <c r="C864" s="2">
        <v>33864</v>
      </c>
      <c r="E864" t="s">
        <v>1698</v>
      </c>
      <c r="F864" t="str">
        <f t="shared" si="52"/>
        <v>LECCA TAPIA</v>
      </c>
      <c r="G864" t="str">
        <f t="shared" si="53"/>
        <v>LECCA</v>
      </c>
      <c r="H864" t="str">
        <f t="shared" si="54"/>
        <v>TAPIA</v>
      </c>
      <c r="I864" t="str">
        <f t="shared" si="55"/>
        <v xml:space="preserve"> ADOLFO TITO</v>
      </c>
    </row>
    <row r="865" spans="1:9" x14ac:dyDescent="0.25">
      <c r="A865" t="s">
        <v>1444</v>
      </c>
      <c r="B865" t="s">
        <v>1445</v>
      </c>
      <c r="C865" s="2">
        <v>34801</v>
      </c>
      <c r="E865" t="s">
        <v>1699</v>
      </c>
      <c r="F865" t="str">
        <f t="shared" si="52"/>
        <v>FERNANDEZ ATAMARI</v>
      </c>
      <c r="G865" t="str">
        <f t="shared" si="53"/>
        <v>FERNANDEZ</v>
      </c>
      <c r="H865" t="str">
        <f t="shared" si="54"/>
        <v>ATAMARI</v>
      </c>
      <c r="I865" t="str">
        <f t="shared" si="55"/>
        <v xml:space="preserve"> CRISTHIAN ALEXANDER</v>
      </c>
    </row>
    <row r="866" spans="1:9" x14ac:dyDescent="0.25">
      <c r="A866" t="s">
        <v>1446</v>
      </c>
      <c r="B866" t="s">
        <v>1447</v>
      </c>
      <c r="C866" s="2">
        <v>34976</v>
      </c>
      <c r="D866" t="s">
        <v>1743</v>
      </c>
      <c r="E866" t="s">
        <v>1700</v>
      </c>
      <c r="F866" t="str">
        <f t="shared" si="52"/>
        <v>SANTOS SANTOS</v>
      </c>
      <c r="G866" t="str">
        <f t="shared" si="53"/>
        <v>SANTOS</v>
      </c>
      <c r="H866" t="str">
        <f t="shared" si="54"/>
        <v>SANTOS</v>
      </c>
      <c r="I866" t="str">
        <f t="shared" si="55"/>
        <v xml:space="preserve"> LUZGARDO BLADIMIR</v>
      </c>
    </row>
    <row r="867" spans="1:9" x14ac:dyDescent="0.25">
      <c r="A867" t="s">
        <v>1448</v>
      </c>
      <c r="B867" t="s">
        <v>1449</v>
      </c>
      <c r="C867" s="2">
        <v>36437</v>
      </c>
      <c r="E867" t="s">
        <v>1701</v>
      </c>
      <c r="F867" t="str">
        <f t="shared" si="52"/>
        <v>ROJAS CHOQUE</v>
      </c>
      <c r="G867" t="str">
        <f t="shared" si="53"/>
        <v>ROJAS</v>
      </c>
      <c r="H867" t="str">
        <f t="shared" si="54"/>
        <v>CHOQUE</v>
      </c>
      <c r="I867" t="str">
        <f t="shared" si="55"/>
        <v xml:space="preserve"> YIMI JEFFERSON</v>
      </c>
    </row>
    <row r="868" spans="1:9" x14ac:dyDescent="0.25">
      <c r="A868" t="s">
        <v>1450</v>
      </c>
      <c r="B868" t="s">
        <v>1451</v>
      </c>
      <c r="C868" s="2">
        <v>36534</v>
      </c>
      <c r="E868" t="s">
        <v>1702</v>
      </c>
      <c r="F868" t="str">
        <f t="shared" si="52"/>
        <v>TURPO CONDORI</v>
      </c>
      <c r="G868" t="str">
        <f t="shared" si="53"/>
        <v>TURPO</v>
      </c>
      <c r="H868" t="str">
        <f t="shared" si="54"/>
        <v>CONDORI</v>
      </c>
      <c r="I868" t="str">
        <f t="shared" si="55"/>
        <v xml:space="preserve"> JULVER</v>
      </c>
    </row>
    <row r="869" spans="1:9" x14ac:dyDescent="0.25">
      <c r="A869" t="s">
        <v>1452</v>
      </c>
      <c r="B869" t="s">
        <v>1453</v>
      </c>
      <c r="C869" s="2">
        <v>35735</v>
      </c>
      <c r="F869" t="str">
        <f t="shared" si="52"/>
        <v>URIARTE RAMOS</v>
      </c>
      <c r="G869" t="str">
        <f t="shared" si="53"/>
        <v>URIARTE</v>
      </c>
      <c r="H869" t="str">
        <f t="shared" si="54"/>
        <v>RAMOS</v>
      </c>
      <c r="I869" t="str">
        <f t="shared" si="55"/>
        <v xml:space="preserve"> AXEL</v>
      </c>
    </row>
    <row r="870" spans="1:9" x14ac:dyDescent="0.25">
      <c r="A870" t="s">
        <v>1454</v>
      </c>
      <c r="B870" t="s">
        <v>1455</v>
      </c>
      <c r="C870" s="2">
        <v>33940</v>
      </c>
      <c r="D870" t="s">
        <v>1743</v>
      </c>
      <c r="F870" t="str">
        <f t="shared" si="52"/>
        <v>MONTES BEJAR</v>
      </c>
      <c r="G870" t="str">
        <f t="shared" si="53"/>
        <v>MONTES</v>
      </c>
      <c r="H870" t="str">
        <f t="shared" si="54"/>
        <v>BEJAR</v>
      </c>
      <c r="I870" t="str">
        <f t="shared" si="55"/>
        <v xml:space="preserve"> CHRISTIAN ROBERTO</v>
      </c>
    </row>
    <row r="871" spans="1:9" x14ac:dyDescent="0.25">
      <c r="A871" t="s">
        <v>1456</v>
      </c>
      <c r="B871" t="s">
        <v>1457</v>
      </c>
      <c r="C871" s="2">
        <v>35176</v>
      </c>
      <c r="D871" t="s">
        <v>1743</v>
      </c>
      <c r="F871" t="str">
        <f t="shared" si="52"/>
        <v>CASTAÑEDA MEZA</v>
      </c>
      <c r="G871" t="str">
        <f t="shared" si="53"/>
        <v>CASTAÑEDA</v>
      </c>
      <c r="H871" t="str">
        <f t="shared" si="54"/>
        <v>MEZA</v>
      </c>
      <c r="I871" t="str">
        <f t="shared" si="55"/>
        <v xml:space="preserve"> JUAN ISAI</v>
      </c>
    </row>
    <row r="872" spans="1:9" x14ac:dyDescent="0.25">
      <c r="A872" t="s">
        <v>1458</v>
      </c>
      <c r="B872" t="s">
        <v>1459</v>
      </c>
      <c r="C872" s="2">
        <v>34986</v>
      </c>
      <c r="D872" t="s">
        <v>1743</v>
      </c>
      <c r="F872" t="str">
        <f t="shared" si="52"/>
        <v>ACOSTA TORRES</v>
      </c>
      <c r="G872" t="str">
        <f t="shared" si="53"/>
        <v>ACOSTA</v>
      </c>
      <c r="H872" t="str">
        <f t="shared" si="54"/>
        <v>TORRES</v>
      </c>
      <c r="I872" t="str">
        <f t="shared" si="55"/>
        <v xml:space="preserve"> JULIO CESAR</v>
      </c>
    </row>
    <row r="873" spans="1:9" x14ac:dyDescent="0.25">
      <c r="A873" t="s">
        <v>1460</v>
      </c>
      <c r="B873" t="s">
        <v>1461</v>
      </c>
      <c r="C873" s="2">
        <v>38352</v>
      </c>
      <c r="E873" t="s">
        <v>1703</v>
      </c>
      <c r="F873" t="str">
        <f t="shared" si="52"/>
        <v>CRUZ GONZALES</v>
      </c>
      <c r="G873" t="str">
        <f t="shared" si="53"/>
        <v>CRUZ</v>
      </c>
      <c r="H873" t="str">
        <f t="shared" si="54"/>
        <v>GONZALES</v>
      </c>
      <c r="I873" t="str">
        <f t="shared" si="55"/>
        <v xml:space="preserve"> YORK ALEXANDER</v>
      </c>
    </row>
    <row r="874" spans="1:9" x14ac:dyDescent="0.25">
      <c r="A874" t="s">
        <v>1462</v>
      </c>
      <c r="B874" t="s">
        <v>1463</v>
      </c>
      <c r="C874" s="2">
        <v>33088</v>
      </c>
      <c r="D874" t="s">
        <v>1743</v>
      </c>
      <c r="E874" t="s">
        <v>1704</v>
      </c>
      <c r="F874" t="str">
        <f t="shared" si="52"/>
        <v>CONDE ARCE</v>
      </c>
      <c r="G874" t="str">
        <f t="shared" si="53"/>
        <v>CONDE</v>
      </c>
      <c r="H874" t="str">
        <f t="shared" si="54"/>
        <v>ARCE</v>
      </c>
      <c r="I874" t="str">
        <f t="shared" si="55"/>
        <v xml:space="preserve"> JOB ESTEBAN</v>
      </c>
    </row>
    <row r="875" spans="1:9" x14ac:dyDescent="0.25">
      <c r="A875" t="s">
        <v>1464</v>
      </c>
      <c r="B875" t="s">
        <v>1465</v>
      </c>
      <c r="C875" s="2">
        <v>37697</v>
      </c>
      <c r="D875" t="s">
        <v>1743</v>
      </c>
      <c r="E875" t="s">
        <v>1705</v>
      </c>
      <c r="F875" t="str">
        <f t="shared" si="52"/>
        <v>RAMOS NAVARRO</v>
      </c>
      <c r="G875" t="str">
        <f t="shared" si="53"/>
        <v>RAMOS</v>
      </c>
      <c r="H875" t="str">
        <f t="shared" si="54"/>
        <v>NAVARRO</v>
      </c>
      <c r="I875" t="str">
        <f t="shared" si="55"/>
        <v xml:space="preserve"> MOISES NEHEMIAS</v>
      </c>
    </row>
    <row r="876" spans="1:9" x14ac:dyDescent="0.25">
      <c r="A876" t="s">
        <v>1466</v>
      </c>
      <c r="B876" t="s">
        <v>1467</v>
      </c>
      <c r="C876" s="2">
        <v>34169</v>
      </c>
      <c r="D876" t="s">
        <v>1743</v>
      </c>
      <c r="E876" t="s">
        <v>1706</v>
      </c>
      <c r="F876" t="str">
        <f t="shared" si="52"/>
        <v>MONTALVAN YAHUARA</v>
      </c>
      <c r="G876" t="str">
        <f t="shared" si="53"/>
        <v>MONTALVAN</v>
      </c>
      <c r="H876" t="str">
        <f t="shared" si="54"/>
        <v>YAHUARA</v>
      </c>
      <c r="I876" t="str">
        <f t="shared" si="55"/>
        <v xml:space="preserve"> DENIS_x000D_</v>
      </c>
    </row>
    <row r="877" spans="1:9" x14ac:dyDescent="0.25">
      <c r="A877" t="s">
        <v>1052</v>
      </c>
      <c r="B877" t="s">
        <v>1053</v>
      </c>
      <c r="C877" s="2">
        <v>34662</v>
      </c>
      <c r="D877" t="s">
        <v>1743</v>
      </c>
      <c r="F877" t="str">
        <f t="shared" si="52"/>
        <v>ZAPATA ROSALES</v>
      </c>
      <c r="G877" t="str">
        <f t="shared" si="53"/>
        <v>ZAPATA</v>
      </c>
      <c r="H877" t="str">
        <f t="shared" si="54"/>
        <v>ROSALES</v>
      </c>
      <c r="I877" t="str">
        <f t="shared" si="55"/>
        <v xml:space="preserve"> LUIS ANGEL DEL CARMEN </v>
      </c>
    </row>
    <row r="878" spans="1:9" x14ac:dyDescent="0.25">
      <c r="A878" t="s">
        <v>1468</v>
      </c>
      <c r="B878" t="s">
        <v>1469</v>
      </c>
      <c r="C878" s="2">
        <v>37016</v>
      </c>
      <c r="D878" t="s">
        <v>1743</v>
      </c>
      <c r="E878" t="s">
        <v>1707</v>
      </c>
      <c r="F878" t="str">
        <f t="shared" si="52"/>
        <v>VICUÑA CAJAHUANCA</v>
      </c>
      <c r="G878" t="str">
        <f t="shared" si="53"/>
        <v>VICUÑA</v>
      </c>
      <c r="H878" t="str">
        <f t="shared" si="54"/>
        <v>CAJAHUANCA</v>
      </c>
      <c r="I878" t="str">
        <f t="shared" si="55"/>
        <v xml:space="preserve"> MANUEL FRANCISCO</v>
      </c>
    </row>
    <row r="879" spans="1:9" x14ac:dyDescent="0.25">
      <c r="A879" t="s">
        <v>1470</v>
      </c>
      <c r="B879" t="s">
        <v>1471</v>
      </c>
      <c r="C879" s="2">
        <v>36497</v>
      </c>
      <c r="D879" t="s">
        <v>1743</v>
      </c>
      <c r="E879" t="s">
        <v>1708</v>
      </c>
      <c r="F879" t="str">
        <f t="shared" si="52"/>
        <v>HUAMAN CABALLON</v>
      </c>
      <c r="G879" t="str">
        <f t="shared" si="53"/>
        <v>HUAMAN</v>
      </c>
      <c r="H879" t="str">
        <f t="shared" si="54"/>
        <v>CABALLON</v>
      </c>
      <c r="I879" t="str">
        <f t="shared" si="55"/>
        <v xml:space="preserve"> LUIS FERNANDO</v>
      </c>
    </row>
    <row r="880" spans="1:9" x14ac:dyDescent="0.25">
      <c r="A880" t="s">
        <v>1472</v>
      </c>
      <c r="B880" t="s">
        <v>1473</v>
      </c>
      <c r="C880" s="2">
        <v>32565</v>
      </c>
      <c r="D880" t="s">
        <v>1743</v>
      </c>
      <c r="E880" t="s">
        <v>1709</v>
      </c>
      <c r="F880" t="str">
        <f t="shared" si="52"/>
        <v>ÑIHUIN HERRERA</v>
      </c>
      <c r="G880" t="str">
        <f t="shared" si="53"/>
        <v>ÑIHUIN</v>
      </c>
      <c r="H880" t="str">
        <f t="shared" si="54"/>
        <v>HERRERA</v>
      </c>
      <c r="I880" t="str">
        <f t="shared" si="55"/>
        <v xml:space="preserve"> EDWIN RODRIGO</v>
      </c>
    </row>
    <row r="881" spans="1:9" x14ac:dyDescent="0.25">
      <c r="A881" t="s">
        <v>1474</v>
      </c>
      <c r="B881" t="s">
        <v>1475</v>
      </c>
      <c r="C881" s="2">
        <v>33783</v>
      </c>
      <c r="D881" t="s">
        <v>1743</v>
      </c>
      <c r="E881" t="s">
        <v>1710</v>
      </c>
      <c r="F881" t="str">
        <f t="shared" si="52"/>
        <v>SUAREZ DELGADO</v>
      </c>
      <c r="G881" t="str">
        <f t="shared" si="53"/>
        <v>SUAREZ</v>
      </c>
      <c r="H881" t="str">
        <f t="shared" si="54"/>
        <v>DELGADO</v>
      </c>
      <c r="I881" t="str">
        <f t="shared" si="55"/>
        <v xml:space="preserve"> MIGUEL ANGEL</v>
      </c>
    </row>
    <row r="882" spans="1:9" x14ac:dyDescent="0.25">
      <c r="A882" t="s">
        <v>1476</v>
      </c>
      <c r="B882" t="s">
        <v>1477</v>
      </c>
      <c r="C882" s="2">
        <v>35752</v>
      </c>
      <c r="D882" t="s">
        <v>1743</v>
      </c>
      <c r="E882" t="s">
        <v>1711</v>
      </c>
      <c r="F882" t="str">
        <f t="shared" si="52"/>
        <v>MENDOZA DIAZ</v>
      </c>
      <c r="G882" t="str">
        <f t="shared" si="53"/>
        <v>MENDOZA</v>
      </c>
      <c r="H882" t="str">
        <f t="shared" si="54"/>
        <v>DIAZ</v>
      </c>
      <c r="I882" t="str">
        <f t="shared" si="55"/>
        <v xml:space="preserve"> JUNIOR MELANIO</v>
      </c>
    </row>
    <row r="883" spans="1:9" x14ac:dyDescent="0.25">
      <c r="A883" t="s">
        <v>48</v>
      </c>
      <c r="B883" t="s">
        <v>49</v>
      </c>
      <c r="C883" s="2">
        <v>28822</v>
      </c>
      <c r="D883" t="s">
        <v>1743</v>
      </c>
      <c r="F883" t="str">
        <f t="shared" si="52"/>
        <v>CHIQUILLAN CCEÑUA</v>
      </c>
      <c r="G883" t="str">
        <f t="shared" si="53"/>
        <v>CHIQUILLAN</v>
      </c>
      <c r="H883" t="str">
        <f t="shared" si="54"/>
        <v>CCEÑUA</v>
      </c>
      <c r="I883" t="str">
        <f t="shared" si="55"/>
        <v xml:space="preserve"> ESTEBAN SANTIAGO</v>
      </c>
    </row>
    <row r="884" spans="1:9" x14ac:dyDescent="0.25">
      <c r="A884" t="s">
        <v>1478</v>
      </c>
      <c r="B884" t="s">
        <v>1479</v>
      </c>
      <c r="C884" s="2">
        <v>29443</v>
      </c>
      <c r="D884" t="s">
        <v>1743</v>
      </c>
      <c r="E884" t="s">
        <v>1712</v>
      </c>
      <c r="F884" t="str">
        <f t="shared" si="52"/>
        <v>CAMPOS PONCE</v>
      </c>
      <c r="G884" t="str">
        <f t="shared" si="53"/>
        <v>CAMPOS</v>
      </c>
      <c r="H884" t="str">
        <f t="shared" si="54"/>
        <v>PONCE</v>
      </c>
      <c r="I884" t="str">
        <f t="shared" si="55"/>
        <v xml:space="preserve"> HANS JAIRS </v>
      </c>
    </row>
    <row r="885" spans="1:9" x14ac:dyDescent="0.25">
      <c r="A885" t="s">
        <v>1480</v>
      </c>
      <c r="B885" t="s">
        <v>1481</v>
      </c>
      <c r="C885" s="2">
        <v>34341</v>
      </c>
      <c r="D885" t="s">
        <v>1743</v>
      </c>
      <c r="E885" t="s">
        <v>1713</v>
      </c>
      <c r="F885" t="str">
        <f t="shared" si="52"/>
        <v>ARROYO MORALES</v>
      </c>
      <c r="G885" t="str">
        <f t="shared" si="53"/>
        <v>ARROYO</v>
      </c>
      <c r="H885" t="str">
        <f t="shared" si="54"/>
        <v>MORALES</v>
      </c>
      <c r="I885" t="str">
        <f t="shared" si="55"/>
        <v xml:space="preserve"> EDGAR YHORDI</v>
      </c>
    </row>
    <row r="886" spans="1:9" x14ac:dyDescent="0.25">
      <c r="A886" t="s">
        <v>1482</v>
      </c>
      <c r="B886" t="s">
        <v>1483</v>
      </c>
      <c r="C886" s="2">
        <v>35895</v>
      </c>
      <c r="D886" t="s">
        <v>1743</v>
      </c>
      <c r="E886" t="s">
        <v>1714</v>
      </c>
      <c r="F886" t="str">
        <f t="shared" si="52"/>
        <v>DUEÑAS HUAYAMA</v>
      </c>
      <c r="G886" t="str">
        <f t="shared" si="53"/>
        <v>DUEÑAS</v>
      </c>
      <c r="H886" t="str">
        <f t="shared" si="54"/>
        <v>HUAYAMA</v>
      </c>
      <c r="I886" t="str">
        <f t="shared" si="55"/>
        <v xml:space="preserve"> MAURICIO JESUS</v>
      </c>
    </row>
    <row r="887" spans="1:9" x14ac:dyDescent="0.25">
      <c r="A887" t="s">
        <v>1484</v>
      </c>
      <c r="B887" t="s">
        <v>1485</v>
      </c>
      <c r="C887" s="2">
        <v>34037</v>
      </c>
      <c r="D887" t="s">
        <v>1743</v>
      </c>
      <c r="E887" t="s">
        <v>1715</v>
      </c>
      <c r="F887" t="str">
        <f t="shared" si="52"/>
        <v>OBLEA CHERO</v>
      </c>
      <c r="G887" t="str">
        <f t="shared" si="53"/>
        <v>OBLEA</v>
      </c>
      <c r="H887" t="str">
        <f t="shared" si="54"/>
        <v>CHERO</v>
      </c>
      <c r="I887" t="str">
        <f t="shared" si="55"/>
        <v xml:space="preserve"> VICTOR RAUL</v>
      </c>
    </row>
    <row r="888" spans="1:9" x14ac:dyDescent="0.25">
      <c r="A888" t="s">
        <v>1486</v>
      </c>
      <c r="B888" t="s">
        <v>1487</v>
      </c>
      <c r="C888" s="2">
        <v>34378</v>
      </c>
      <c r="D888" t="s">
        <v>1743</v>
      </c>
      <c r="E888" t="s">
        <v>1716</v>
      </c>
      <c r="F888" t="str">
        <f t="shared" si="52"/>
        <v>HURTADO ALCANTARA</v>
      </c>
      <c r="G888" t="str">
        <f t="shared" si="53"/>
        <v>HURTADO</v>
      </c>
      <c r="H888" t="str">
        <f t="shared" si="54"/>
        <v>ALCANTARA</v>
      </c>
      <c r="I888" t="str">
        <f t="shared" si="55"/>
        <v xml:space="preserve"> JORGE JAIR</v>
      </c>
    </row>
    <row r="889" spans="1:9" x14ac:dyDescent="0.25">
      <c r="A889" t="s">
        <v>1488</v>
      </c>
      <c r="B889" t="s">
        <v>1489</v>
      </c>
      <c r="C889" s="2">
        <v>33669</v>
      </c>
      <c r="D889" t="s">
        <v>1743</v>
      </c>
      <c r="E889" t="s">
        <v>1717</v>
      </c>
      <c r="F889" t="str">
        <f t="shared" si="52"/>
        <v>LAURA TOSCANO</v>
      </c>
      <c r="G889" t="str">
        <f t="shared" si="53"/>
        <v>LAURA</v>
      </c>
      <c r="H889" t="str">
        <f t="shared" si="54"/>
        <v>TOSCANO</v>
      </c>
      <c r="I889" t="str">
        <f t="shared" si="55"/>
        <v xml:space="preserve"> YEFFERSON PIERRE</v>
      </c>
    </row>
    <row r="890" spans="1:9" x14ac:dyDescent="0.25">
      <c r="A890" t="s">
        <v>1490</v>
      </c>
      <c r="B890" t="s">
        <v>1491</v>
      </c>
      <c r="C890" s="2">
        <v>31734</v>
      </c>
      <c r="D890" t="s">
        <v>1743</v>
      </c>
      <c r="E890" t="s">
        <v>1718</v>
      </c>
      <c r="F890" t="str">
        <f t="shared" si="52"/>
        <v>VITE CELEDONIO</v>
      </c>
      <c r="G890" t="str">
        <f t="shared" si="53"/>
        <v>VITE</v>
      </c>
      <c r="H890" t="str">
        <f t="shared" si="54"/>
        <v>CELEDONIO</v>
      </c>
      <c r="I890" t="str">
        <f t="shared" si="55"/>
        <v xml:space="preserve"> PEDRO MANUEL</v>
      </c>
    </row>
    <row r="891" spans="1:9" x14ac:dyDescent="0.25">
      <c r="A891" t="s">
        <v>1492</v>
      </c>
      <c r="B891" t="s">
        <v>1493</v>
      </c>
      <c r="C891" s="2">
        <v>36742</v>
      </c>
      <c r="D891" t="s">
        <v>1743</v>
      </c>
      <c r="F891" t="str">
        <f t="shared" si="52"/>
        <v>ZEVALLOS RAMOS</v>
      </c>
      <c r="G891" t="str">
        <f t="shared" si="53"/>
        <v>ZEVALLOS</v>
      </c>
      <c r="H891" t="str">
        <f t="shared" si="54"/>
        <v>RAMOS</v>
      </c>
      <c r="I891" t="str">
        <f t="shared" si="55"/>
        <v xml:space="preserve"> MICHAEL SMITH</v>
      </c>
    </row>
    <row r="892" spans="1:9" x14ac:dyDescent="0.25">
      <c r="A892" t="s">
        <v>1494</v>
      </c>
      <c r="B892" t="s">
        <v>1495</v>
      </c>
      <c r="C892" s="2">
        <v>36237</v>
      </c>
      <c r="D892" t="s">
        <v>1743</v>
      </c>
      <c r="E892" t="s">
        <v>1719</v>
      </c>
      <c r="F892" t="str">
        <f t="shared" si="52"/>
        <v>FERNANDEZ VILLEGAS</v>
      </c>
      <c r="G892" t="str">
        <f t="shared" si="53"/>
        <v>FERNANDEZ</v>
      </c>
      <c r="H892" t="str">
        <f t="shared" si="54"/>
        <v>VILLEGAS</v>
      </c>
      <c r="I892" t="str">
        <f t="shared" si="55"/>
        <v xml:space="preserve"> MARCELO </v>
      </c>
    </row>
    <row r="893" spans="1:9" x14ac:dyDescent="0.25">
      <c r="A893" t="s">
        <v>1496</v>
      </c>
      <c r="B893" t="s">
        <v>1497</v>
      </c>
      <c r="C893" s="2">
        <v>34507</v>
      </c>
      <c r="D893" t="s">
        <v>1743</v>
      </c>
      <c r="E893" t="s">
        <v>1720</v>
      </c>
      <c r="F893" t="str">
        <f t="shared" si="52"/>
        <v>IPANAQUE TUÑOQUE</v>
      </c>
      <c r="G893" t="str">
        <f t="shared" si="53"/>
        <v>IPANAQUE</v>
      </c>
      <c r="H893" t="str">
        <f t="shared" si="54"/>
        <v>TUÑOQUE</v>
      </c>
      <c r="I893" t="str">
        <f t="shared" si="55"/>
        <v xml:space="preserve"> JESUS ALBERTO</v>
      </c>
    </row>
    <row r="894" spans="1:9" x14ac:dyDescent="0.25">
      <c r="A894" t="s">
        <v>1498</v>
      </c>
      <c r="B894" t="s">
        <v>1499</v>
      </c>
      <c r="C894" s="2">
        <v>35795</v>
      </c>
      <c r="D894" t="s">
        <v>1743</v>
      </c>
      <c r="F894" t="str">
        <f t="shared" si="52"/>
        <v>HINOJOSA ORDOÑEZ</v>
      </c>
      <c r="G894" t="str">
        <f t="shared" si="53"/>
        <v>HINOJOSA</v>
      </c>
      <c r="H894" t="str">
        <f t="shared" si="54"/>
        <v>ORDOÑEZ</v>
      </c>
      <c r="I894" t="str">
        <f t="shared" si="55"/>
        <v xml:space="preserve"> DIEGO ALVARO</v>
      </c>
    </row>
    <row r="895" spans="1:9" x14ac:dyDescent="0.25">
      <c r="A895" t="s">
        <v>1500</v>
      </c>
      <c r="B895" t="s">
        <v>1501</v>
      </c>
      <c r="C895" s="2">
        <v>35042</v>
      </c>
      <c r="D895" t="s">
        <v>1743</v>
      </c>
      <c r="E895" t="s">
        <v>1721</v>
      </c>
      <c r="F895" t="str">
        <f t="shared" si="52"/>
        <v>CACERES ANGELES</v>
      </c>
      <c r="G895" t="str">
        <f t="shared" si="53"/>
        <v>CACERES</v>
      </c>
      <c r="H895" t="str">
        <f t="shared" si="54"/>
        <v>ANGELES</v>
      </c>
      <c r="I895" t="str">
        <f t="shared" si="55"/>
        <v xml:space="preserve"> ANGEL NILTON</v>
      </c>
    </row>
    <row r="896" spans="1:9" x14ac:dyDescent="0.25">
      <c r="A896" t="s">
        <v>1179</v>
      </c>
      <c r="B896" t="s">
        <v>1180</v>
      </c>
      <c r="C896" s="2">
        <v>31995</v>
      </c>
      <c r="D896" t="s">
        <v>1743</v>
      </c>
      <c r="E896" t="s">
        <v>1613</v>
      </c>
      <c r="F896" t="str">
        <f t="shared" si="52"/>
        <v>OLAYA ALVARADO</v>
      </c>
      <c r="G896" t="str">
        <f t="shared" si="53"/>
        <v>OLAYA</v>
      </c>
      <c r="H896" t="str">
        <f t="shared" si="54"/>
        <v>ALVARADO</v>
      </c>
      <c r="I896" t="str">
        <f t="shared" si="55"/>
        <v xml:space="preserve"> JOHN YEISON</v>
      </c>
    </row>
    <row r="897" spans="1:9" x14ac:dyDescent="0.25">
      <c r="A897" t="s">
        <v>1209</v>
      </c>
      <c r="B897" t="s">
        <v>1210</v>
      </c>
      <c r="C897" s="2">
        <v>36535</v>
      </c>
      <c r="D897" t="s">
        <v>1743</v>
      </c>
      <c r="E897" t="s">
        <v>1620</v>
      </c>
      <c r="F897" t="str">
        <f t="shared" si="52"/>
        <v>GONZALES COVEÑAS</v>
      </c>
      <c r="G897" t="str">
        <f t="shared" si="53"/>
        <v>GONZALES</v>
      </c>
      <c r="H897" t="str">
        <f t="shared" si="54"/>
        <v>COVEÑAS</v>
      </c>
      <c r="I897" t="str">
        <f t="shared" si="55"/>
        <v xml:space="preserve"> JUNIOR OMAR </v>
      </c>
    </row>
    <row r="898" spans="1:9" x14ac:dyDescent="0.25">
      <c r="A898" t="s">
        <v>1502</v>
      </c>
      <c r="B898" t="s">
        <v>1503</v>
      </c>
      <c r="C898" s="2">
        <v>35142</v>
      </c>
      <c r="D898" t="s">
        <v>1743</v>
      </c>
      <c r="E898" t="s">
        <v>1722</v>
      </c>
      <c r="F898" t="str">
        <f t="shared" si="52"/>
        <v>DAVALOS GALICIA</v>
      </c>
      <c r="G898" t="str">
        <f t="shared" si="53"/>
        <v>DAVALOS</v>
      </c>
      <c r="H898" t="str">
        <f t="shared" si="54"/>
        <v>GALICIA</v>
      </c>
      <c r="I898" t="str">
        <f t="shared" si="55"/>
        <v xml:space="preserve"> ROMAY BRYAN</v>
      </c>
    </row>
    <row r="899" spans="1:9" x14ac:dyDescent="0.25">
      <c r="A899" t="s">
        <v>1504</v>
      </c>
      <c r="B899" t="s">
        <v>1505</v>
      </c>
      <c r="C899" s="2">
        <v>35433</v>
      </c>
      <c r="D899" t="s">
        <v>1743</v>
      </c>
      <c r="E899" t="s">
        <v>1723</v>
      </c>
      <c r="F899" t="str">
        <f t="shared" ref="F899:F928" si="56">LEFT(B899,SEARCH(",",B899)-1)</f>
        <v>ARIAS PANEBRA</v>
      </c>
      <c r="G899" t="str">
        <f t="shared" ref="G899:G928" si="57">LEFT(F899,SEARCH(" ",F899)-1)</f>
        <v>ARIAS</v>
      </c>
      <c r="H899" t="str">
        <f t="shared" ref="H899:H928" si="58">RIGHT(F899,LEN(F899)- SEARCH(" ",F899))</f>
        <v>PANEBRA</v>
      </c>
      <c r="I899" t="str">
        <f t="shared" ref="I899:I928" si="59">RIGHT(B899,LEN(B899)- SEARCH(",",B899))</f>
        <v xml:space="preserve"> CARLOS ANTONIO</v>
      </c>
    </row>
    <row r="900" spans="1:9" x14ac:dyDescent="0.25">
      <c r="A900" t="s">
        <v>1506</v>
      </c>
      <c r="B900" t="s">
        <v>1507</v>
      </c>
      <c r="C900" s="2">
        <v>37519</v>
      </c>
      <c r="D900" t="s">
        <v>1743</v>
      </c>
      <c r="F900" t="str">
        <f t="shared" si="56"/>
        <v>ALVARADO MEDINA</v>
      </c>
      <c r="G900" t="str">
        <f t="shared" si="57"/>
        <v>ALVARADO</v>
      </c>
      <c r="H900" t="str">
        <f t="shared" si="58"/>
        <v>MEDINA</v>
      </c>
      <c r="I900" t="str">
        <f t="shared" si="59"/>
        <v xml:space="preserve"> RODRIGO ENRIQUE</v>
      </c>
    </row>
    <row r="901" spans="1:9" x14ac:dyDescent="0.25">
      <c r="A901" t="s">
        <v>1508</v>
      </c>
      <c r="B901" t="s">
        <v>1509</v>
      </c>
      <c r="C901" s="2">
        <v>27261</v>
      </c>
      <c r="D901" t="s">
        <v>1743</v>
      </c>
      <c r="F901" t="str">
        <f t="shared" si="56"/>
        <v>GALLEGOS ABAD</v>
      </c>
      <c r="G901" t="str">
        <f t="shared" si="57"/>
        <v>GALLEGOS</v>
      </c>
      <c r="H901" t="str">
        <f t="shared" si="58"/>
        <v>ABAD</v>
      </c>
      <c r="I901" t="str">
        <f t="shared" si="59"/>
        <v xml:space="preserve"> GEYNER</v>
      </c>
    </row>
    <row r="902" spans="1:9" x14ac:dyDescent="0.25">
      <c r="A902" t="s">
        <v>1510</v>
      </c>
      <c r="B902" t="s">
        <v>1511</v>
      </c>
      <c r="C902" s="2">
        <v>34070</v>
      </c>
      <c r="D902" t="s">
        <v>1743</v>
      </c>
      <c r="E902" t="s">
        <v>1724</v>
      </c>
      <c r="F902" t="str">
        <f t="shared" si="56"/>
        <v>VIERA GARRIDO</v>
      </c>
      <c r="G902" t="str">
        <f t="shared" si="57"/>
        <v>VIERA</v>
      </c>
      <c r="H902" t="str">
        <f t="shared" si="58"/>
        <v>GARRIDO</v>
      </c>
      <c r="I902" t="str">
        <f t="shared" si="59"/>
        <v xml:space="preserve"> GUSTAVO ERNESTO</v>
      </c>
    </row>
    <row r="903" spans="1:9" x14ac:dyDescent="0.25">
      <c r="A903" t="s">
        <v>1512</v>
      </c>
      <c r="B903" t="s">
        <v>1513</v>
      </c>
      <c r="C903" s="2">
        <v>35688</v>
      </c>
      <c r="D903" t="s">
        <v>1743</v>
      </c>
      <c r="E903" t="s">
        <v>1725</v>
      </c>
      <c r="F903" t="str">
        <f t="shared" si="56"/>
        <v>BEDOYA PIANO</v>
      </c>
      <c r="G903" t="str">
        <f t="shared" si="57"/>
        <v>BEDOYA</v>
      </c>
      <c r="H903" t="str">
        <f t="shared" si="58"/>
        <v>PIANO</v>
      </c>
      <c r="I903" t="str">
        <f t="shared" si="59"/>
        <v xml:space="preserve"> ALEX JERRY</v>
      </c>
    </row>
    <row r="904" spans="1:9" x14ac:dyDescent="0.25">
      <c r="A904" t="s">
        <v>1514</v>
      </c>
      <c r="B904" t="s">
        <v>1515</v>
      </c>
      <c r="C904" s="2">
        <v>34393</v>
      </c>
      <c r="D904" t="s">
        <v>1743</v>
      </c>
      <c r="E904" t="s">
        <v>1726</v>
      </c>
      <c r="F904" t="str">
        <f t="shared" si="56"/>
        <v>MORE VILLEGAS</v>
      </c>
      <c r="G904" t="str">
        <f t="shared" si="57"/>
        <v>MORE</v>
      </c>
      <c r="H904" t="str">
        <f t="shared" si="58"/>
        <v>VILLEGAS</v>
      </c>
      <c r="I904" t="str">
        <f t="shared" si="59"/>
        <v xml:space="preserve"> EDGAR IVAN</v>
      </c>
    </row>
    <row r="905" spans="1:9" x14ac:dyDescent="0.25">
      <c r="A905" t="s">
        <v>1516</v>
      </c>
      <c r="B905" t="s">
        <v>1517</v>
      </c>
      <c r="C905" s="2">
        <v>36869</v>
      </c>
      <c r="D905" t="s">
        <v>1743</v>
      </c>
      <c r="E905" t="s">
        <v>1727</v>
      </c>
      <c r="F905" t="str">
        <f t="shared" si="56"/>
        <v>VASQUEZ GARCIA</v>
      </c>
      <c r="G905" t="str">
        <f t="shared" si="57"/>
        <v>VASQUEZ</v>
      </c>
      <c r="H905" t="str">
        <f t="shared" si="58"/>
        <v>GARCIA</v>
      </c>
      <c r="I905" t="str">
        <f t="shared" si="59"/>
        <v xml:space="preserve"> FERNANDO JOEL</v>
      </c>
    </row>
    <row r="906" spans="1:9" x14ac:dyDescent="0.25">
      <c r="A906" t="s">
        <v>1518</v>
      </c>
      <c r="B906" t="s">
        <v>1519</v>
      </c>
      <c r="C906" s="2">
        <v>37284</v>
      </c>
      <c r="D906" t="s">
        <v>1743</v>
      </c>
      <c r="E906" t="s">
        <v>1728</v>
      </c>
      <c r="F906" t="str">
        <f t="shared" si="56"/>
        <v>VELIZ LIZARRAGA</v>
      </c>
      <c r="G906" t="str">
        <f t="shared" si="57"/>
        <v>VELIZ</v>
      </c>
      <c r="H906" t="str">
        <f t="shared" si="58"/>
        <v>LIZARRAGA</v>
      </c>
      <c r="I906" t="str">
        <f t="shared" si="59"/>
        <v xml:space="preserve"> CRISTOFER</v>
      </c>
    </row>
    <row r="907" spans="1:9" x14ac:dyDescent="0.25">
      <c r="A907" t="s">
        <v>1520</v>
      </c>
      <c r="B907" t="s">
        <v>1521</v>
      </c>
      <c r="C907" s="2">
        <v>35596</v>
      </c>
      <c r="D907" t="s">
        <v>1743</v>
      </c>
      <c r="F907" t="str">
        <f t="shared" si="56"/>
        <v>NEYRA GOMEZ</v>
      </c>
      <c r="G907" t="str">
        <f t="shared" si="57"/>
        <v>NEYRA</v>
      </c>
      <c r="H907" t="str">
        <f t="shared" si="58"/>
        <v>GOMEZ</v>
      </c>
      <c r="I907" t="str">
        <f t="shared" si="59"/>
        <v xml:space="preserve"> HENRY</v>
      </c>
    </row>
    <row r="908" spans="1:9" x14ac:dyDescent="0.25">
      <c r="A908" t="s">
        <v>1522</v>
      </c>
      <c r="B908" t="s">
        <v>1523</v>
      </c>
      <c r="C908" s="2">
        <v>36289</v>
      </c>
      <c r="D908" t="s">
        <v>1743</v>
      </c>
      <c r="E908" t="s">
        <v>1729</v>
      </c>
      <c r="F908" t="str">
        <f t="shared" si="56"/>
        <v>CORREA FIGUEROA</v>
      </c>
      <c r="G908" t="str">
        <f t="shared" si="57"/>
        <v>CORREA</v>
      </c>
      <c r="H908" t="str">
        <f t="shared" si="58"/>
        <v>FIGUEROA</v>
      </c>
      <c r="I908" t="str">
        <f t="shared" si="59"/>
        <v xml:space="preserve"> CESAR ISRAEL</v>
      </c>
    </row>
    <row r="909" spans="1:9" x14ac:dyDescent="0.25">
      <c r="A909" t="s">
        <v>1524</v>
      </c>
      <c r="B909" t="s">
        <v>1525</v>
      </c>
      <c r="C909" s="2">
        <v>38658</v>
      </c>
      <c r="D909" t="s">
        <v>1743</v>
      </c>
      <c r="E909" t="s">
        <v>1730</v>
      </c>
      <c r="F909" t="str">
        <f t="shared" si="56"/>
        <v>CHAVEZ AYALA</v>
      </c>
      <c r="G909" t="str">
        <f t="shared" si="57"/>
        <v>CHAVEZ</v>
      </c>
      <c r="H909" t="str">
        <f t="shared" si="58"/>
        <v>AYALA</v>
      </c>
      <c r="I909" t="str">
        <f t="shared" si="59"/>
        <v xml:space="preserve"> WALTER ADRIAN</v>
      </c>
    </row>
    <row r="910" spans="1:9" x14ac:dyDescent="0.25">
      <c r="A910" t="s">
        <v>1526</v>
      </c>
      <c r="B910" t="s">
        <v>1527</v>
      </c>
      <c r="C910" s="2">
        <v>34497</v>
      </c>
      <c r="D910" t="s">
        <v>1743</v>
      </c>
      <c r="F910" t="str">
        <f t="shared" si="56"/>
        <v>RODRIGUEZ MAMANI</v>
      </c>
      <c r="G910" t="str">
        <f t="shared" si="57"/>
        <v>RODRIGUEZ</v>
      </c>
      <c r="H910" t="str">
        <f t="shared" si="58"/>
        <v>MAMANI</v>
      </c>
      <c r="I910" t="str">
        <f t="shared" si="59"/>
        <v xml:space="preserve"> WILBER</v>
      </c>
    </row>
    <row r="911" spans="1:9" x14ac:dyDescent="0.25">
      <c r="A911" t="s">
        <v>1528</v>
      </c>
      <c r="B911" t="s">
        <v>1529</v>
      </c>
      <c r="C911" s="2">
        <v>36560</v>
      </c>
      <c r="D911" t="s">
        <v>1743</v>
      </c>
      <c r="E911" t="s">
        <v>1731</v>
      </c>
      <c r="F911" t="str">
        <f t="shared" si="56"/>
        <v>PEREZ ALBINO</v>
      </c>
      <c r="G911" t="str">
        <f t="shared" si="57"/>
        <v>PEREZ</v>
      </c>
      <c r="H911" t="str">
        <f t="shared" si="58"/>
        <v>ALBINO</v>
      </c>
      <c r="I911" t="str">
        <f t="shared" si="59"/>
        <v xml:space="preserve"> WILDER VICTOR</v>
      </c>
    </row>
    <row r="912" spans="1:9" x14ac:dyDescent="0.25">
      <c r="A912" t="s">
        <v>1530</v>
      </c>
      <c r="B912" t="s">
        <v>1531</v>
      </c>
      <c r="C912" s="2">
        <v>31803</v>
      </c>
      <c r="D912" t="s">
        <v>1743</v>
      </c>
      <c r="E912" t="s">
        <v>1732</v>
      </c>
      <c r="F912" t="str">
        <f t="shared" si="56"/>
        <v>ORTIZ DE LA CRUZ</v>
      </c>
      <c r="G912" t="str">
        <f t="shared" si="57"/>
        <v>ORTIZ</v>
      </c>
      <c r="H912" t="str">
        <f t="shared" si="58"/>
        <v>DE LA CRUZ</v>
      </c>
      <c r="I912" t="str">
        <f t="shared" si="59"/>
        <v xml:space="preserve"> HIVAR LEONIDES</v>
      </c>
    </row>
    <row r="913" spans="1:9" x14ac:dyDescent="0.25">
      <c r="A913" t="s">
        <v>1532</v>
      </c>
      <c r="B913" t="s">
        <v>1533</v>
      </c>
      <c r="C913" s="2">
        <v>35633</v>
      </c>
      <c r="D913" t="s">
        <v>1743</v>
      </c>
      <c r="F913" t="str">
        <f t="shared" si="56"/>
        <v>GUILLEN TUBILLAS</v>
      </c>
      <c r="G913" t="str">
        <f t="shared" si="57"/>
        <v>GUILLEN</v>
      </c>
      <c r="H913" t="str">
        <f t="shared" si="58"/>
        <v>TUBILLAS</v>
      </c>
      <c r="I913" t="str">
        <f t="shared" si="59"/>
        <v xml:space="preserve"> JUAN DANIEL</v>
      </c>
    </row>
    <row r="914" spans="1:9" x14ac:dyDescent="0.25">
      <c r="A914" t="s">
        <v>1534</v>
      </c>
      <c r="B914" t="s">
        <v>1535</v>
      </c>
      <c r="C914" s="2">
        <v>37761</v>
      </c>
      <c r="D914" t="s">
        <v>1743</v>
      </c>
      <c r="E914" t="s">
        <v>1733</v>
      </c>
      <c r="F914" t="str">
        <f t="shared" si="56"/>
        <v>FLORES ACUÑA</v>
      </c>
      <c r="G914" t="str">
        <f t="shared" si="57"/>
        <v>FLORES</v>
      </c>
      <c r="H914" t="str">
        <f t="shared" si="58"/>
        <v>ACUÑA</v>
      </c>
      <c r="I914" t="str">
        <f t="shared" si="59"/>
        <v xml:space="preserve"> IAN ANTHONY</v>
      </c>
    </row>
    <row r="915" spans="1:9" x14ac:dyDescent="0.25">
      <c r="A915" t="s">
        <v>1536</v>
      </c>
      <c r="B915" t="s">
        <v>1537</v>
      </c>
      <c r="C915" s="2">
        <v>35846</v>
      </c>
      <c r="D915" t="s">
        <v>1743</v>
      </c>
      <c r="F915" t="str">
        <f t="shared" si="56"/>
        <v>BALDEON CANCHUMANYA</v>
      </c>
      <c r="G915" t="str">
        <f t="shared" si="57"/>
        <v>BALDEON</v>
      </c>
      <c r="H915" t="str">
        <f t="shared" si="58"/>
        <v>CANCHUMANYA</v>
      </c>
      <c r="I915" t="str">
        <f t="shared" si="59"/>
        <v xml:space="preserve"> ANDRES YOSBALL</v>
      </c>
    </row>
    <row r="916" spans="1:9" x14ac:dyDescent="0.25">
      <c r="A916" t="s">
        <v>1538</v>
      </c>
      <c r="B916" t="s">
        <v>1539</v>
      </c>
      <c r="C916" s="2">
        <v>35686</v>
      </c>
      <c r="D916" t="s">
        <v>1743</v>
      </c>
      <c r="E916" t="s">
        <v>1734</v>
      </c>
      <c r="F916" t="str">
        <f t="shared" si="56"/>
        <v>POCCO GOMEZ</v>
      </c>
      <c r="G916" t="str">
        <f t="shared" si="57"/>
        <v>POCCO</v>
      </c>
      <c r="H916" t="str">
        <f t="shared" si="58"/>
        <v>GOMEZ</v>
      </c>
      <c r="I916" t="str">
        <f t="shared" si="59"/>
        <v xml:space="preserve"> CARLOS SIMON</v>
      </c>
    </row>
    <row r="917" spans="1:9" x14ac:dyDescent="0.25">
      <c r="A917" t="s">
        <v>570</v>
      </c>
      <c r="B917" t="s">
        <v>571</v>
      </c>
      <c r="C917" s="2">
        <v>31057</v>
      </c>
      <c r="D917" t="s">
        <v>1743</v>
      </c>
      <c r="E917" t="s">
        <v>1574</v>
      </c>
      <c r="F917" t="str">
        <f t="shared" si="56"/>
        <v>TORRES BENITES</v>
      </c>
      <c r="G917" t="str">
        <f t="shared" si="57"/>
        <v>TORRES</v>
      </c>
      <c r="H917" t="str">
        <f t="shared" si="58"/>
        <v>BENITES</v>
      </c>
      <c r="I917" t="str">
        <f t="shared" si="59"/>
        <v xml:space="preserve"> JUAN CARLOS IVAN</v>
      </c>
    </row>
    <row r="918" spans="1:9" x14ac:dyDescent="0.25">
      <c r="A918" t="s">
        <v>1540</v>
      </c>
      <c r="B918" t="s">
        <v>1541</v>
      </c>
      <c r="C918" s="2">
        <v>30617</v>
      </c>
      <c r="D918" t="s">
        <v>1743</v>
      </c>
      <c r="F918" t="str">
        <f t="shared" si="56"/>
        <v>OLIVA LEON</v>
      </c>
      <c r="G918" t="str">
        <f t="shared" si="57"/>
        <v>OLIVA</v>
      </c>
      <c r="H918" t="str">
        <f t="shared" si="58"/>
        <v>LEON</v>
      </c>
      <c r="I918" t="str">
        <f t="shared" si="59"/>
        <v xml:space="preserve"> ERICK VLADIMIR</v>
      </c>
    </row>
    <row r="919" spans="1:9" x14ac:dyDescent="0.25">
      <c r="A919" t="s">
        <v>1542</v>
      </c>
      <c r="B919" t="s">
        <v>1543</v>
      </c>
      <c r="C919" s="2">
        <v>34716</v>
      </c>
      <c r="D919" t="s">
        <v>1744</v>
      </c>
      <c r="E919" t="s">
        <v>1735</v>
      </c>
      <c r="F919" t="str">
        <f t="shared" si="56"/>
        <v>CARRERA CONTRERAS</v>
      </c>
      <c r="G919" t="str">
        <f t="shared" si="57"/>
        <v>CARRERA</v>
      </c>
      <c r="H919" t="str">
        <f t="shared" si="58"/>
        <v>CONTRERAS</v>
      </c>
      <c r="I919" t="str">
        <f t="shared" si="59"/>
        <v xml:space="preserve"> CLAUDIA AMERICA ESTHER</v>
      </c>
    </row>
    <row r="920" spans="1:9" x14ac:dyDescent="0.25">
      <c r="A920" t="s">
        <v>1544</v>
      </c>
      <c r="B920" t="s">
        <v>1545</v>
      </c>
      <c r="C920" s="2">
        <v>36714</v>
      </c>
      <c r="D920" t="s">
        <v>1743</v>
      </c>
      <c r="E920" t="s">
        <v>1736</v>
      </c>
      <c r="F920" t="str">
        <f t="shared" si="56"/>
        <v>TIMANA AGUIRRE</v>
      </c>
      <c r="G920" t="str">
        <f t="shared" si="57"/>
        <v>TIMANA</v>
      </c>
      <c r="H920" t="str">
        <f t="shared" si="58"/>
        <v>AGUIRRE</v>
      </c>
      <c r="I920" t="str">
        <f t="shared" si="59"/>
        <v xml:space="preserve"> JOSE ROBERT</v>
      </c>
    </row>
    <row r="921" spans="1:9" x14ac:dyDescent="0.25">
      <c r="A921" t="s">
        <v>1546</v>
      </c>
      <c r="B921" t="s">
        <v>1547</v>
      </c>
      <c r="C921" s="2">
        <v>37776</v>
      </c>
      <c r="D921" t="s">
        <v>1743</v>
      </c>
      <c r="E921" t="s">
        <v>1737</v>
      </c>
      <c r="F921" t="str">
        <f t="shared" si="56"/>
        <v>MAGUIÑA OSORIO</v>
      </c>
      <c r="G921" t="str">
        <f t="shared" si="57"/>
        <v>MAGUIÑA</v>
      </c>
      <c r="H921" t="str">
        <f t="shared" si="58"/>
        <v>OSORIO</v>
      </c>
      <c r="I921" t="str">
        <f t="shared" si="59"/>
        <v xml:space="preserve"> ANGELO</v>
      </c>
    </row>
    <row r="922" spans="1:9" x14ac:dyDescent="0.25">
      <c r="A922" t="s">
        <v>1548</v>
      </c>
      <c r="B922" t="s">
        <v>1549</v>
      </c>
      <c r="C922" s="2">
        <v>34715</v>
      </c>
      <c r="E922" t="s">
        <v>1738</v>
      </c>
      <c r="F922" t="str">
        <f t="shared" si="56"/>
        <v>VASQUEZ LUERA</v>
      </c>
      <c r="G922" t="str">
        <f t="shared" si="57"/>
        <v>VASQUEZ</v>
      </c>
      <c r="H922" t="str">
        <f t="shared" si="58"/>
        <v>LUERA</v>
      </c>
      <c r="I922" t="str">
        <f t="shared" si="59"/>
        <v xml:space="preserve"> AQUILES REMIGIO</v>
      </c>
    </row>
    <row r="923" spans="1:9" x14ac:dyDescent="0.25">
      <c r="A923" t="s">
        <v>1550</v>
      </c>
      <c r="B923" t="s">
        <v>1551</v>
      </c>
      <c r="C923" s="2">
        <v>35571</v>
      </c>
      <c r="D923" t="s">
        <v>1743</v>
      </c>
      <c r="E923" t="s">
        <v>1739</v>
      </c>
      <c r="F923" t="str">
        <f t="shared" si="56"/>
        <v>CHAVEZ CHALAN</v>
      </c>
      <c r="G923" t="str">
        <f t="shared" si="57"/>
        <v>CHAVEZ</v>
      </c>
      <c r="H923" t="str">
        <f t="shared" si="58"/>
        <v>CHALAN</v>
      </c>
      <c r="I923" t="str">
        <f t="shared" si="59"/>
        <v xml:space="preserve"> FRANKLIN</v>
      </c>
    </row>
    <row r="924" spans="1:9" x14ac:dyDescent="0.25">
      <c r="A924" t="s">
        <v>1552</v>
      </c>
      <c r="B924" t="s">
        <v>1553</v>
      </c>
      <c r="C924" s="2">
        <v>27852</v>
      </c>
      <c r="D924" t="s">
        <v>1743</v>
      </c>
      <c r="F924" t="str">
        <f t="shared" si="56"/>
        <v>GUTIERREZ RAMIREZ</v>
      </c>
      <c r="G924" t="str">
        <f t="shared" si="57"/>
        <v>GUTIERREZ</v>
      </c>
      <c r="H924" t="str">
        <f t="shared" si="58"/>
        <v>RAMIREZ</v>
      </c>
      <c r="I924" t="str">
        <f t="shared" si="59"/>
        <v xml:space="preserve"> MARTIN</v>
      </c>
    </row>
    <row r="925" spans="1:9" x14ac:dyDescent="0.25">
      <c r="A925" t="s">
        <v>1554</v>
      </c>
      <c r="B925" t="s">
        <v>1555</v>
      </c>
      <c r="C925" s="2">
        <v>36408</v>
      </c>
      <c r="D925" t="s">
        <v>1744</v>
      </c>
      <c r="E925" t="s">
        <v>1740</v>
      </c>
      <c r="F925" t="str">
        <f t="shared" si="56"/>
        <v>CHOCCE BERMUDES</v>
      </c>
      <c r="G925" t="str">
        <f t="shared" si="57"/>
        <v>CHOCCE</v>
      </c>
      <c r="H925" t="str">
        <f t="shared" si="58"/>
        <v>BERMUDES</v>
      </c>
      <c r="I925" t="str">
        <f t="shared" si="59"/>
        <v xml:space="preserve"> FLOR CARLA</v>
      </c>
    </row>
    <row r="926" spans="1:9" x14ac:dyDescent="0.25">
      <c r="A926" t="s">
        <v>1556</v>
      </c>
      <c r="B926" t="s">
        <v>1557</v>
      </c>
      <c r="C926" s="2">
        <v>35080</v>
      </c>
      <c r="D926" t="s">
        <v>1743</v>
      </c>
      <c r="E926" t="s">
        <v>1741</v>
      </c>
      <c r="F926" t="str">
        <f t="shared" si="56"/>
        <v>QUISPE MAMANI</v>
      </c>
      <c r="G926" t="str">
        <f t="shared" si="57"/>
        <v>QUISPE</v>
      </c>
      <c r="H926" t="str">
        <f t="shared" si="58"/>
        <v>MAMANI</v>
      </c>
      <c r="I926" t="str">
        <f t="shared" si="59"/>
        <v xml:space="preserve"> JOSE GERMAN</v>
      </c>
    </row>
    <row r="927" spans="1:9" x14ac:dyDescent="0.25">
      <c r="A927" t="s">
        <v>1558</v>
      </c>
      <c r="B927" t="s">
        <v>1559</v>
      </c>
      <c r="C927" s="2">
        <v>35425</v>
      </c>
      <c r="D927" t="s">
        <v>1743</v>
      </c>
      <c r="F927" t="str">
        <f t="shared" si="56"/>
        <v>SOLANO ZAVALA</v>
      </c>
      <c r="G927" t="str">
        <f t="shared" si="57"/>
        <v>SOLANO</v>
      </c>
      <c r="H927" t="str">
        <f t="shared" si="58"/>
        <v>ZAVALA</v>
      </c>
      <c r="I927" t="str">
        <f t="shared" si="59"/>
        <v xml:space="preserve"> EVER JOSÉ MANUEL  </v>
      </c>
    </row>
    <row r="928" spans="1:9" x14ac:dyDescent="0.25">
      <c r="A928" t="s">
        <v>1257</v>
      </c>
      <c r="B928" t="s">
        <v>1258</v>
      </c>
      <c r="C928" s="2">
        <v>37350</v>
      </c>
      <c r="D928" t="s">
        <v>1744</v>
      </c>
      <c r="F928" t="str">
        <f t="shared" si="56"/>
        <v>MENDOZA BUSTAMANTE</v>
      </c>
      <c r="G928" t="str">
        <f t="shared" si="57"/>
        <v>MENDOZA</v>
      </c>
      <c r="H928" t="str">
        <f t="shared" si="58"/>
        <v>BUSTAMANTE</v>
      </c>
      <c r="I928" t="str">
        <f t="shared" si="59"/>
        <v xml:space="preserve"> CYNTHIA MAYELY</v>
      </c>
    </row>
  </sheetData>
  <autoFilter ref="A1:I928" xr:uid="{6BD9D9D5-5EA3-4618-8E1F-698323D958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1607-A9D4-41EB-99D5-DEFCC432C83D}">
  <dimension ref="A1:I789"/>
  <sheetViews>
    <sheetView topLeftCell="A2" workbookViewId="0">
      <selection activeCell="A2" sqref="A2"/>
    </sheetView>
  </sheetViews>
  <sheetFormatPr baseColWidth="10" defaultRowHeight="15" x14ac:dyDescent="0.25"/>
  <cols>
    <col min="1" max="1" width="10" bestFit="1" customWidth="1"/>
    <col min="2" max="2" width="17.28515625" bestFit="1" customWidth="1"/>
    <col min="3" max="3" width="17.7109375" bestFit="1" customWidth="1"/>
    <col min="4" max="4" width="26.7109375" bestFit="1" customWidth="1"/>
    <col min="5" max="5" width="20.28515625" style="2" bestFit="1" customWidth="1"/>
    <col min="6" max="6" width="8.140625" bestFit="1" customWidth="1"/>
    <col min="7" max="7" width="38.42578125" bestFit="1" customWidth="1"/>
    <col min="8" max="8" width="18.7109375" customWidth="1"/>
  </cols>
  <sheetData>
    <row r="1" spans="1:9" x14ac:dyDescent="0.25">
      <c r="A1" t="s">
        <v>0</v>
      </c>
      <c r="B1" t="s">
        <v>1955</v>
      </c>
      <c r="C1" t="s">
        <v>1956</v>
      </c>
      <c r="D1" t="s">
        <v>1957</v>
      </c>
      <c r="E1" s="2" t="s">
        <v>1745</v>
      </c>
      <c r="F1" t="s">
        <v>1742</v>
      </c>
      <c r="G1" t="s">
        <v>1560</v>
      </c>
      <c r="H1" s="6" t="s">
        <v>5212</v>
      </c>
    </row>
    <row r="2" spans="1:9" x14ac:dyDescent="0.25">
      <c r="A2" t="s">
        <v>2</v>
      </c>
      <c r="B2" t="s">
        <v>1958</v>
      </c>
      <c r="C2" t="s">
        <v>1959</v>
      </c>
      <c r="D2" t="s">
        <v>3560</v>
      </c>
      <c r="E2" s="2" t="s">
        <v>2823</v>
      </c>
      <c r="F2" t="s">
        <v>1743</v>
      </c>
      <c r="H2" t="s">
        <v>5213</v>
      </c>
      <c r="I2" t="str">
        <f>_xlfn.CONCAT("update tbl_persona set apellido_paterno= '",B2,"',apellido_materno= '",C2,"', nombre = '",D2,"' where dni = '",A2,"';")</f>
        <v>update tbl_persona set apellido_paterno= 'BOZA',apellido_materno= 'ARLOTTI', nombre = 'JAIME ENRIQUE LAZARO' where dni = '07792589';</v>
      </c>
    </row>
    <row r="3" spans="1:9" x14ac:dyDescent="0.25">
      <c r="A3" t="s">
        <v>4</v>
      </c>
      <c r="B3" t="s">
        <v>1960</v>
      </c>
      <c r="C3" t="s">
        <v>1961</v>
      </c>
      <c r="D3" t="s">
        <v>3561</v>
      </c>
      <c r="E3" s="2" t="s">
        <v>2824</v>
      </c>
      <c r="F3" t="s">
        <v>1743</v>
      </c>
      <c r="H3" t="s">
        <v>5214</v>
      </c>
      <c r="I3" t="str">
        <f t="shared" ref="I3:I66" si="0">_xlfn.CONCAT("update tbl_persona set apellido_paterno= '",B3,"',apellido_materno= '",C3,"', nombre = '",D3,"' where dni = '",A3,"';")</f>
        <v>update tbl_persona set apellido_paterno= 'OLIVOS',apellido_materno= 'REYNALTE', nombre = 'RICARDO GALDINO' where dni = '32989550';</v>
      </c>
    </row>
    <row r="4" spans="1:9" x14ac:dyDescent="0.25">
      <c r="A4" t="s">
        <v>6</v>
      </c>
      <c r="B4" t="s">
        <v>1962</v>
      </c>
      <c r="C4" t="s">
        <v>1963</v>
      </c>
      <c r="D4" t="s">
        <v>3562</v>
      </c>
      <c r="E4" s="2" t="s">
        <v>4312</v>
      </c>
      <c r="F4" t="s">
        <v>1743</v>
      </c>
      <c r="H4" t="s">
        <v>5943</v>
      </c>
      <c r="I4" t="str">
        <f t="shared" si="0"/>
        <v>update tbl_persona set apellido_paterno= 'ESPINOZA',apellido_materno= 'HERRERA', nombre = 'IVAN' where dni = '41865954';</v>
      </c>
    </row>
    <row r="5" spans="1:9" x14ac:dyDescent="0.25">
      <c r="A5" t="s">
        <v>8</v>
      </c>
      <c r="B5" t="s">
        <v>1964</v>
      </c>
      <c r="C5" t="s">
        <v>1965</v>
      </c>
      <c r="D5" t="s">
        <v>3563</v>
      </c>
      <c r="E5" s="2" t="s">
        <v>2825</v>
      </c>
      <c r="F5" t="s">
        <v>1744</v>
      </c>
      <c r="H5" t="s">
        <v>5215</v>
      </c>
      <c r="I5" t="str">
        <f t="shared" si="0"/>
        <v>update tbl_persona set apellido_paterno= 'LAURA',apellido_materno= 'SALAZAR', nombre = 'KATTY MARIBEL' where dni = '40240738';</v>
      </c>
    </row>
    <row r="6" spans="1:9" x14ac:dyDescent="0.25">
      <c r="A6" t="s">
        <v>10</v>
      </c>
      <c r="B6" t="s">
        <v>1966</v>
      </c>
      <c r="C6" t="s">
        <v>1967</v>
      </c>
      <c r="D6" t="s">
        <v>3564</v>
      </c>
      <c r="E6" s="2" t="s">
        <v>2826</v>
      </c>
      <c r="F6" t="s">
        <v>1743</v>
      </c>
      <c r="H6" t="s">
        <v>5216</v>
      </c>
      <c r="I6" t="str">
        <f t="shared" si="0"/>
        <v>update tbl_persona set apellido_paterno= 'CAMPOS',apellido_materno= 'FLORES', nombre = 'JOSÉ BERNARD' where dni = '48549137';</v>
      </c>
    </row>
    <row r="7" spans="1:9" x14ac:dyDescent="0.25">
      <c r="A7" t="s">
        <v>12</v>
      </c>
      <c r="B7" t="s">
        <v>1968</v>
      </c>
      <c r="C7" t="s">
        <v>1969</v>
      </c>
      <c r="D7" t="s">
        <v>3565</v>
      </c>
      <c r="E7" s="2" t="s">
        <v>2827</v>
      </c>
      <c r="F7" t="s">
        <v>1743</v>
      </c>
      <c r="H7" t="s">
        <v>5217</v>
      </c>
      <c r="I7" t="str">
        <f t="shared" si="0"/>
        <v>update tbl_persona set apellido_paterno= 'CASIMIRO',apellido_materno= 'QUISPE', nombre = 'HENDRIK ELISEO' where dni = '46883112';</v>
      </c>
    </row>
    <row r="8" spans="1:9" x14ac:dyDescent="0.25">
      <c r="A8" t="s">
        <v>14</v>
      </c>
      <c r="B8" t="s">
        <v>1970</v>
      </c>
      <c r="C8" t="s">
        <v>1971</v>
      </c>
      <c r="D8" t="s">
        <v>3566</v>
      </c>
      <c r="E8" s="2" t="s">
        <v>2828</v>
      </c>
      <c r="F8" t="s">
        <v>1743</v>
      </c>
      <c r="H8" t="s">
        <v>5218</v>
      </c>
      <c r="I8" t="str">
        <f t="shared" si="0"/>
        <v>update tbl_persona set apellido_paterno= 'CABEZAS',apellido_materno= 'ISUIZA', nombre = 'MARCOS JEFFERSON' where dni = '45681005';</v>
      </c>
    </row>
    <row r="9" spans="1:9" x14ac:dyDescent="0.25">
      <c r="A9" t="s">
        <v>16</v>
      </c>
      <c r="B9" t="s">
        <v>1972</v>
      </c>
      <c r="C9" t="s">
        <v>1973</v>
      </c>
      <c r="D9" t="s">
        <v>2340</v>
      </c>
      <c r="E9" s="2" t="s">
        <v>2829</v>
      </c>
      <c r="F9" t="s">
        <v>1743</v>
      </c>
      <c r="H9" t="s">
        <v>5219</v>
      </c>
      <c r="I9" t="str">
        <f t="shared" si="0"/>
        <v>update tbl_persona set apellido_paterno= 'CALERO',apellido_materno= 'LOPEZ', nombre = 'CORDOVA' where dni = '45334525';</v>
      </c>
    </row>
    <row r="10" spans="1:9" x14ac:dyDescent="0.25">
      <c r="A10" t="s">
        <v>18</v>
      </c>
      <c r="B10" t="s">
        <v>1974</v>
      </c>
      <c r="C10" t="s">
        <v>1975</v>
      </c>
      <c r="D10" t="s">
        <v>3567</v>
      </c>
      <c r="E10" s="2" t="s">
        <v>2830</v>
      </c>
      <c r="F10" t="s">
        <v>1743</v>
      </c>
      <c r="H10" t="s">
        <v>5220</v>
      </c>
      <c r="I10" t="str">
        <f t="shared" si="0"/>
        <v>update tbl_persona set apellido_paterno= 'VILLEGAS',apellido_materno= 'DIAZ', nombre = 'JUAN EDILBERTO' where dni = '10584323';</v>
      </c>
    </row>
    <row r="11" spans="1:9" x14ac:dyDescent="0.25">
      <c r="A11" t="s">
        <v>20</v>
      </c>
      <c r="B11" t="s">
        <v>1976</v>
      </c>
      <c r="C11" t="s">
        <v>1977</v>
      </c>
      <c r="D11" t="s">
        <v>3568</v>
      </c>
      <c r="E11" s="2" t="s">
        <v>2831</v>
      </c>
      <c r="F11" t="s">
        <v>1743</v>
      </c>
      <c r="H11" t="s">
        <v>5221</v>
      </c>
      <c r="I11" t="str">
        <f t="shared" si="0"/>
        <v>update tbl_persona set apellido_paterno= 'ARELLANO',apellido_materno= 'GARCÍA', nombre = 'FRANCISCO JAVIER' where dni = '70275363';</v>
      </c>
    </row>
    <row r="12" spans="1:9" x14ac:dyDescent="0.25">
      <c r="A12" t="s">
        <v>22</v>
      </c>
      <c r="B12" t="s">
        <v>1978</v>
      </c>
      <c r="C12" t="s">
        <v>1979</v>
      </c>
      <c r="D12" t="s">
        <v>3569</v>
      </c>
      <c r="E12" s="2" t="s">
        <v>2832</v>
      </c>
      <c r="F12" t="s">
        <v>1743</v>
      </c>
      <c r="H12" t="s">
        <v>5222</v>
      </c>
      <c r="I12" t="str">
        <f t="shared" si="0"/>
        <v>update tbl_persona set apellido_paterno= 'YALTA',apellido_materno= 'GUADALUPE', nombre = 'JAIRO' where dni = '44302299';</v>
      </c>
    </row>
    <row r="13" spans="1:9" x14ac:dyDescent="0.25">
      <c r="A13" t="s">
        <v>24</v>
      </c>
      <c r="B13" t="s">
        <v>1980</v>
      </c>
      <c r="C13" t="s">
        <v>1981</v>
      </c>
      <c r="D13" t="s">
        <v>3570</v>
      </c>
      <c r="E13" s="2" t="s">
        <v>2833</v>
      </c>
      <c r="F13" t="s">
        <v>1743</v>
      </c>
      <c r="H13" t="s">
        <v>5223</v>
      </c>
      <c r="I13" t="str">
        <f t="shared" si="0"/>
        <v>update tbl_persona set apellido_paterno= 'ESCOBAR',apellido_materno= 'PACHECO', nombre = 'GIANFRANCO' where dni = '44104581';</v>
      </c>
    </row>
    <row r="14" spans="1:9" x14ac:dyDescent="0.25">
      <c r="A14" t="s">
        <v>26</v>
      </c>
      <c r="B14" t="s">
        <v>1973</v>
      </c>
      <c r="C14" t="s">
        <v>1982</v>
      </c>
      <c r="D14" t="s">
        <v>3571</v>
      </c>
      <c r="E14" s="2" t="s">
        <v>2834</v>
      </c>
      <c r="F14" t="s">
        <v>1743</v>
      </c>
      <c r="H14" t="s">
        <v>5224</v>
      </c>
      <c r="I14" t="str">
        <f t="shared" si="0"/>
        <v>update tbl_persona set apellido_paterno= 'LOPEZ',apellido_materno= 'YAMPUFE', nombre = 'PABLO JESUS' where dni = '47127763';</v>
      </c>
    </row>
    <row r="15" spans="1:9" x14ac:dyDescent="0.25">
      <c r="A15" t="s">
        <v>28</v>
      </c>
      <c r="B15" t="s">
        <v>1983</v>
      </c>
      <c r="C15" t="s">
        <v>1984</v>
      </c>
      <c r="D15" t="s">
        <v>3572</v>
      </c>
      <c r="E15" s="2" t="s">
        <v>2835</v>
      </c>
      <c r="F15" t="s">
        <v>1743</v>
      </c>
      <c r="H15" t="s">
        <v>5225</v>
      </c>
      <c r="I15" t="str">
        <f t="shared" si="0"/>
        <v>update tbl_persona set apellido_paterno= 'MOORE',apellido_materno= 'TTITO', nombre = 'NINO' where dni = '42581424';</v>
      </c>
    </row>
    <row r="16" spans="1:9" x14ac:dyDescent="0.25">
      <c r="A16" t="s">
        <v>30</v>
      </c>
      <c r="B16" t="s">
        <v>1985</v>
      </c>
      <c r="C16" t="s">
        <v>1986</v>
      </c>
      <c r="D16" t="s">
        <v>3573</v>
      </c>
      <c r="E16" s="2" t="s">
        <v>2836</v>
      </c>
      <c r="F16" t="s">
        <v>1743</v>
      </c>
      <c r="H16" t="s">
        <v>5226</v>
      </c>
      <c r="I16" t="str">
        <f t="shared" si="0"/>
        <v>update tbl_persona set apellido_paterno= 'MARISCAL',apellido_materno= 'RIVERA', nombre = 'MARIO VÍCTOR' where dni = '43334686';</v>
      </c>
    </row>
    <row r="17" spans="1:9" x14ac:dyDescent="0.25">
      <c r="A17" t="s">
        <v>32</v>
      </c>
      <c r="B17" t="s">
        <v>1987</v>
      </c>
      <c r="C17" t="s">
        <v>1988</v>
      </c>
      <c r="D17" t="s">
        <v>3574</v>
      </c>
      <c r="E17" s="2" t="s">
        <v>2837</v>
      </c>
      <c r="F17" t="s">
        <v>1743</v>
      </c>
      <c r="H17" t="s">
        <v>5227</v>
      </c>
      <c r="I17" t="str">
        <f t="shared" si="0"/>
        <v>update tbl_persona set apellido_paterno= 'GONZALES',apellido_materno= 'MONTOYA', nombre = 'NESTOR EAIDAN' where dni = '44034238';</v>
      </c>
    </row>
    <row r="18" spans="1:9" x14ac:dyDescent="0.25">
      <c r="A18" t="s">
        <v>34</v>
      </c>
      <c r="B18" t="s">
        <v>1989</v>
      </c>
      <c r="C18" t="s">
        <v>1990</v>
      </c>
      <c r="D18" t="s">
        <v>3575</v>
      </c>
      <c r="E18" s="2" t="s">
        <v>2838</v>
      </c>
      <c r="F18" t="s">
        <v>1743</v>
      </c>
      <c r="H18" t="s">
        <v>5228</v>
      </c>
      <c r="I18" t="str">
        <f t="shared" si="0"/>
        <v>update tbl_persona set apellido_paterno= 'PALOMINO',apellido_materno= 'CALCINA', nombre = 'MARCOS FELIX' where dni = '30961957';</v>
      </c>
    </row>
    <row r="19" spans="1:9" x14ac:dyDescent="0.25">
      <c r="A19" t="s">
        <v>36</v>
      </c>
      <c r="B19" t="s">
        <v>1991</v>
      </c>
      <c r="C19" t="s">
        <v>1992</v>
      </c>
      <c r="D19" t="s">
        <v>3576</v>
      </c>
      <c r="E19" s="2" t="s">
        <v>2839</v>
      </c>
      <c r="F19" t="s">
        <v>1743</v>
      </c>
      <c r="H19" t="s">
        <v>5229</v>
      </c>
      <c r="I19" t="str">
        <f t="shared" si="0"/>
        <v>update tbl_persona set apellido_paterno= 'ORMEÑO',apellido_materno= 'ARGUMEDO', nombre = 'RICHARD JAVIER' where dni = '72455553';</v>
      </c>
    </row>
    <row r="20" spans="1:9" x14ac:dyDescent="0.25">
      <c r="A20" t="s">
        <v>38</v>
      </c>
      <c r="B20" t="s">
        <v>1993</v>
      </c>
      <c r="C20" t="s">
        <v>1994</v>
      </c>
      <c r="D20" t="s">
        <v>3577</v>
      </c>
      <c r="E20" s="2" t="s">
        <v>2840</v>
      </c>
      <c r="F20" t="s">
        <v>1743</v>
      </c>
      <c r="H20" t="s">
        <v>5230</v>
      </c>
      <c r="I20" t="str">
        <f t="shared" si="0"/>
        <v>update tbl_persona set apellido_paterno= 'AGUILAR',apellido_materno= 'SANTILLAN', nombre = 'EBER' where dni = '43756349';</v>
      </c>
    </row>
    <row r="21" spans="1:9" x14ac:dyDescent="0.25">
      <c r="A21" t="s">
        <v>40</v>
      </c>
      <c r="B21" t="s">
        <v>1975</v>
      </c>
      <c r="C21" t="s">
        <v>1995</v>
      </c>
      <c r="D21" t="s">
        <v>3578</v>
      </c>
      <c r="E21" s="2" t="s">
        <v>2841</v>
      </c>
      <c r="F21" t="s">
        <v>1743</v>
      </c>
      <c r="H21" t="s">
        <v>5231</v>
      </c>
      <c r="I21" t="str">
        <f t="shared" si="0"/>
        <v>update tbl_persona set apellido_paterno= 'DIAZ',apellido_materno= 'FERNANDEZ', nombre = 'NORMAN' where dni = '46327447';</v>
      </c>
    </row>
    <row r="22" spans="1:9" x14ac:dyDescent="0.25">
      <c r="A22" t="s">
        <v>42</v>
      </c>
      <c r="B22" t="s">
        <v>1996</v>
      </c>
      <c r="C22" t="s">
        <v>1997</v>
      </c>
      <c r="D22" t="s">
        <v>3543</v>
      </c>
      <c r="E22" s="2" t="s">
        <v>2842</v>
      </c>
      <c r="F22" t="s">
        <v>1743</v>
      </c>
      <c r="H22" t="s">
        <v>5232</v>
      </c>
      <c r="I22" t="str">
        <f t="shared" si="0"/>
        <v>update tbl_persona set apellido_paterno= 'HORNA',apellido_materno= 'ABANTO', nombre = 'ORLANDO' where dni = '44835875';</v>
      </c>
    </row>
    <row r="23" spans="1:9" x14ac:dyDescent="0.25">
      <c r="A23" t="s">
        <v>44</v>
      </c>
      <c r="B23" t="s">
        <v>1998</v>
      </c>
      <c r="C23" t="s">
        <v>1999</v>
      </c>
      <c r="D23" t="s">
        <v>3579</v>
      </c>
      <c r="E23" s="2" t="s">
        <v>2843</v>
      </c>
      <c r="F23" t="s">
        <v>1743</v>
      </c>
      <c r="H23" t="s">
        <v>5233</v>
      </c>
      <c r="I23" t="str">
        <f t="shared" si="0"/>
        <v>update tbl_persona set apellido_paterno= 'MICHELINI',apellido_materno= 'PACORA', nombre = 'ALDO' where dni = '42596150';</v>
      </c>
    </row>
    <row r="24" spans="1:9" x14ac:dyDescent="0.25">
      <c r="A24" t="s">
        <v>46</v>
      </c>
      <c r="B24" t="s">
        <v>2000</v>
      </c>
      <c r="C24" t="s">
        <v>2001</v>
      </c>
      <c r="D24" t="s">
        <v>3580</v>
      </c>
      <c r="E24" s="2" t="s">
        <v>2844</v>
      </c>
      <c r="F24" t="s">
        <v>1743</v>
      </c>
      <c r="H24" t="s">
        <v>5234</v>
      </c>
      <c r="I24" t="str">
        <f t="shared" si="0"/>
        <v>update tbl_persona set apellido_paterno= 'TAVARA',apellido_materno= 'ARANIBAR', nombre = 'GONZALO' where dni = '46443901';</v>
      </c>
    </row>
    <row r="25" spans="1:9" x14ac:dyDescent="0.25">
      <c r="A25" t="s">
        <v>48</v>
      </c>
      <c r="B25" t="s">
        <v>2002</v>
      </c>
      <c r="C25" t="s">
        <v>2003</v>
      </c>
      <c r="D25" t="s">
        <v>3581</v>
      </c>
      <c r="E25" s="2" t="s">
        <v>2845</v>
      </c>
      <c r="F25" t="s">
        <v>1743</v>
      </c>
      <c r="H25" t="s">
        <v>5235</v>
      </c>
      <c r="I25" t="str">
        <f t="shared" si="0"/>
        <v>update tbl_persona set apellido_paterno= 'CHIQUILLAN',apellido_materno= 'CCEÑUA', nombre = 'ESTEBAN SANTIAGO' where dni = '40906031';</v>
      </c>
    </row>
    <row r="26" spans="1:9" x14ac:dyDescent="0.25">
      <c r="A26" t="s">
        <v>50</v>
      </c>
      <c r="B26" t="s">
        <v>2004</v>
      </c>
      <c r="C26" t="s">
        <v>2005</v>
      </c>
      <c r="D26" t="s">
        <v>3582</v>
      </c>
      <c r="E26" s="2" t="s">
        <v>2846</v>
      </c>
      <c r="F26" t="s">
        <v>1743</v>
      </c>
      <c r="H26" t="s">
        <v>5236</v>
      </c>
      <c r="I26" t="str">
        <f t="shared" si="0"/>
        <v>update tbl_persona set apellido_paterno= 'ROJAS',apellido_materno= 'LAURENTE', nombre = 'FERMIN' where dni = '10244123';</v>
      </c>
    </row>
    <row r="27" spans="1:9" x14ac:dyDescent="0.25">
      <c r="A27" t="s">
        <v>52</v>
      </c>
      <c r="B27" t="s">
        <v>2006</v>
      </c>
      <c r="C27" t="s">
        <v>2007</v>
      </c>
      <c r="D27" t="s">
        <v>3583</v>
      </c>
      <c r="E27" s="2" t="s">
        <v>2847</v>
      </c>
      <c r="F27" t="s">
        <v>1743</v>
      </c>
      <c r="H27" t="s">
        <v>5237</v>
      </c>
      <c r="I27" t="str">
        <f t="shared" si="0"/>
        <v>update tbl_persona set apellido_paterno= 'SEVERINO',apellido_materno= 'SUAREZ', nombre = 'FERNANDO' where dni = '42271014';</v>
      </c>
    </row>
    <row r="28" spans="1:9" x14ac:dyDescent="0.25">
      <c r="A28" t="s">
        <v>54</v>
      </c>
      <c r="B28" t="s">
        <v>2008</v>
      </c>
      <c r="C28" t="s">
        <v>2009</v>
      </c>
      <c r="D28" t="s">
        <v>3562</v>
      </c>
      <c r="E28" s="2" t="s">
        <v>2848</v>
      </c>
      <c r="F28" t="s">
        <v>1743</v>
      </c>
      <c r="H28" t="s">
        <v>5238</v>
      </c>
      <c r="I28" t="str">
        <f t="shared" si="0"/>
        <v>update tbl_persona set apellido_paterno= 'MIRANDA',apellido_materno= 'LIÑAN', nombre = 'IVAN' where dni = '76133723';</v>
      </c>
    </row>
    <row r="29" spans="1:9" x14ac:dyDescent="0.25">
      <c r="A29" t="s">
        <v>56</v>
      </c>
      <c r="B29" t="s">
        <v>2010</v>
      </c>
      <c r="C29" t="s">
        <v>2011</v>
      </c>
      <c r="D29" t="s">
        <v>3584</v>
      </c>
      <c r="E29" s="2" t="s">
        <v>2849</v>
      </c>
      <c r="F29" t="s">
        <v>1743</v>
      </c>
      <c r="H29" t="s">
        <v>5239</v>
      </c>
      <c r="I29" t="str">
        <f t="shared" si="0"/>
        <v>update tbl_persona set apellido_paterno= 'FERNÁNDEZ',apellido_materno= 'GUEVARA', nombre = 'JOSE ALEXANDER' where dni = '77336191';</v>
      </c>
    </row>
    <row r="30" spans="1:9" x14ac:dyDescent="0.25">
      <c r="A30" t="s">
        <v>58</v>
      </c>
      <c r="B30" t="s">
        <v>2012</v>
      </c>
      <c r="C30" t="s">
        <v>1973</v>
      </c>
      <c r="D30" t="s">
        <v>3585</v>
      </c>
      <c r="E30" s="2" t="s">
        <v>2850</v>
      </c>
      <c r="F30" t="s">
        <v>1743</v>
      </c>
      <c r="H30" t="s">
        <v>5240</v>
      </c>
      <c r="I30" t="str">
        <f t="shared" si="0"/>
        <v>update tbl_persona set apellido_paterno= 'GUTIERREZ',apellido_materno= 'LOPEZ', nombre = 'LUIS ANTONIO' where dni = '44652791';</v>
      </c>
    </row>
    <row r="31" spans="1:9" x14ac:dyDescent="0.25">
      <c r="A31" t="s">
        <v>60</v>
      </c>
      <c r="B31" t="s">
        <v>1981</v>
      </c>
      <c r="C31" t="s">
        <v>2013</v>
      </c>
      <c r="D31" t="s">
        <v>3586</v>
      </c>
      <c r="E31" s="2" t="s">
        <v>2851</v>
      </c>
      <c r="F31" t="s">
        <v>1743</v>
      </c>
      <c r="H31" t="s">
        <v>5241</v>
      </c>
      <c r="I31" t="str">
        <f t="shared" si="0"/>
        <v>update tbl_persona set apellido_paterno= 'PACHECO',apellido_materno= 'MOHANNA', nombre = 'DAVID' where dni = '45074623';</v>
      </c>
    </row>
    <row r="32" spans="1:9" x14ac:dyDescent="0.25">
      <c r="A32" t="s">
        <v>62</v>
      </c>
      <c r="B32" t="s">
        <v>2014</v>
      </c>
      <c r="C32" t="s">
        <v>1969</v>
      </c>
      <c r="D32" t="s">
        <v>3587</v>
      </c>
      <c r="E32" s="2" t="s">
        <v>2852</v>
      </c>
      <c r="F32" t="s">
        <v>1743</v>
      </c>
      <c r="H32" t="s">
        <v>5242</v>
      </c>
      <c r="I32" t="str">
        <f t="shared" si="0"/>
        <v>update tbl_persona set apellido_paterno= 'GARCIA',apellido_materno= 'QUISPE', nombre = 'RONALD REYNALDO' where dni = '43509339';</v>
      </c>
    </row>
    <row r="33" spans="1:9" x14ac:dyDescent="0.25">
      <c r="A33" t="s">
        <v>64</v>
      </c>
      <c r="B33" t="s">
        <v>2015</v>
      </c>
      <c r="C33" t="s">
        <v>2016</v>
      </c>
      <c r="D33" t="s">
        <v>3588</v>
      </c>
      <c r="E33" s="2" t="s">
        <v>2853</v>
      </c>
      <c r="F33" t="s">
        <v>1743</v>
      </c>
      <c r="H33" t="s">
        <v>5243</v>
      </c>
      <c r="I33" t="str">
        <f t="shared" si="0"/>
        <v>update tbl_persona set apellido_paterno= 'BARTUREN',apellido_materno= 'DUQUE', nombre = 'CESAR JAVIER' where dni = '43178056';</v>
      </c>
    </row>
    <row r="34" spans="1:9" x14ac:dyDescent="0.25">
      <c r="A34" t="s">
        <v>66</v>
      </c>
      <c r="B34" t="s">
        <v>2017</v>
      </c>
      <c r="C34" t="s">
        <v>1967</v>
      </c>
      <c r="D34" t="s">
        <v>3589</v>
      </c>
      <c r="E34" s="2" t="s">
        <v>4312</v>
      </c>
      <c r="F34" t="s">
        <v>1743</v>
      </c>
      <c r="H34" t="s">
        <v>5944</v>
      </c>
      <c r="I34" t="str">
        <f t="shared" si="0"/>
        <v>update tbl_persona set apellido_paterno= 'VADILLO',apellido_materno= 'FLORES', nombre = 'PABLO ALBERTO' where dni = '45454437';</v>
      </c>
    </row>
    <row r="35" spans="1:9" x14ac:dyDescent="0.25">
      <c r="A35" t="s">
        <v>68</v>
      </c>
      <c r="B35" t="s">
        <v>2018</v>
      </c>
      <c r="C35" t="s">
        <v>2019</v>
      </c>
      <c r="D35" t="s">
        <v>3590</v>
      </c>
      <c r="E35" s="2" t="s">
        <v>4312</v>
      </c>
      <c r="F35" t="s">
        <v>1743</v>
      </c>
      <c r="H35" t="s">
        <v>5945</v>
      </c>
      <c r="I35" t="str">
        <f t="shared" si="0"/>
        <v>update tbl_persona set apellido_paterno= 'GUZMAN',apellido_materno= 'SANCHEZ', nombre = 'ALEX NOBEL' where dni = '46372648';</v>
      </c>
    </row>
    <row r="36" spans="1:9" x14ac:dyDescent="0.25">
      <c r="A36" t="s">
        <v>70</v>
      </c>
      <c r="B36" t="s">
        <v>2020</v>
      </c>
      <c r="C36" t="s">
        <v>2021</v>
      </c>
      <c r="D36" t="s">
        <v>3591</v>
      </c>
      <c r="E36" s="2" t="s">
        <v>2854</v>
      </c>
      <c r="F36" t="s">
        <v>1743</v>
      </c>
      <c r="H36" t="s">
        <v>5244</v>
      </c>
      <c r="I36" t="str">
        <f t="shared" si="0"/>
        <v>update tbl_persona set apellido_paterno= 'HUAMANI',apellido_materno= 'CHAPARRO', nombre = 'NIWTON' where dni = '42084403';</v>
      </c>
    </row>
    <row r="37" spans="1:9" x14ac:dyDescent="0.25">
      <c r="A37" t="s">
        <v>72</v>
      </c>
      <c r="B37" t="s">
        <v>2022</v>
      </c>
      <c r="C37" t="s">
        <v>2023</v>
      </c>
      <c r="D37" t="s">
        <v>3592</v>
      </c>
      <c r="E37" s="2" t="s">
        <v>2855</v>
      </c>
      <c r="F37" t="s">
        <v>1743</v>
      </c>
      <c r="H37" t="s">
        <v>5245</v>
      </c>
      <c r="I37" t="str">
        <f t="shared" si="0"/>
        <v>update tbl_persona set apellido_paterno= 'CASTRO',apellido_materno= 'LAZO', nombre = 'WILBERTH' where dni = '45425144';</v>
      </c>
    </row>
    <row r="38" spans="1:9" x14ac:dyDescent="0.25">
      <c r="A38" t="s">
        <v>74</v>
      </c>
      <c r="B38" t="s">
        <v>2024</v>
      </c>
      <c r="C38" t="s">
        <v>2025</v>
      </c>
      <c r="D38" t="s">
        <v>3593</v>
      </c>
      <c r="E38" s="2" t="s">
        <v>2856</v>
      </c>
      <c r="F38" t="s">
        <v>1743</v>
      </c>
      <c r="H38" t="s">
        <v>5246</v>
      </c>
      <c r="I38" t="str">
        <f t="shared" si="0"/>
        <v>update tbl_persona set apellido_paterno= 'CONDORI',apellido_materno= 'ANDAGUA', nombre = 'MARIO FERNANDO' where dni = '47454970';</v>
      </c>
    </row>
    <row r="39" spans="1:9" x14ac:dyDescent="0.25">
      <c r="A39" t="s">
        <v>76</v>
      </c>
      <c r="B39" t="s">
        <v>2026</v>
      </c>
      <c r="C39" t="s">
        <v>2027</v>
      </c>
      <c r="D39" t="s">
        <v>3594</v>
      </c>
      <c r="E39" s="2" t="s">
        <v>2857</v>
      </c>
      <c r="F39" t="s">
        <v>1743</v>
      </c>
      <c r="H39" t="s">
        <v>5247</v>
      </c>
      <c r="I39" t="str">
        <f t="shared" si="0"/>
        <v>update tbl_persona set apellido_paterno= 'HILARIO',apellido_materno= 'ZAMORA', nombre = 'JAIME NICOLAS' where dni = '44548369';</v>
      </c>
    </row>
    <row r="40" spans="1:9" x14ac:dyDescent="0.25">
      <c r="A40" t="s">
        <v>78</v>
      </c>
      <c r="B40" t="s">
        <v>2028</v>
      </c>
      <c r="C40" t="s">
        <v>2029</v>
      </c>
      <c r="D40" t="s">
        <v>3595</v>
      </c>
      <c r="E40" s="2" t="s">
        <v>2858</v>
      </c>
      <c r="F40" t="s">
        <v>1743</v>
      </c>
      <c r="H40" t="s">
        <v>5248</v>
      </c>
      <c r="I40" t="str">
        <f t="shared" si="0"/>
        <v>update tbl_persona set apellido_paterno= 'RODRIGUEZ',apellido_materno= 'ORTIZ', nombre = 'RODOMIRO ENRIQUE' where dni = '45782284';</v>
      </c>
    </row>
    <row r="41" spans="1:9" x14ac:dyDescent="0.25">
      <c r="A41" t="s">
        <v>80</v>
      </c>
      <c r="B41" t="s">
        <v>2007</v>
      </c>
      <c r="C41" t="s">
        <v>2030</v>
      </c>
      <c r="D41" t="s">
        <v>3596</v>
      </c>
      <c r="E41" s="2" t="s">
        <v>2859</v>
      </c>
      <c r="F41" t="s">
        <v>1744</v>
      </c>
      <c r="H41" t="s">
        <v>5249</v>
      </c>
      <c r="I41" t="str">
        <f t="shared" si="0"/>
        <v>update tbl_persona set apellido_paterno= 'SUAREZ',apellido_materno= 'MEZA', nombre = 'MIRELLA PATRICIA' where dni = '72713612';</v>
      </c>
    </row>
    <row r="42" spans="1:9" x14ac:dyDescent="0.25">
      <c r="A42" t="s">
        <v>82</v>
      </c>
      <c r="B42" t="s">
        <v>1969</v>
      </c>
      <c r="C42" t="s">
        <v>2031</v>
      </c>
      <c r="D42" t="s">
        <v>3597</v>
      </c>
      <c r="E42" s="2" t="s">
        <v>2860</v>
      </c>
      <c r="F42" t="s">
        <v>1743</v>
      </c>
      <c r="H42" t="s">
        <v>5250</v>
      </c>
      <c r="I42" t="str">
        <f t="shared" si="0"/>
        <v>update tbl_persona set apellido_paterno= 'QUISPE',apellido_materno= 'ARTICA', nombre = 'LUIS MAXIMO' where dni = '44816214';</v>
      </c>
    </row>
    <row r="43" spans="1:9" x14ac:dyDescent="0.25">
      <c r="A43" t="s">
        <v>84</v>
      </c>
      <c r="B43" t="s">
        <v>2032</v>
      </c>
      <c r="C43" t="s">
        <v>2033</v>
      </c>
      <c r="D43" t="s">
        <v>3598</v>
      </c>
      <c r="E43" s="2" t="s">
        <v>2861</v>
      </c>
      <c r="F43" t="s">
        <v>1743</v>
      </c>
      <c r="H43" t="s">
        <v>5251</v>
      </c>
      <c r="I43" t="str">
        <f t="shared" si="0"/>
        <v>update tbl_persona set apellido_paterno= 'NORES',apellido_materno= 'OCHOA', nombre = 'CRISTHIAN OSMAR' where dni = '46246289';</v>
      </c>
    </row>
    <row r="44" spans="1:9" x14ac:dyDescent="0.25">
      <c r="A44" t="s">
        <v>86</v>
      </c>
      <c r="B44" t="s">
        <v>2034</v>
      </c>
      <c r="C44" t="s">
        <v>2011</v>
      </c>
      <c r="D44" t="s">
        <v>3599</v>
      </c>
      <c r="E44" s="2" t="s">
        <v>2862</v>
      </c>
      <c r="F44" t="s">
        <v>1743</v>
      </c>
      <c r="H44" t="s">
        <v>5252</v>
      </c>
      <c r="I44" t="str">
        <f t="shared" si="0"/>
        <v>update tbl_persona set apellido_paterno= 'ZAFRA',apellido_materno= 'GUEVARA', nombre = 'EDUAR' where dni = '45179398';</v>
      </c>
    </row>
    <row r="45" spans="1:9" x14ac:dyDescent="0.25">
      <c r="A45" t="s">
        <v>88</v>
      </c>
      <c r="B45" t="s">
        <v>2035</v>
      </c>
      <c r="C45" t="s">
        <v>2036</v>
      </c>
      <c r="D45" t="s">
        <v>3600</v>
      </c>
      <c r="E45" s="2" t="s">
        <v>4312</v>
      </c>
      <c r="F45" t="s">
        <v>1744</v>
      </c>
      <c r="H45" t="s">
        <v>5946</v>
      </c>
      <c r="I45" t="str">
        <f t="shared" si="0"/>
        <v>update tbl_persona set apellido_paterno= 'DOMINGUEZ',apellido_materno= 'AYMA', nombre = 'JENNIFER' where dni = '43937849';</v>
      </c>
    </row>
    <row r="46" spans="1:9" x14ac:dyDescent="0.25">
      <c r="A46" t="s">
        <v>90</v>
      </c>
      <c r="B46" t="s">
        <v>2037</v>
      </c>
      <c r="C46" t="s">
        <v>2038</v>
      </c>
      <c r="D46" t="s">
        <v>3601</v>
      </c>
      <c r="E46" s="2" t="s">
        <v>4312</v>
      </c>
      <c r="F46" t="s">
        <v>1743</v>
      </c>
      <c r="H46" t="s">
        <v>5947</v>
      </c>
      <c r="I46" t="str">
        <f t="shared" si="0"/>
        <v>update tbl_persona set apellido_paterno= 'VILLAR',apellido_materno= 'MENDOZA', nombre = 'VICTOR MANUEL' where dni = '10653965';</v>
      </c>
    </row>
    <row r="47" spans="1:9" x14ac:dyDescent="0.25">
      <c r="A47" t="s">
        <v>92</v>
      </c>
      <c r="B47" t="s">
        <v>2039</v>
      </c>
      <c r="C47" t="s">
        <v>2040</v>
      </c>
      <c r="D47" t="s">
        <v>3602</v>
      </c>
      <c r="E47" s="2" t="s">
        <v>4312</v>
      </c>
      <c r="F47" t="s">
        <v>1743</v>
      </c>
      <c r="H47" t="s">
        <v>5948</v>
      </c>
      <c r="I47" t="str">
        <f t="shared" si="0"/>
        <v>update tbl_persona set apellido_paterno= 'RENGIFO',apellido_materno= 'REVILLA', nombre = 'JOSE LUIS' where dni = '44360499';</v>
      </c>
    </row>
    <row r="48" spans="1:9" x14ac:dyDescent="0.25">
      <c r="A48" t="s">
        <v>94</v>
      </c>
      <c r="B48" t="s">
        <v>2041</v>
      </c>
      <c r="C48" t="s">
        <v>2042</v>
      </c>
      <c r="D48" t="s">
        <v>3603</v>
      </c>
      <c r="E48" s="2" t="s">
        <v>2863</v>
      </c>
      <c r="F48" t="s">
        <v>1743</v>
      </c>
      <c r="H48" t="s">
        <v>5253</v>
      </c>
      <c r="I48" t="str">
        <f t="shared" si="0"/>
        <v>update tbl_persona set apellido_paterno= 'VELASQUEZ',apellido_materno= 'CHACALTANA', nombre = 'JESUS MANUEL' where dni = '42833884';</v>
      </c>
    </row>
    <row r="49" spans="1:9" x14ac:dyDescent="0.25">
      <c r="A49" t="s">
        <v>96</v>
      </c>
      <c r="B49" t="s">
        <v>2043</v>
      </c>
      <c r="C49" t="s">
        <v>2028</v>
      </c>
      <c r="D49" t="s">
        <v>3604</v>
      </c>
      <c r="E49" s="2" t="s">
        <v>2864</v>
      </c>
      <c r="F49" t="s">
        <v>1743</v>
      </c>
      <c r="H49" t="s">
        <v>5254</v>
      </c>
      <c r="I49" t="str">
        <f t="shared" si="0"/>
        <v>update tbl_persona set apellido_paterno= 'RAMIREZ',apellido_materno= 'RODRIGUEZ', nombre = 'JIMMY JOEL' where dni = '47410866';</v>
      </c>
    </row>
    <row r="50" spans="1:9" x14ac:dyDescent="0.25">
      <c r="A50" t="s">
        <v>98</v>
      </c>
      <c r="B50" t="s">
        <v>2044</v>
      </c>
      <c r="C50" t="s">
        <v>2045</v>
      </c>
      <c r="D50" t="s">
        <v>3605</v>
      </c>
      <c r="E50" s="2" t="s">
        <v>2865</v>
      </c>
      <c r="F50" t="s">
        <v>1743</v>
      </c>
      <c r="H50" t="s">
        <v>5255</v>
      </c>
      <c r="I50" t="str">
        <f t="shared" si="0"/>
        <v>update tbl_persona set apellido_paterno= 'PLAZA',apellido_materno= 'OJEDA', nombre = 'MICHAEL HAMLET' where dni = '45634567';</v>
      </c>
    </row>
    <row r="51" spans="1:9" x14ac:dyDescent="0.25">
      <c r="A51" t="s">
        <v>100</v>
      </c>
      <c r="B51" t="s">
        <v>2046</v>
      </c>
      <c r="C51" t="s">
        <v>2047</v>
      </c>
      <c r="D51" t="s">
        <v>3606</v>
      </c>
      <c r="E51" s="2" t="s">
        <v>2866</v>
      </c>
      <c r="F51" t="s">
        <v>1743</v>
      </c>
      <c r="H51" t="s">
        <v>5256</v>
      </c>
      <c r="I51" t="str">
        <f t="shared" si="0"/>
        <v>update tbl_persona set apellido_paterno= 'CAMERO',apellido_materno= 'MEJIA', nombre = 'OSWALDO ANTONIO' where dni = '43981457';</v>
      </c>
    </row>
    <row r="52" spans="1:9" x14ac:dyDescent="0.25">
      <c r="A52" t="s">
        <v>102</v>
      </c>
      <c r="B52" t="s">
        <v>2048</v>
      </c>
      <c r="C52" t="s">
        <v>2049</v>
      </c>
      <c r="D52" t="s">
        <v>3607</v>
      </c>
      <c r="E52" s="2" t="s">
        <v>2867</v>
      </c>
      <c r="F52" t="s">
        <v>1743</v>
      </c>
      <c r="H52" t="s">
        <v>5257</v>
      </c>
      <c r="I52" t="str">
        <f t="shared" si="0"/>
        <v>update tbl_persona set apellido_paterno= 'VILLANUEVA',apellido_materno= 'TAIRO', nombre = 'ALIRIO' where dni = '46349858';</v>
      </c>
    </row>
    <row r="53" spans="1:9" x14ac:dyDescent="0.25">
      <c r="A53" t="s">
        <v>104</v>
      </c>
      <c r="B53" t="s">
        <v>2050</v>
      </c>
      <c r="C53" t="s">
        <v>2051</v>
      </c>
      <c r="D53" t="s">
        <v>3608</v>
      </c>
      <c r="E53" s="2" t="s">
        <v>2868</v>
      </c>
      <c r="F53" t="s">
        <v>1743</v>
      </c>
      <c r="H53" t="s">
        <v>5258</v>
      </c>
      <c r="I53" t="str">
        <f t="shared" si="0"/>
        <v>update tbl_persona set apellido_paterno= 'LAZARO',apellido_materno= 'GOICOCHEA', nombre = 'ALVARO ALIPIO' where dni = '40175811';</v>
      </c>
    </row>
    <row r="54" spans="1:9" x14ac:dyDescent="0.25">
      <c r="A54" t="s">
        <v>106</v>
      </c>
      <c r="B54" t="s">
        <v>2029</v>
      </c>
      <c r="C54" t="s">
        <v>2052</v>
      </c>
      <c r="D54" t="s">
        <v>3609</v>
      </c>
      <c r="E54" s="2" t="s">
        <v>4312</v>
      </c>
      <c r="F54" t="s">
        <v>1743</v>
      </c>
      <c r="H54" t="s">
        <v>5949</v>
      </c>
      <c r="I54" t="str">
        <f t="shared" si="0"/>
        <v>update tbl_persona set apellido_paterno= 'ORTIZ',apellido_materno= 'RIOS', nombre = 'CARLO FRANCO' where dni = '40423571';</v>
      </c>
    </row>
    <row r="55" spans="1:9" x14ac:dyDescent="0.25">
      <c r="A55" t="s">
        <v>108</v>
      </c>
      <c r="B55" t="s">
        <v>2053</v>
      </c>
      <c r="C55" t="s">
        <v>2054</v>
      </c>
      <c r="D55" t="s">
        <v>3610</v>
      </c>
      <c r="E55" s="2" t="s">
        <v>2869</v>
      </c>
      <c r="F55" t="s">
        <v>1743</v>
      </c>
      <c r="H55" t="s">
        <v>5259</v>
      </c>
      <c r="I55" t="str">
        <f t="shared" si="0"/>
        <v>update tbl_persona set apellido_paterno= 'ALEJO',apellido_materno= 'ACERO', nombre = 'HAROLD' where dni = '76126150';</v>
      </c>
    </row>
    <row r="56" spans="1:9" x14ac:dyDescent="0.25">
      <c r="A56" t="s">
        <v>110</v>
      </c>
      <c r="B56" t="s">
        <v>2055</v>
      </c>
      <c r="C56" t="s">
        <v>2056</v>
      </c>
      <c r="D56" t="s">
        <v>3611</v>
      </c>
      <c r="E56" s="2" t="s">
        <v>4312</v>
      </c>
      <c r="F56" t="s">
        <v>1743</v>
      </c>
      <c r="H56" t="s">
        <v>5950</v>
      </c>
      <c r="I56" t="str">
        <f t="shared" si="0"/>
        <v>update tbl_persona set apellido_paterno= 'DE',apellido_materno= 'LA PIEDRA RAMOS', nombre = 'PATRICIO AUGUSTO' where dni = '42328907';</v>
      </c>
    </row>
    <row r="57" spans="1:9" x14ac:dyDescent="0.25">
      <c r="A57" t="s">
        <v>112</v>
      </c>
      <c r="B57" t="s">
        <v>2057</v>
      </c>
      <c r="C57" t="s">
        <v>2043</v>
      </c>
      <c r="D57" t="s">
        <v>3612</v>
      </c>
      <c r="E57" s="2" t="s">
        <v>2870</v>
      </c>
      <c r="F57" t="s">
        <v>1743</v>
      </c>
      <c r="H57" t="s">
        <v>5260</v>
      </c>
      <c r="I57" t="str">
        <f t="shared" si="0"/>
        <v>update tbl_persona set apellido_paterno= 'DIANDERAS',apellido_materno= 'RAMIREZ', nombre = 'JOSETH JONATHAN' where dni = '43965644';</v>
      </c>
    </row>
    <row r="58" spans="1:9" x14ac:dyDescent="0.25">
      <c r="A58" t="s">
        <v>116</v>
      </c>
      <c r="B58" t="s">
        <v>2166</v>
      </c>
      <c r="C58" t="s">
        <v>2538</v>
      </c>
      <c r="D58" t="s">
        <v>3613</v>
      </c>
      <c r="E58" s="2" t="s">
        <v>4312</v>
      </c>
      <c r="F58" t="s">
        <v>1743</v>
      </c>
      <c r="H58" t="s">
        <v>5951</v>
      </c>
      <c r="I58" t="str">
        <f t="shared" si="0"/>
        <v>update tbl_persona set apellido_paterno= 'QUIJAITE',apellido_materno= 'GRANADOS', nombre = 'FRANKLIN YAN' where dni = '21532532';</v>
      </c>
    </row>
    <row r="59" spans="1:9" x14ac:dyDescent="0.25">
      <c r="A59" t="s">
        <v>117</v>
      </c>
      <c r="B59" t="s">
        <v>2058</v>
      </c>
      <c r="C59" t="s">
        <v>2059</v>
      </c>
      <c r="D59" t="s">
        <v>3614</v>
      </c>
      <c r="E59" s="2" t="s">
        <v>2871</v>
      </c>
      <c r="F59" t="s">
        <v>1743</v>
      </c>
      <c r="H59" t="s">
        <v>5261</v>
      </c>
      <c r="I59" t="str">
        <f t="shared" si="0"/>
        <v>update tbl_persona set apellido_paterno= 'CCORAHUA',apellido_materno= 'ARIAS', nombre = 'HENRY ERICSSON' where dni = '45301523';</v>
      </c>
    </row>
    <row r="60" spans="1:9" x14ac:dyDescent="0.25">
      <c r="A60" t="s">
        <v>464</v>
      </c>
      <c r="B60" t="s">
        <v>1975</v>
      </c>
      <c r="C60" t="s">
        <v>2275</v>
      </c>
      <c r="D60" t="s">
        <v>3615</v>
      </c>
      <c r="E60" s="2" t="s">
        <v>3001</v>
      </c>
      <c r="F60" t="s">
        <v>1743</v>
      </c>
      <c r="H60" t="s">
        <v>5262</v>
      </c>
      <c r="I60" t="str">
        <f t="shared" si="0"/>
        <v>update tbl_persona set apellido_paterno= 'DIAZ',apellido_materno= 'SAMPAYO', nombre = 'WINAIKER STEWEN' where dni = '04220255';</v>
      </c>
    </row>
    <row r="61" spans="1:9" x14ac:dyDescent="0.25">
      <c r="A61" t="s">
        <v>120</v>
      </c>
      <c r="B61" t="s">
        <v>2060</v>
      </c>
      <c r="C61" t="s">
        <v>2030</v>
      </c>
      <c r="D61" t="s">
        <v>3616</v>
      </c>
      <c r="E61" s="2" t="s">
        <v>2872</v>
      </c>
      <c r="F61" t="s">
        <v>1743</v>
      </c>
      <c r="H61" t="s">
        <v>5263</v>
      </c>
      <c r="I61" t="str">
        <f t="shared" si="0"/>
        <v>update tbl_persona set apellido_paterno= 'RAMOS',apellido_materno= 'MEZA', nombre = 'DIEGO ARMANDO' where dni = '46119270';</v>
      </c>
    </row>
    <row r="62" spans="1:9" x14ac:dyDescent="0.25">
      <c r="A62" t="s">
        <v>122</v>
      </c>
      <c r="B62" t="s">
        <v>2012</v>
      </c>
      <c r="C62" t="s">
        <v>2061</v>
      </c>
      <c r="D62" t="s">
        <v>3617</v>
      </c>
      <c r="E62" s="2" t="s">
        <v>2873</v>
      </c>
      <c r="F62" t="s">
        <v>1743</v>
      </c>
      <c r="H62" t="s">
        <v>5264</v>
      </c>
      <c r="I62" t="str">
        <f t="shared" si="0"/>
        <v>update tbl_persona set apellido_paterno= 'GUTIERREZ',apellido_materno= 'CHUQUIJA', nombre = 'ANTHONY MARTIN' where dni = '44903589';</v>
      </c>
    </row>
    <row r="63" spans="1:9" x14ac:dyDescent="0.25">
      <c r="A63" t="s">
        <v>124</v>
      </c>
      <c r="B63" t="s">
        <v>2062</v>
      </c>
      <c r="C63" t="s">
        <v>1972</v>
      </c>
      <c r="D63" t="s">
        <v>3618</v>
      </c>
      <c r="E63" s="2" t="s">
        <v>2874</v>
      </c>
      <c r="F63" t="s">
        <v>1743</v>
      </c>
      <c r="H63" t="s">
        <v>5265</v>
      </c>
      <c r="I63" t="str">
        <f t="shared" si="0"/>
        <v>update tbl_persona set apellido_paterno= 'VARGAS',apellido_materno= 'CALERO', nombre = 'LUIS ALBERTO' where dni = '43992903';</v>
      </c>
    </row>
    <row r="64" spans="1:9" x14ac:dyDescent="0.25">
      <c r="A64" t="s">
        <v>126</v>
      </c>
      <c r="B64" t="s">
        <v>2063</v>
      </c>
      <c r="C64" t="s">
        <v>2064</v>
      </c>
      <c r="D64" t="s">
        <v>3619</v>
      </c>
      <c r="E64" s="2" t="s">
        <v>2875</v>
      </c>
      <c r="F64" t="s">
        <v>1743</v>
      </c>
      <c r="H64" t="s">
        <v>5266</v>
      </c>
      <c r="I64" t="str">
        <f t="shared" si="0"/>
        <v>update tbl_persona set apellido_paterno= 'PAYANO',apellido_materno= 'CARHUAMACA', nombre = 'VLADIMIR' where dni = '70769042';</v>
      </c>
    </row>
    <row r="65" spans="1:9" x14ac:dyDescent="0.25">
      <c r="A65" t="s">
        <v>130</v>
      </c>
      <c r="B65" t="s">
        <v>2067</v>
      </c>
      <c r="C65" t="s">
        <v>2068</v>
      </c>
      <c r="D65" t="s">
        <v>3620</v>
      </c>
      <c r="E65" s="2" t="s">
        <v>2876</v>
      </c>
      <c r="F65" t="s">
        <v>1743</v>
      </c>
      <c r="H65" t="s">
        <v>5267</v>
      </c>
      <c r="I65" t="str">
        <f t="shared" si="0"/>
        <v>update tbl_persona set apellido_paterno= 'YUCRA',apellido_materno= 'CCANASI', nombre = 'WASHINGTON' where dni = '70382600';</v>
      </c>
    </row>
    <row r="66" spans="1:9" x14ac:dyDescent="0.25">
      <c r="A66" t="s">
        <v>132</v>
      </c>
      <c r="B66" t="s">
        <v>2069</v>
      </c>
      <c r="C66" t="s">
        <v>2070</v>
      </c>
      <c r="D66" t="s">
        <v>3621</v>
      </c>
      <c r="E66" s="2" t="s">
        <v>2877</v>
      </c>
      <c r="F66" t="s">
        <v>1743</v>
      </c>
      <c r="H66" t="s">
        <v>5268</v>
      </c>
      <c r="I66" t="str">
        <f t="shared" si="0"/>
        <v>update tbl_persona set apellido_paterno= 'CHERO',apellido_materno= 'GRANDA', nombre = 'STALIN JOSUE' where dni = '47572724';</v>
      </c>
    </row>
    <row r="67" spans="1:9" x14ac:dyDescent="0.25">
      <c r="A67" t="s">
        <v>134</v>
      </c>
      <c r="B67" t="s">
        <v>2071</v>
      </c>
      <c r="C67" t="s">
        <v>1973</v>
      </c>
      <c r="D67" t="s">
        <v>3622</v>
      </c>
      <c r="E67" s="2" t="s">
        <v>2878</v>
      </c>
      <c r="F67" t="s">
        <v>1743</v>
      </c>
      <c r="H67" t="s">
        <v>5269</v>
      </c>
      <c r="I67" t="str">
        <f t="shared" ref="I67:I130" si="1">_xlfn.CONCAT("update tbl_persona set apellido_paterno= '",B67,"',apellido_materno= '",C67,"', nombre = '",D67,"' where dni = '",A67,"';")</f>
        <v>update tbl_persona set apellido_paterno= 'ALVARADO',apellido_materno= 'LOPEZ', nombre = 'MARDONIO' where dni = '42125009';</v>
      </c>
    </row>
    <row r="68" spans="1:9" x14ac:dyDescent="0.25">
      <c r="A68" t="s">
        <v>136</v>
      </c>
      <c r="B68" t="s">
        <v>2072</v>
      </c>
      <c r="C68" t="s">
        <v>2073</v>
      </c>
      <c r="D68" t="s">
        <v>3623</v>
      </c>
      <c r="E68" s="2" t="s">
        <v>2879</v>
      </c>
      <c r="F68" t="s">
        <v>1743</v>
      </c>
      <c r="H68" t="s">
        <v>5270</v>
      </c>
      <c r="I68" t="str">
        <f t="shared" si="1"/>
        <v>update tbl_persona set apellido_paterno= 'CHAVEZ',apellido_materno= 'COSTA', nombre = 'EDGARD SIXTO' where dni = '40871583';</v>
      </c>
    </row>
    <row r="69" spans="1:9" x14ac:dyDescent="0.25">
      <c r="A69" t="s">
        <v>138</v>
      </c>
      <c r="B69" t="s">
        <v>2074</v>
      </c>
      <c r="C69" t="s">
        <v>2075</v>
      </c>
      <c r="D69" t="s">
        <v>3624</v>
      </c>
      <c r="E69" s="2" t="s">
        <v>2880</v>
      </c>
      <c r="F69" t="s">
        <v>1743</v>
      </c>
      <c r="H69" t="s">
        <v>5271</v>
      </c>
      <c r="I69" t="str">
        <f t="shared" si="1"/>
        <v>update tbl_persona set apellido_paterno= 'TORRES',apellido_materno= 'CALDERON', nombre = 'RENSO' where dni = '71798473';</v>
      </c>
    </row>
    <row r="70" spans="1:9" x14ac:dyDescent="0.25">
      <c r="A70" t="s">
        <v>140</v>
      </c>
      <c r="B70" t="s">
        <v>2072</v>
      </c>
      <c r="C70" t="s">
        <v>2076</v>
      </c>
      <c r="D70" t="s">
        <v>3625</v>
      </c>
      <c r="E70" s="2" t="s">
        <v>2881</v>
      </c>
      <c r="F70" t="s">
        <v>1743</v>
      </c>
      <c r="H70" t="s">
        <v>5272</v>
      </c>
      <c r="I70" t="str">
        <f t="shared" si="1"/>
        <v>update tbl_persona set apellido_paterno= 'CHAVEZ',apellido_materno= 'AGAMA', nombre = 'WITTMAN GODOY' where dni = '45474604';</v>
      </c>
    </row>
    <row r="71" spans="1:9" x14ac:dyDescent="0.25">
      <c r="A71" t="s">
        <v>142</v>
      </c>
      <c r="B71" t="s">
        <v>2077</v>
      </c>
      <c r="C71" t="s">
        <v>2078</v>
      </c>
      <c r="D71" t="s">
        <v>3618</v>
      </c>
      <c r="E71" s="2" t="s">
        <v>4312</v>
      </c>
      <c r="F71" t="s">
        <v>1743</v>
      </c>
      <c r="H71" t="s">
        <v>5952</v>
      </c>
      <c r="I71" t="str">
        <f t="shared" si="1"/>
        <v>update tbl_persona set apellido_paterno= 'OCAÑA',apellido_materno= 'REQUENA', nombre = 'LUIS ALBERTO' where dni = '46395708';</v>
      </c>
    </row>
    <row r="72" spans="1:9" x14ac:dyDescent="0.25">
      <c r="A72" t="s">
        <v>144</v>
      </c>
      <c r="B72" t="s">
        <v>1974</v>
      </c>
      <c r="C72" t="s">
        <v>1995</v>
      </c>
      <c r="D72" t="s">
        <v>3626</v>
      </c>
      <c r="E72" s="2" t="s">
        <v>2882</v>
      </c>
      <c r="F72" t="s">
        <v>1743</v>
      </c>
      <c r="H72" t="s">
        <v>5273</v>
      </c>
      <c r="I72" t="str">
        <f t="shared" si="1"/>
        <v>update tbl_persona set apellido_paterno= 'VILLEGAS',apellido_materno= 'FERNANDEZ', nombre = 'DANIEL ADRIANO' where dni = '46318494';</v>
      </c>
    </row>
    <row r="73" spans="1:9" x14ac:dyDescent="0.25">
      <c r="A73" t="s">
        <v>146</v>
      </c>
      <c r="B73" t="s">
        <v>2079</v>
      </c>
      <c r="C73" t="s">
        <v>1963</v>
      </c>
      <c r="D73" t="s">
        <v>3627</v>
      </c>
      <c r="E73" s="2" t="s">
        <v>2883</v>
      </c>
      <c r="F73" t="s">
        <v>1743</v>
      </c>
      <c r="G73" t="s">
        <v>1561</v>
      </c>
      <c r="H73" t="s">
        <v>5274</v>
      </c>
      <c r="I73" t="str">
        <f t="shared" si="1"/>
        <v>update tbl_persona set apellido_paterno= 'GOMEZ',apellido_materno= 'HERRERA', nombre = 'JOSE ARMANDO' where dni = '46516101';</v>
      </c>
    </row>
    <row r="74" spans="1:9" x14ac:dyDescent="0.25">
      <c r="A74" t="s">
        <v>148</v>
      </c>
      <c r="B74" t="s">
        <v>2080</v>
      </c>
      <c r="C74" t="s">
        <v>1969</v>
      </c>
      <c r="D74" t="s">
        <v>3628</v>
      </c>
      <c r="E74" s="2" t="s">
        <v>2884</v>
      </c>
      <c r="F74" t="s">
        <v>1743</v>
      </c>
      <c r="H74" t="s">
        <v>5275</v>
      </c>
      <c r="I74" t="str">
        <f t="shared" si="1"/>
        <v>update tbl_persona set apellido_paterno= 'HUALLPA',apellido_materno= 'QUISPE', nombre = 'ALEX' where dni = '46939444';</v>
      </c>
    </row>
    <row r="75" spans="1:9" x14ac:dyDescent="0.25">
      <c r="A75" t="s">
        <v>150</v>
      </c>
      <c r="B75" t="s">
        <v>1967</v>
      </c>
      <c r="C75" t="s">
        <v>2037</v>
      </c>
      <c r="D75" t="s">
        <v>3629</v>
      </c>
      <c r="E75" s="2" t="s">
        <v>2885</v>
      </c>
      <c r="F75" t="s">
        <v>1743</v>
      </c>
      <c r="H75" t="s">
        <v>5276</v>
      </c>
      <c r="I75" t="str">
        <f t="shared" si="1"/>
        <v>update tbl_persona set apellido_paterno= 'FLORES',apellido_materno= 'VILLAR', nombre = 'JUAN CARLOS' where dni = '41665508';</v>
      </c>
    </row>
    <row r="76" spans="1:9" x14ac:dyDescent="0.25">
      <c r="A76" t="s">
        <v>152</v>
      </c>
      <c r="B76" t="s">
        <v>2081</v>
      </c>
      <c r="C76" t="s">
        <v>2082</v>
      </c>
      <c r="D76" t="s">
        <v>3630</v>
      </c>
      <c r="E76" s="2" t="s">
        <v>4312</v>
      </c>
      <c r="F76" t="s">
        <v>1743</v>
      </c>
      <c r="H76" t="s">
        <v>5953</v>
      </c>
      <c r="I76" t="str">
        <f t="shared" si="1"/>
        <v>update tbl_persona set apellido_paterno= 'ALVAREZ',apellido_materno= 'GALLEGO', nombre = 'GIANCARLO' where dni = '43573639';</v>
      </c>
    </row>
    <row r="77" spans="1:9" x14ac:dyDescent="0.25">
      <c r="A77" t="s">
        <v>154</v>
      </c>
      <c r="B77" t="s">
        <v>2083</v>
      </c>
      <c r="C77" t="s">
        <v>2084</v>
      </c>
      <c r="D77" t="s">
        <v>3631</v>
      </c>
      <c r="E77" s="2" t="s">
        <v>2886</v>
      </c>
      <c r="F77" t="s">
        <v>1743</v>
      </c>
      <c r="H77" t="s">
        <v>5277</v>
      </c>
      <c r="I77" t="str">
        <f t="shared" si="1"/>
        <v>update tbl_persona set apellido_paterno= 'TEJADA',apellido_materno= 'ATAHUALPA', nombre = 'CESAR HUMBERTO' where dni = '44028555';</v>
      </c>
    </row>
    <row r="78" spans="1:9" x14ac:dyDescent="0.25">
      <c r="A78" t="s">
        <v>156</v>
      </c>
      <c r="B78" t="s">
        <v>2050</v>
      </c>
      <c r="C78" t="s">
        <v>2085</v>
      </c>
      <c r="D78" t="s">
        <v>3632</v>
      </c>
      <c r="E78" s="2" t="s">
        <v>4312</v>
      </c>
      <c r="F78" t="s">
        <v>1743</v>
      </c>
      <c r="H78" t="s">
        <v>5954</v>
      </c>
      <c r="I78" t="str">
        <f t="shared" si="1"/>
        <v>update tbl_persona set apellido_paterno= 'LAZARO',apellido_materno= 'PAREDES', nombre = 'ANGEL JESUS' where dni = '70340562';</v>
      </c>
    </row>
    <row r="79" spans="1:9" x14ac:dyDescent="0.25">
      <c r="A79" t="s">
        <v>158</v>
      </c>
      <c r="B79" t="s">
        <v>2086</v>
      </c>
      <c r="C79" t="s">
        <v>2087</v>
      </c>
      <c r="D79" t="s">
        <v>3633</v>
      </c>
      <c r="E79" s="2" t="s">
        <v>2887</v>
      </c>
      <c r="F79" t="s">
        <v>1744</v>
      </c>
      <c r="H79" t="s">
        <v>5278</v>
      </c>
      <c r="I79" t="str">
        <f t="shared" si="1"/>
        <v>update tbl_persona set apellido_paterno= 'BORJAS',apellido_materno= 'MESONES', nombre = 'ROXANA GIOVANNA' where dni = '45553012';</v>
      </c>
    </row>
    <row r="80" spans="1:9" x14ac:dyDescent="0.25">
      <c r="A80" t="s">
        <v>160</v>
      </c>
      <c r="B80" t="s">
        <v>2088</v>
      </c>
      <c r="C80" t="s">
        <v>2062</v>
      </c>
      <c r="D80" t="s">
        <v>3634</v>
      </c>
      <c r="E80" s="2" t="s">
        <v>2888</v>
      </c>
      <c r="F80" t="s">
        <v>1743</v>
      </c>
      <c r="H80" t="s">
        <v>5279</v>
      </c>
      <c r="I80" t="str">
        <f t="shared" si="1"/>
        <v>update tbl_persona set apellido_paterno= 'VASQUEZ',apellido_materno= 'VARGAS', nombre = 'JUAN EISER' where dni = '18207097';</v>
      </c>
    </row>
    <row r="81" spans="1:9" x14ac:dyDescent="0.25">
      <c r="A81" t="s">
        <v>162</v>
      </c>
      <c r="B81" t="s">
        <v>1962</v>
      </c>
      <c r="C81" t="s">
        <v>2089</v>
      </c>
      <c r="D81" t="s">
        <v>3635</v>
      </c>
      <c r="E81" s="2" t="s">
        <v>2889</v>
      </c>
      <c r="F81" t="s">
        <v>1743</v>
      </c>
      <c r="G81" t="s">
        <v>1562</v>
      </c>
      <c r="H81" t="s">
        <v>5280</v>
      </c>
      <c r="I81" t="str">
        <f t="shared" si="1"/>
        <v>update tbl_persona set apellido_paterno= 'ESPINOZA',apellido_materno= 'CAMAC', nombre = 'EDER ADDERLY' where dni = '46399039';</v>
      </c>
    </row>
    <row r="82" spans="1:9" x14ac:dyDescent="0.25">
      <c r="A82" t="s">
        <v>164</v>
      </c>
      <c r="B82" t="s">
        <v>2090</v>
      </c>
      <c r="C82" t="s">
        <v>2091</v>
      </c>
      <c r="D82" t="s">
        <v>3636</v>
      </c>
      <c r="E82" s="2" t="s">
        <v>2890</v>
      </c>
      <c r="F82" t="s">
        <v>1743</v>
      </c>
      <c r="H82" t="s">
        <v>5281</v>
      </c>
      <c r="I82" t="str">
        <f t="shared" si="1"/>
        <v>update tbl_persona set apellido_paterno= 'OVIEDO',apellido_materno= 'CIÑA', nombre = 'JEAN CARLO' where dni = '71064014';</v>
      </c>
    </row>
    <row r="83" spans="1:9" x14ac:dyDescent="0.25">
      <c r="A83" t="s">
        <v>835</v>
      </c>
      <c r="B83" t="s">
        <v>2485</v>
      </c>
      <c r="C83" t="s">
        <v>2405</v>
      </c>
      <c r="D83" t="s">
        <v>3637</v>
      </c>
      <c r="E83" s="2" t="s">
        <v>3175</v>
      </c>
      <c r="F83" t="s">
        <v>1743</v>
      </c>
      <c r="H83" t="s">
        <v>5282</v>
      </c>
      <c r="I83" t="str">
        <f t="shared" si="1"/>
        <v>update tbl_persona set apellido_paterno= 'ALCALA',apellido_materno= 'GALLARDO', nombre = 'JOSE VICTOR MARTIN' where dni = '09588243';</v>
      </c>
    </row>
    <row r="84" spans="1:9" x14ac:dyDescent="0.25">
      <c r="A84" t="s">
        <v>168</v>
      </c>
      <c r="B84" t="s">
        <v>2732</v>
      </c>
      <c r="C84" t="s">
        <v>2521</v>
      </c>
      <c r="D84" t="s">
        <v>3638</v>
      </c>
      <c r="E84" s="2" t="s">
        <v>2891</v>
      </c>
      <c r="F84" t="s">
        <v>1743</v>
      </c>
      <c r="H84" t="s">
        <v>5283</v>
      </c>
      <c r="I84" t="str">
        <f t="shared" si="1"/>
        <v>update tbl_persona set apellido_paterno= 'MAGUIÑA',apellido_materno= 'MALDONADO', nombre = 'LUCIO ALFREDO' where dni = '40045076';</v>
      </c>
    </row>
    <row r="85" spans="1:9" x14ac:dyDescent="0.25">
      <c r="A85" t="s">
        <v>169</v>
      </c>
      <c r="B85" t="s">
        <v>2092</v>
      </c>
      <c r="C85" t="s">
        <v>2093</v>
      </c>
      <c r="D85" t="s">
        <v>3639</v>
      </c>
      <c r="E85" s="2" t="s">
        <v>4312</v>
      </c>
      <c r="F85" t="s">
        <v>1743</v>
      </c>
      <c r="H85" t="s">
        <v>5955</v>
      </c>
      <c r="I85" t="str">
        <f t="shared" si="1"/>
        <v>update tbl_persona set apellido_paterno= 'CRISTOBAL',apellido_materno= 'BASILIO', nombre = 'ANDERSEN DINO' where dni = '47301956';</v>
      </c>
    </row>
    <row r="86" spans="1:9" x14ac:dyDescent="0.25">
      <c r="A86" t="s">
        <v>171</v>
      </c>
      <c r="B86" t="s">
        <v>2094</v>
      </c>
      <c r="C86" t="s">
        <v>2095</v>
      </c>
      <c r="D86" t="s">
        <v>3640</v>
      </c>
      <c r="E86" s="2" t="s">
        <v>4312</v>
      </c>
      <c r="F86" t="s">
        <v>1743</v>
      </c>
      <c r="H86" t="s">
        <v>5956</v>
      </c>
      <c r="I86" t="str">
        <f t="shared" si="1"/>
        <v>update tbl_persona set apellido_paterno= 'PINO',apellido_materno= 'CONTRERAS', nombre = 'CARLOS ALBERTO' where dni = '72421216';</v>
      </c>
    </row>
    <row r="87" spans="1:9" x14ac:dyDescent="0.25">
      <c r="A87" t="s">
        <v>173</v>
      </c>
      <c r="B87" t="s">
        <v>2024</v>
      </c>
      <c r="C87" t="s">
        <v>2096</v>
      </c>
      <c r="D87" t="s">
        <v>3640</v>
      </c>
      <c r="E87" s="2" t="s">
        <v>2892</v>
      </c>
      <c r="F87" t="s">
        <v>1743</v>
      </c>
      <c r="H87" t="s">
        <v>5284</v>
      </c>
      <c r="I87" t="str">
        <f t="shared" si="1"/>
        <v>update tbl_persona set apellido_paterno= 'CONDORI',apellido_materno= 'TIPULA', nombre = 'CARLOS ALBERTO' where dni = '46858365';</v>
      </c>
    </row>
    <row r="88" spans="1:9" x14ac:dyDescent="0.25">
      <c r="A88" t="s">
        <v>175</v>
      </c>
      <c r="B88" t="s">
        <v>2097</v>
      </c>
      <c r="C88" t="s">
        <v>2098</v>
      </c>
      <c r="D88" t="s">
        <v>3641</v>
      </c>
      <c r="E88" s="2" t="s">
        <v>2893</v>
      </c>
      <c r="F88" t="s">
        <v>1743</v>
      </c>
      <c r="H88" t="s">
        <v>5285</v>
      </c>
      <c r="I88" t="str">
        <f t="shared" si="1"/>
        <v>update tbl_persona set apellido_paterno= 'REGENTE',apellido_materno= 'ISASA', nombre = 'ALEJANDRO' where dni = '70007778';</v>
      </c>
    </row>
    <row r="89" spans="1:9" x14ac:dyDescent="0.25">
      <c r="A89" t="s">
        <v>177</v>
      </c>
      <c r="B89" t="s">
        <v>2099</v>
      </c>
      <c r="C89" t="s">
        <v>2100</v>
      </c>
      <c r="D89" t="s">
        <v>3642</v>
      </c>
      <c r="E89" s="2" t="s">
        <v>2894</v>
      </c>
      <c r="F89" t="s">
        <v>1743</v>
      </c>
      <c r="H89" t="s">
        <v>5286</v>
      </c>
      <c r="I89" t="str">
        <f t="shared" si="1"/>
        <v>update tbl_persona set apellido_paterno= 'SKECHE',apellido_materno= 'LLANOS', nombre = 'ALEXIS MIGUEL' where dni = '09453884';</v>
      </c>
    </row>
    <row r="90" spans="1:9" x14ac:dyDescent="0.25">
      <c r="A90" t="s">
        <v>181</v>
      </c>
      <c r="B90" t="s">
        <v>2102</v>
      </c>
      <c r="C90" t="s">
        <v>2103</v>
      </c>
      <c r="D90" t="s">
        <v>3643</v>
      </c>
      <c r="E90" s="2" t="s">
        <v>2896</v>
      </c>
      <c r="F90" t="s">
        <v>1743</v>
      </c>
      <c r="H90" t="s">
        <v>5287</v>
      </c>
      <c r="I90" t="str">
        <f t="shared" si="1"/>
        <v>update tbl_persona set apellido_paterno= 'AVILA',apellido_materno= 'ANTAY', nombre = 'ADRIAN ALEXIS' where dni = '44445194';</v>
      </c>
    </row>
    <row r="91" spans="1:9" x14ac:dyDescent="0.25">
      <c r="A91" t="s">
        <v>183</v>
      </c>
      <c r="B91" t="s">
        <v>2104</v>
      </c>
      <c r="C91" t="s">
        <v>2105</v>
      </c>
      <c r="D91" t="s">
        <v>3644</v>
      </c>
      <c r="E91" s="2" t="s">
        <v>4312</v>
      </c>
      <c r="F91" t="s">
        <v>1743</v>
      </c>
      <c r="H91" t="s">
        <v>5957</v>
      </c>
      <c r="I91" t="str">
        <f t="shared" si="1"/>
        <v>update tbl_persona set apellido_paterno= 'VILLA',apellido_materno= 'BOBADILLA', nombre = 'CRISTHIAN FABIO' where dni = '47684287';</v>
      </c>
    </row>
    <row r="92" spans="1:9" x14ac:dyDescent="0.25">
      <c r="A92" t="s">
        <v>185</v>
      </c>
      <c r="B92" t="s">
        <v>2106</v>
      </c>
      <c r="C92" t="s">
        <v>2107</v>
      </c>
      <c r="D92" t="s">
        <v>3645</v>
      </c>
      <c r="E92" s="2" t="s">
        <v>4312</v>
      </c>
      <c r="F92" t="s">
        <v>1744</v>
      </c>
      <c r="H92" t="s">
        <v>5958</v>
      </c>
      <c r="I92" t="str">
        <f t="shared" si="1"/>
        <v>update tbl_persona set apellido_paterno= 'CANALES',apellido_materno= 'MEMBRILLO', nombre = 'VANIA ANDREA' where dni = '75177599';</v>
      </c>
    </row>
    <row r="93" spans="1:9" x14ac:dyDescent="0.25">
      <c r="A93" t="s">
        <v>187</v>
      </c>
      <c r="B93" t="s">
        <v>2108</v>
      </c>
      <c r="C93" t="s">
        <v>2109</v>
      </c>
      <c r="D93" t="s">
        <v>3646</v>
      </c>
      <c r="E93" s="2" t="s">
        <v>2897</v>
      </c>
      <c r="F93" t="s">
        <v>1743</v>
      </c>
      <c r="H93" t="s">
        <v>5288</v>
      </c>
      <c r="I93" t="str">
        <f t="shared" si="1"/>
        <v>update tbl_persona set apellido_paterno= 'PIZARRO',apellido_materno= 'URRUTIA', nombre = 'MARCO ANTONIO' where dni = '43647429';</v>
      </c>
    </row>
    <row r="94" spans="1:9" x14ac:dyDescent="0.25">
      <c r="A94" t="s">
        <v>189</v>
      </c>
      <c r="B94" t="s">
        <v>2392</v>
      </c>
      <c r="C94" t="s">
        <v>2134</v>
      </c>
      <c r="D94" t="s">
        <v>3647</v>
      </c>
      <c r="E94" s="2" t="s">
        <v>4312</v>
      </c>
      <c r="F94" t="s">
        <v>1743</v>
      </c>
      <c r="H94" t="s">
        <v>5959</v>
      </c>
      <c r="I94" t="str">
        <f t="shared" si="1"/>
        <v>update tbl_persona set apellido_paterno= 'SERNAQUE',apellido_materno= 'ZAPATA', nombre = 'OSCAR' where dni = '44398959';</v>
      </c>
    </row>
    <row r="95" spans="1:9" x14ac:dyDescent="0.25">
      <c r="A95" t="s">
        <v>190</v>
      </c>
      <c r="B95" t="s">
        <v>1987</v>
      </c>
      <c r="C95" t="s">
        <v>2110</v>
      </c>
      <c r="D95" t="s">
        <v>3648</v>
      </c>
      <c r="E95" s="2" t="s">
        <v>2898</v>
      </c>
      <c r="F95" t="s">
        <v>1743</v>
      </c>
      <c r="H95" t="s">
        <v>5289</v>
      </c>
      <c r="I95" t="str">
        <f t="shared" si="1"/>
        <v>update tbl_persona set apellido_paterno= 'GONZALES',apellido_materno= 'ESCURRA', nombre = 'PAULO RODRIGO' where dni = '73998900';</v>
      </c>
    </row>
    <row r="96" spans="1:9" x14ac:dyDescent="0.25">
      <c r="A96" t="s">
        <v>192</v>
      </c>
      <c r="B96" t="s">
        <v>1969</v>
      </c>
      <c r="C96" t="s">
        <v>2111</v>
      </c>
      <c r="D96" t="s">
        <v>3618</v>
      </c>
      <c r="E96" s="2" t="s">
        <v>2899</v>
      </c>
      <c r="F96" t="s">
        <v>1743</v>
      </c>
      <c r="H96" t="s">
        <v>5290</v>
      </c>
      <c r="I96" t="str">
        <f t="shared" si="1"/>
        <v>update tbl_persona set apellido_paterno= 'QUISPE',apellido_materno= 'CHUCTAYA', nombre = 'LUIS ALBERTO' where dni = '42288612';</v>
      </c>
    </row>
    <row r="97" spans="1:9" x14ac:dyDescent="0.25">
      <c r="A97" t="s">
        <v>194</v>
      </c>
      <c r="B97" t="s">
        <v>2112</v>
      </c>
      <c r="C97" t="s">
        <v>2113</v>
      </c>
      <c r="D97" t="s">
        <v>3649</v>
      </c>
      <c r="E97" s="2" t="s">
        <v>2900</v>
      </c>
      <c r="F97" t="s">
        <v>1743</v>
      </c>
      <c r="H97" t="s">
        <v>5291</v>
      </c>
      <c r="I97" t="str">
        <f t="shared" si="1"/>
        <v>update tbl_persona set apellido_paterno= 'HUASHUAYO',apellido_materno= 'CHACONDORI', nombre = 'LEONARD MICHAEL' where dni = '45750382';</v>
      </c>
    </row>
    <row r="98" spans="1:9" x14ac:dyDescent="0.25">
      <c r="A98" t="s">
        <v>196</v>
      </c>
      <c r="B98" t="s">
        <v>2114</v>
      </c>
      <c r="C98" t="s">
        <v>2115</v>
      </c>
      <c r="D98" t="s">
        <v>3650</v>
      </c>
      <c r="E98" s="2" t="s">
        <v>2901</v>
      </c>
      <c r="F98" t="s">
        <v>1743</v>
      </c>
      <c r="H98" t="s">
        <v>5292</v>
      </c>
      <c r="I98" t="str">
        <f t="shared" si="1"/>
        <v>update tbl_persona set apellido_paterno= 'OBREGON',apellido_materno= 'VILLAFUERTE', nombre = 'JOSE ANTONIO' where dni = '77702643';</v>
      </c>
    </row>
    <row r="99" spans="1:9" x14ac:dyDescent="0.25">
      <c r="A99" t="s">
        <v>198</v>
      </c>
      <c r="B99" t="s">
        <v>2023</v>
      </c>
      <c r="C99" t="s">
        <v>2116</v>
      </c>
      <c r="D99" t="s">
        <v>3651</v>
      </c>
      <c r="E99" s="2" t="s">
        <v>2902</v>
      </c>
      <c r="F99" t="s">
        <v>1743</v>
      </c>
      <c r="H99" t="s">
        <v>5293</v>
      </c>
      <c r="I99" t="str">
        <f t="shared" si="1"/>
        <v>update tbl_persona set apellido_paterno= 'LAZO',apellido_materno= 'YAURI', nombre = 'JOSIMAR FINDLAY' where dni = '43977839';</v>
      </c>
    </row>
    <row r="100" spans="1:9" x14ac:dyDescent="0.25">
      <c r="A100" t="s">
        <v>200</v>
      </c>
      <c r="B100" t="s">
        <v>2117</v>
      </c>
      <c r="C100" t="s">
        <v>2028</v>
      </c>
      <c r="D100" t="s">
        <v>3652</v>
      </c>
      <c r="E100" s="2" t="s">
        <v>2903</v>
      </c>
      <c r="F100" t="s">
        <v>1744</v>
      </c>
      <c r="H100" t="s">
        <v>5294</v>
      </c>
      <c r="I100" t="str">
        <f t="shared" si="1"/>
        <v>update tbl_persona set apellido_paterno= 'ZAVALETA',apellido_materno= 'RODRIGUEZ', nombre = 'NORMA JIMENA' where dni = '77073844';</v>
      </c>
    </row>
    <row r="101" spans="1:9" x14ac:dyDescent="0.25">
      <c r="A101" t="s">
        <v>202</v>
      </c>
      <c r="B101" t="s">
        <v>2118</v>
      </c>
      <c r="C101" t="s">
        <v>2119</v>
      </c>
      <c r="D101" t="s">
        <v>3650</v>
      </c>
      <c r="E101" s="2" t="s">
        <v>2904</v>
      </c>
      <c r="F101" t="s">
        <v>1743</v>
      </c>
      <c r="G101" t="s">
        <v>1563</v>
      </c>
      <c r="H101" t="s">
        <v>5295</v>
      </c>
      <c r="I101" t="str">
        <f t="shared" si="1"/>
        <v>update tbl_persona set apellido_paterno= 'VILCHEZ',apellido_materno= 'YOVERA', nombre = 'JOSE ANTONIO' where dni = '47428228';</v>
      </c>
    </row>
    <row r="102" spans="1:9" x14ac:dyDescent="0.25">
      <c r="A102" t="s">
        <v>204</v>
      </c>
      <c r="B102" t="s">
        <v>2120</v>
      </c>
      <c r="C102" t="s">
        <v>2004</v>
      </c>
      <c r="D102" t="s">
        <v>3653</v>
      </c>
      <c r="E102" s="2" t="s">
        <v>2905</v>
      </c>
      <c r="F102" t="s">
        <v>1743</v>
      </c>
      <c r="H102" t="s">
        <v>5296</v>
      </c>
      <c r="I102" t="str">
        <f t="shared" si="1"/>
        <v>update tbl_persona set apellido_paterno= 'SANTIAGO',apellido_materno= 'ROJAS', nombre = 'JEAN FRANCO' where dni = '48518363';</v>
      </c>
    </row>
    <row r="103" spans="1:9" x14ac:dyDescent="0.25">
      <c r="A103" t="s">
        <v>206</v>
      </c>
      <c r="B103" t="s">
        <v>2121</v>
      </c>
      <c r="C103" t="s">
        <v>2122</v>
      </c>
      <c r="D103" t="s">
        <v>3654</v>
      </c>
      <c r="E103" s="2" t="s">
        <v>2906</v>
      </c>
      <c r="F103" t="s">
        <v>1743</v>
      </c>
      <c r="H103" t="s">
        <v>5297</v>
      </c>
      <c r="I103" t="str">
        <f t="shared" si="1"/>
        <v>update tbl_persona set apellido_paterno= 'CAYRA',apellido_materno= 'YANQUI', nombre = 'GUILLERMO RENE' where dni = '42886042';</v>
      </c>
    </row>
    <row r="104" spans="1:9" x14ac:dyDescent="0.25">
      <c r="A104" t="s">
        <v>208</v>
      </c>
      <c r="B104" t="s">
        <v>2123</v>
      </c>
      <c r="C104" t="s">
        <v>2124</v>
      </c>
      <c r="D104" t="s">
        <v>3655</v>
      </c>
      <c r="E104" s="2" t="s">
        <v>4312</v>
      </c>
      <c r="F104" t="s">
        <v>1743</v>
      </c>
      <c r="H104" t="s">
        <v>5960</v>
      </c>
      <c r="I104" t="str">
        <f t="shared" si="1"/>
        <v>update tbl_persona set apellido_paterno= 'LAVADO',apellido_materno= 'POLANCO', nombre = 'SERGIO' where dni = '43774748';</v>
      </c>
    </row>
    <row r="105" spans="1:9" x14ac:dyDescent="0.25">
      <c r="A105" t="s">
        <v>447</v>
      </c>
      <c r="B105" t="s">
        <v>2265</v>
      </c>
      <c r="C105" t="s">
        <v>1993</v>
      </c>
      <c r="D105" t="s">
        <v>3656</v>
      </c>
      <c r="E105" s="2" t="s">
        <v>3111</v>
      </c>
      <c r="F105" t="s">
        <v>1743</v>
      </c>
      <c r="H105" t="s">
        <v>5298</v>
      </c>
      <c r="I105" t="str">
        <f t="shared" si="1"/>
        <v>update tbl_persona set apellido_paterno= 'LEON',apellido_materno= 'AGUILAR', nombre = 'PERCY EDGARDO' where dni = '18836237';</v>
      </c>
    </row>
    <row r="106" spans="1:9" x14ac:dyDescent="0.25">
      <c r="A106" t="s">
        <v>212</v>
      </c>
      <c r="B106" t="s">
        <v>2007</v>
      </c>
      <c r="C106" t="s">
        <v>1969</v>
      </c>
      <c r="D106" t="s">
        <v>3657</v>
      </c>
      <c r="E106" s="2" t="s">
        <v>2907</v>
      </c>
      <c r="F106" t="s">
        <v>1743</v>
      </c>
      <c r="H106" t="s">
        <v>5299</v>
      </c>
      <c r="I106" t="str">
        <f t="shared" si="1"/>
        <v>update tbl_persona set apellido_paterno= 'SUAREZ',apellido_materno= 'QUISPE', nombre = 'FRANK FELIX' where dni = '72526631';</v>
      </c>
    </row>
    <row r="107" spans="1:9" x14ac:dyDescent="0.25">
      <c r="A107" t="s">
        <v>214</v>
      </c>
      <c r="B107" t="s">
        <v>2127</v>
      </c>
      <c r="C107" t="s">
        <v>2128</v>
      </c>
      <c r="D107" t="s">
        <v>3658</v>
      </c>
      <c r="E107" s="2" t="s">
        <v>2908</v>
      </c>
      <c r="F107" t="s">
        <v>1743</v>
      </c>
      <c r="H107" t="s">
        <v>5300</v>
      </c>
      <c r="I107" t="str">
        <f t="shared" si="1"/>
        <v>update tbl_persona set apellido_paterno= 'ANGELES',apellido_materno= 'LOAYZA', nombre = 'JORGE LUIS' where dni = '47008403';</v>
      </c>
    </row>
    <row r="108" spans="1:9" x14ac:dyDescent="0.25">
      <c r="A108" t="s">
        <v>216</v>
      </c>
      <c r="B108" t="s">
        <v>2129</v>
      </c>
      <c r="C108" t="s">
        <v>2130</v>
      </c>
      <c r="D108" t="s">
        <v>3659</v>
      </c>
      <c r="E108" s="2" t="s">
        <v>2909</v>
      </c>
      <c r="F108" t="s">
        <v>1743</v>
      </c>
      <c r="H108" t="s">
        <v>5301</v>
      </c>
      <c r="I108" t="str">
        <f t="shared" si="1"/>
        <v>update tbl_persona set apellido_paterno= 'ARATA',apellido_materno= 'ANDA', nombre = 'ALFREDO EDUARDO' where dni = '40620193';</v>
      </c>
    </row>
    <row r="109" spans="1:9" x14ac:dyDescent="0.25">
      <c r="A109" t="s">
        <v>220</v>
      </c>
      <c r="B109" t="s">
        <v>1990</v>
      </c>
      <c r="C109" t="s">
        <v>1990</v>
      </c>
      <c r="D109" t="s">
        <v>3660</v>
      </c>
      <c r="E109" s="2" t="s">
        <v>2910</v>
      </c>
      <c r="F109" t="s">
        <v>1743</v>
      </c>
      <c r="H109" t="s">
        <v>5302</v>
      </c>
      <c r="I109" t="str">
        <f t="shared" si="1"/>
        <v>update tbl_persona set apellido_paterno= 'CALCINA',apellido_materno= 'CALCINA', nombre = 'RONAL' where dni = '44172777';</v>
      </c>
    </row>
    <row r="110" spans="1:9" x14ac:dyDescent="0.25">
      <c r="A110" t="s">
        <v>222</v>
      </c>
      <c r="B110" t="s">
        <v>2133</v>
      </c>
      <c r="C110" t="s">
        <v>2134</v>
      </c>
      <c r="D110" t="s">
        <v>3661</v>
      </c>
      <c r="E110" s="2" t="s">
        <v>2911</v>
      </c>
      <c r="F110" t="s">
        <v>1743</v>
      </c>
      <c r="H110" t="s">
        <v>5303</v>
      </c>
      <c r="I110" t="str">
        <f t="shared" si="1"/>
        <v>update tbl_persona set apellido_paterno= 'URBINA',apellido_materno= 'ZAPATA', nombre = 'IRVING GERARDO' where dni = '45394921';</v>
      </c>
    </row>
    <row r="111" spans="1:9" x14ac:dyDescent="0.25">
      <c r="A111" t="s">
        <v>224</v>
      </c>
      <c r="B111" t="s">
        <v>2135</v>
      </c>
      <c r="C111" t="s">
        <v>2136</v>
      </c>
      <c r="D111" t="s">
        <v>3662</v>
      </c>
      <c r="E111" s="2" t="s">
        <v>2912</v>
      </c>
      <c r="F111" t="s">
        <v>1743</v>
      </c>
      <c r="H111" t="s">
        <v>5304</v>
      </c>
      <c r="I111" t="str">
        <f t="shared" si="1"/>
        <v>update tbl_persona set apellido_paterno= 'ORBEGOSO',apellido_materno= 'MEREGILDO', nombre = 'ITALO JEANCARLO' where dni = '46808727';</v>
      </c>
    </row>
    <row r="112" spans="1:9" x14ac:dyDescent="0.25">
      <c r="A112" t="s">
        <v>226</v>
      </c>
      <c r="B112" t="s">
        <v>1969</v>
      </c>
      <c r="C112" t="s">
        <v>2137</v>
      </c>
      <c r="D112" t="s">
        <v>3663</v>
      </c>
      <c r="E112" s="2" t="s">
        <v>2913</v>
      </c>
      <c r="F112" t="s">
        <v>1743</v>
      </c>
      <c r="H112" t="s">
        <v>5305</v>
      </c>
      <c r="I112" t="str">
        <f t="shared" si="1"/>
        <v>update tbl_persona set apellido_paterno= 'QUISPE',apellido_materno= 'MOROCCO', nombre = 'WILVER' where dni = '10185224';</v>
      </c>
    </row>
    <row r="113" spans="1:9" x14ac:dyDescent="0.25">
      <c r="A113" t="s">
        <v>228</v>
      </c>
      <c r="B113" t="s">
        <v>2362</v>
      </c>
      <c r="C113" t="s">
        <v>2151</v>
      </c>
      <c r="D113" t="s">
        <v>3664</v>
      </c>
      <c r="E113" s="2" t="s">
        <v>4312</v>
      </c>
      <c r="F113" t="s">
        <v>1743</v>
      </c>
      <c r="H113" t="s">
        <v>5961</v>
      </c>
      <c r="I113" t="str">
        <f t="shared" si="1"/>
        <v>update tbl_persona set apellido_paterno= 'MARTINEZ',apellido_materno= 'BUSTAMANTE', nombre = 'CHRISTIAN MANUEL' where dni = '45096943';</v>
      </c>
    </row>
    <row r="114" spans="1:9" x14ac:dyDescent="0.25">
      <c r="A114" t="s">
        <v>229</v>
      </c>
      <c r="B114" t="s">
        <v>2008</v>
      </c>
      <c r="C114" t="s">
        <v>2014</v>
      </c>
      <c r="D114" t="s">
        <v>3665</v>
      </c>
      <c r="E114" s="2" t="s">
        <v>4312</v>
      </c>
      <c r="F114" t="s">
        <v>1743</v>
      </c>
      <c r="H114" t="s">
        <v>5962</v>
      </c>
      <c r="I114" t="str">
        <f t="shared" si="1"/>
        <v>update tbl_persona set apellido_paterno= 'MIRANDA',apellido_materno= 'GARCIA', nombre = 'SERGIO ANDRE' where dni = '72306861';</v>
      </c>
    </row>
    <row r="115" spans="1:9" x14ac:dyDescent="0.25">
      <c r="A115" t="s">
        <v>231</v>
      </c>
      <c r="B115" t="s">
        <v>2138</v>
      </c>
      <c r="C115" t="s">
        <v>2139</v>
      </c>
      <c r="D115" t="s">
        <v>3666</v>
      </c>
      <c r="E115" s="2" t="s">
        <v>2914</v>
      </c>
      <c r="F115" t="s">
        <v>1743</v>
      </c>
      <c r="H115" t="s">
        <v>5306</v>
      </c>
      <c r="I115" t="str">
        <f t="shared" si="1"/>
        <v>update tbl_persona set apellido_paterno= 'SAAVEDRA',apellido_materno= 'JAVE', nombre = 'DILMER BENJAMÍN' where dni = '45107043';</v>
      </c>
    </row>
    <row r="116" spans="1:9" x14ac:dyDescent="0.25">
      <c r="A116" t="s">
        <v>233</v>
      </c>
      <c r="B116" t="s">
        <v>2060</v>
      </c>
      <c r="C116" t="s">
        <v>2140</v>
      </c>
      <c r="D116" t="s">
        <v>3667</v>
      </c>
      <c r="E116" s="2" t="s">
        <v>2915</v>
      </c>
      <c r="F116" t="s">
        <v>1744</v>
      </c>
      <c r="H116" t="s">
        <v>5307</v>
      </c>
      <c r="I116" t="str">
        <f t="shared" si="1"/>
        <v>update tbl_persona set apellido_paterno= 'RAMOS',apellido_materno= 'ECHEVARRIA', nombre = 'LAURA MARICIELO' where dni = '77390981';</v>
      </c>
    </row>
    <row r="117" spans="1:9" x14ac:dyDescent="0.25">
      <c r="A117" t="s">
        <v>235</v>
      </c>
      <c r="B117" t="s">
        <v>2141</v>
      </c>
      <c r="C117" t="s">
        <v>2142</v>
      </c>
      <c r="D117" t="s">
        <v>3668</v>
      </c>
      <c r="E117" s="2" t="s">
        <v>4312</v>
      </c>
      <c r="F117" t="s">
        <v>1743</v>
      </c>
      <c r="H117" t="s">
        <v>5963</v>
      </c>
      <c r="I117" t="str">
        <f t="shared" si="1"/>
        <v>update tbl_persona set apellido_paterno= 'FALCON',apellido_materno= 'VARAS', nombre = 'JAIR' where dni = '44520465';</v>
      </c>
    </row>
    <row r="118" spans="1:9" x14ac:dyDescent="0.25">
      <c r="A118" t="s">
        <v>237</v>
      </c>
      <c r="B118" t="s">
        <v>2060</v>
      </c>
      <c r="C118" t="s">
        <v>2407</v>
      </c>
      <c r="D118" t="s">
        <v>3669</v>
      </c>
      <c r="E118" s="2" t="s">
        <v>2916</v>
      </c>
      <c r="F118" t="s">
        <v>1743</v>
      </c>
      <c r="H118" t="s">
        <v>5308</v>
      </c>
      <c r="I118" t="str">
        <f t="shared" si="1"/>
        <v>update tbl_persona set apellido_paterno= 'RAMOS',apellido_materno= 'ANCO', nombre = 'JESUS ENRIQUE' where dni = '72620898';</v>
      </c>
    </row>
    <row r="119" spans="1:9" x14ac:dyDescent="0.25">
      <c r="A119" t="s">
        <v>238</v>
      </c>
      <c r="B119" t="s">
        <v>2143</v>
      </c>
      <c r="C119" t="s">
        <v>2144</v>
      </c>
      <c r="D119" t="s">
        <v>3670</v>
      </c>
      <c r="E119" s="2" t="s">
        <v>2917</v>
      </c>
      <c r="F119" t="s">
        <v>1743</v>
      </c>
      <c r="H119" t="s">
        <v>5309</v>
      </c>
      <c r="I119" t="str">
        <f t="shared" si="1"/>
        <v>update tbl_persona set apellido_paterno= 'TORREJON',apellido_materno= 'TERREROS', nombre = 'JERSON LEONCIO' where dni = '73450457';</v>
      </c>
    </row>
    <row r="120" spans="1:9" x14ac:dyDescent="0.25">
      <c r="A120" t="s">
        <v>240</v>
      </c>
      <c r="B120" t="s">
        <v>2095</v>
      </c>
      <c r="C120" t="s">
        <v>2038</v>
      </c>
      <c r="D120" t="s">
        <v>3671</v>
      </c>
      <c r="E120" s="2" t="s">
        <v>2918</v>
      </c>
      <c r="F120" t="s">
        <v>1743</v>
      </c>
      <c r="H120" t="s">
        <v>5310</v>
      </c>
      <c r="I120" t="str">
        <f t="shared" si="1"/>
        <v>update tbl_persona set apellido_paterno= 'CONTRERAS',apellido_materno= 'MENDOZA', nombre = 'YUGERT JEFFERSSON' where dni = '73502260';</v>
      </c>
    </row>
    <row r="121" spans="1:9" x14ac:dyDescent="0.25">
      <c r="A121" t="s">
        <v>242</v>
      </c>
      <c r="B121" t="s">
        <v>2145</v>
      </c>
      <c r="C121" t="s">
        <v>1969</v>
      </c>
      <c r="D121" t="s">
        <v>3672</v>
      </c>
      <c r="E121" s="2" t="s">
        <v>2919</v>
      </c>
      <c r="F121" t="s">
        <v>1743</v>
      </c>
      <c r="H121" t="s">
        <v>5311</v>
      </c>
      <c r="I121" t="str">
        <f t="shared" si="1"/>
        <v>update tbl_persona set apellido_paterno= 'CCAMA',apellido_materno= 'QUISPE', nombre = 'JHON CARLOS' where dni = '70552546';</v>
      </c>
    </row>
    <row r="122" spans="1:9" x14ac:dyDescent="0.25">
      <c r="A122" t="s">
        <v>244</v>
      </c>
      <c r="B122" t="s">
        <v>2146</v>
      </c>
      <c r="C122" t="s">
        <v>1973</v>
      </c>
      <c r="D122" t="s">
        <v>3673</v>
      </c>
      <c r="E122" s="2" t="s">
        <v>2920</v>
      </c>
      <c r="F122" t="s">
        <v>1743</v>
      </c>
      <c r="G122" t="s">
        <v>1564</v>
      </c>
      <c r="H122" t="s">
        <v>5312</v>
      </c>
      <c r="I122" t="str">
        <f t="shared" si="1"/>
        <v>update tbl_persona set apellido_paterno= 'COVA',apellido_materno= 'LOPEZ', nombre = 'JULIO CESAR' where dni = '004241403';</v>
      </c>
    </row>
    <row r="123" spans="1:9" x14ac:dyDescent="0.25">
      <c r="A123" t="s">
        <v>246</v>
      </c>
      <c r="B123" t="s">
        <v>2147</v>
      </c>
      <c r="C123" t="s">
        <v>2095</v>
      </c>
      <c r="D123" t="s">
        <v>3674</v>
      </c>
      <c r="E123" s="2" t="s">
        <v>2921</v>
      </c>
      <c r="F123" t="s">
        <v>1743</v>
      </c>
      <c r="H123" t="s">
        <v>5313</v>
      </c>
      <c r="I123" t="str">
        <f t="shared" si="1"/>
        <v>update tbl_persona set apellido_paterno= 'BENAVENTE',apellido_materno= 'CONTRERAS', nombre = 'JHOSEPH OSMAR' where dni = '75016878';</v>
      </c>
    </row>
    <row r="124" spans="1:9" x14ac:dyDescent="0.25">
      <c r="A124" t="s">
        <v>248</v>
      </c>
      <c r="B124" t="s">
        <v>2148</v>
      </c>
      <c r="C124" t="s">
        <v>2148</v>
      </c>
      <c r="D124" t="s">
        <v>3675</v>
      </c>
      <c r="E124" s="2" t="s">
        <v>2922</v>
      </c>
      <c r="F124" t="s">
        <v>1743</v>
      </c>
      <c r="H124" t="s">
        <v>5314</v>
      </c>
      <c r="I124" t="str">
        <f t="shared" si="1"/>
        <v>update tbl_persona set apellido_paterno= 'CALAHUILLE',apellido_materno= 'CALAHUILLE', nombre = 'WILBER' where dni = '46979906';</v>
      </c>
    </row>
    <row r="125" spans="1:9" x14ac:dyDescent="0.25">
      <c r="A125" t="s">
        <v>293</v>
      </c>
      <c r="B125" t="s">
        <v>2177</v>
      </c>
      <c r="C125" t="s">
        <v>2178</v>
      </c>
      <c r="D125" t="s">
        <v>3676</v>
      </c>
      <c r="E125" s="2" t="s">
        <v>3016</v>
      </c>
      <c r="F125" t="s">
        <v>1743</v>
      </c>
      <c r="H125" t="s">
        <v>5315</v>
      </c>
      <c r="I125" t="str">
        <f t="shared" si="1"/>
        <v>update tbl_persona set apellido_paterno= 'FIGUEROA',apellido_materno= 'CCALLA', nombre = 'CESAR' where dni = '41107831';</v>
      </c>
    </row>
    <row r="126" spans="1:9" x14ac:dyDescent="0.25">
      <c r="A126" t="s">
        <v>252</v>
      </c>
      <c r="B126" t="s">
        <v>2151</v>
      </c>
      <c r="C126" t="s">
        <v>2152</v>
      </c>
      <c r="D126" t="s">
        <v>3677</v>
      </c>
      <c r="E126" s="2" t="s">
        <v>2924</v>
      </c>
      <c r="F126" t="s">
        <v>1743</v>
      </c>
      <c r="H126" t="s">
        <v>5316</v>
      </c>
      <c r="I126" t="str">
        <f t="shared" si="1"/>
        <v>update tbl_persona set apellido_paterno= 'BUSTAMANTE',apellido_materno= 'REYES', nombre = 'FRANK ANDERSON' where dni = '70361712';</v>
      </c>
    </row>
    <row r="127" spans="1:9" x14ac:dyDescent="0.25">
      <c r="A127" t="s">
        <v>254</v>
      </c>
      <c r="B127" t="s">
        <v>2153</v>
      </c>
      <c r="C127" t="s">
        <v>2154</v>
      </c>
      <c r="D127" t="s">
        <v>3678</v>
      </c>
      <c r="E127" s="2" t="s">
        <v>2925</v>
      </c>
      <c r="F127" t="s">
        <v>1743</v>
      </c>
      <c r="H127" t="s">
        <v>5317</v>
      </c>
      <c r="I127" t="str">
        <f t="shared" si="1"/>
        <v>update tbl_persona set apellido_paterno= 'PEÑALOZA',apellido_materno= 'ALMONACID', nombre = 'ALEJANDRO JUNIOR' where dni = '47259573';</v>
      </c>
    </row>
    <row r="128" spans="1:9" x14ac:dyDescent="0.25">
      <c r="A128" t="s">
        <v>256</v>
      </c>
      <c r="B128" t="s">
        <v>3539</v>
      </c>
      <c r="C128" t="s">
        <v>3540</v>
      </c>
      <c r="D128" t="s">
        <v>3679</v>
      </c>
      <c r="E128" s="2" t="s">
        <v>2926</v>
      </c>
      <c r="F128" t="s">
        <v>1743</v>
      </c>
      <c r="H128" t="s">
        <v>5318</v>
      </c>
      <c r="I128" t="str">
        <f t="shared" si="1"/>
        <v>update tbl_persona set apellido_paterno= 'MANAYAY',apellido_materno= 'SERQUEN', nombre = 'BERNANDINO ALEXANDER' where dni = '72740073';</v>
      </c>
    </row>
    <row r="129" spans="1:9" x14ac:dyDescent="0.25">
      <c r="A129" t="s">
        <v>257</v>
      </c>
      <c r="B129" t="s">
        <v>2155</v>
      </c>
      <c r="C129" t="s">
        <v>2011</v>
      </c>
      <c r="D129" t="s">
        <v>3680</v>
      </c>
      <c r="E129" s="2" t="s">
        <v>2927</v>
      </c>
      <c r="F129" t="s">
        <v>1743</v>
      </c>
      <c r="H129" t="s">
        <v>5319</v>
      </c>
      <c r="I129" t="str">
        <f t="shared" si="1"/>
        <v>update tbl_persona set apellido_paterno= 'IRIGOIN',apellido_materno= 'GUEVARA', nombre = 'FREDESVICTOR' where dni = '77388799';</v>
      </c>
    </row>
    <row r="130" spans="1:9" x14ac:dyDescent="0.25">
      <c r="A130" t="s">
        <v>259</v>
      </c>
      <c r="B130" t="s">
        <v>2156</v>
      </c>
      <c r="C130" t="s">
        <v>2153</v>
      </c>
      <c r="D130" t="s">
        <v>3681</v>
      </c>
      <c r="E130" s="2" t="s">
        <v>2928</v>
      </c>
      <c r="F130" t="s">
        <v>1743</v>
      </c>
      <c r="H130" t="s">
        <v>5320</v>
      </c>
      <c r="I130" t="str">
        <f t="shared" si="1"/>
        <v>update tbl_persona set apellido_paterno= 'POMAYA',apellido_materno= 'PEÑALOZA', nombre = 'RUSEL DILVER' where dni = '75361118';</v>
      </c>
    </row>
    <row r="131" spans="1:9" x14ac:dyDescent="0.25">
      <c r="A131" t="s">
        <v>261</v>
      </c>
      <c r="B131" t="s">
        <v>2157</v>
      </c>
      <c r="C131" t="s">
        <v>2157</v>
      </c>
      <c r="D131" t="s">
        <v>3682</v>
      </c>
      <c r="E131" s="2" t="s">
        <v>2929</v>
      </c>
      <c r="F131" t="s">
        <v>1743</v>
      </c>
      <c r="H131" t="s">
        <v>5321</v>
      </c>
      <c r="I131" t="str">
        <f t="shared" ref="I131:I194" si="2">_xlfn.CONCAT("update tbl_persona set apellido_paterno= '",B131,"',apellido_materno= '",C131,"', nombre = '",D131,"' where dni = '",A131,"';")</f>
        <v>update tbl_persona set apellido_paterno= 'HUAMAN',apellido_materno= 'HUAMAN', nombre = 'JHONATAN' where dni = '72965459';</v>
      </c>
    </row>
    <row r="132" spans="1:9" x14ac:dyDescent="0.25">
      <c r="A132" t="s">
        <v>263</v>
      </c>
      <c r="B132" t="s">
        <v>2158</v>
      </c>
      <c r="C132" t="s">
        <v>2012</v>
      </c>
      <c r="D132" t="s">
        <v>3683</v>
      </c>
      <c r="E132" s="2" t="s">
        <v>2930</v>
      </c>
      <c r="F132" t="s">
        <v>1743</v>
      </c>
      <c r="H132" t="s">
        <v>5322</v>
      </c>
      <c r="I132" t="str">
        <f t="shared" si="2"/>
        <v>update tbl_persona set apellido_paterno= 'BAZALAR',apellido_materno= 'GUTIERREZ', nombre = 'JEAN PIERRE' where dni = '45782476';</v>
      </c>
    </row>
    <row r="133" spans="1:9" x14ac:dyDescent="0.25">
      <c r="A133" t="s">
        <v>267</v>
      </c>
      <c r="B133" t="s">
        <v>2161</v>
      </c>
      <c r="C133" t="s">
        <v>2012</v>
      </c>
      <c r="D133" t="s">
        <v>3684</v>
      </c>
      <c r="E133" s="2" t="s">
        <v>4312</v>
      </c>
      <c r="F133" t="s">
        <v>1744</v>
      </c>
      <c r="H133" t="s">
        <v>5964</v>
      </c>
      <c r="I133" t="str">
        <f t="shared" si="2"/>
        <v>update tbl_persona set apellido_paterno= 'MENESES',apellido_materno= 'GUTIERREZ', nombre = 'JESSY MURIEL' where dni = '74291956';</v>
      </c>
    </row>
    <row r="134" spans="1:9" x14ac:dyDescent="0.25">
      <c r="A134" t="s">
        <v>269</v>
      </c>
      <c r="B134" t="s">
        <v>2162</v>
      </c>
      <c r="C134" t="s">
        <v>2163</v>
      </c>
      <c r="D134" t="s">
        <v>3685</v>
      </c>
      <c r="E134" s="2" t="s">
        <v>2931</v>
      </c>
      <c r="F134" t="s">
        <v>1743</v>
      </c>
      <c r="H134" t="s">
        <v>5323</v>
      </c>
      <c r="I134" t="str">
        <f t="shared" si="2"/>
        <v>update tbl_persona set apellido_paterno= 'UTURUNCO',apellido_materno= 'ARAPA', nombre = 'HOBARD VIDAL' where dni = '76426942';</v>
      </c>
    </row>
    <row r="135" spans="1:9" x14ac:dyDescent="0.25">
      <c r="A135" t="s">
        <v>271</v>
      </c>
      <c r="B135" t="s">
        <v>1975</v>
      </c>
      <c r="C135" t="s">
        <v>2164</v>
      </c>
      <c r="D135" t="s">
        <v>3686</v>
      </c>
      <c r="E135" s="2" t="s">
        <v>4312</v>
      </c>
      <c r="F135" t="s">
        <v>1743</v>
      </c>
      <c r="H135" t="s">
        <v>5965</v>
      </c>
      <c r="I135" t="str">
        <f t="shared" si="2"/>
        <v>update tbl_persona set apellido_paterno= 'DIAZ',apellido_materno= 'AGURTO', nombre = 'FRITZGERALD DEMETRY' where dni = '70857131';</v>
      </c>
    </row>
    <row r="136" spans="1:9" x14ac:dyDescent="0.25">
      <c r="A136" t="s">
        <v>273</v>
      </c>
      <c r="B136" t="s">
        <v>2165</v>
      </c>
      <c r="C136" t="s">
        <v>2074</v>
      </c>
      <c r="D136" t="s">
        <v>3687</v>
      </c>
      <c r="E136" s="2" t="s">
        <v>2932</v>
      </c>
      <c r="F136" t="s">
        <v>1743</v>
      </c>
      <c r="H136" t="s">
        <v>5324</v>
      </c>
      <c r="I136" t="str">
        <f t="shared" si="2"/>
        <v>update tbl_persona set apellido_paterno= 'CRISPIN',apellido_materno= 'TORRES', nombre = 'ENRIQUE MOISES' where dni = '41485942';</v>
      </c>
    </row>
    <row r="137" spans="1:9" x14ac:dyDescent="0.25">
      <c r="A137" t="s">
        <v>275</v>
      </c>
      <c r="B137" t="s">
        <v>2166</v>
      </c>
      <c r="C137" t="s">
        <v>2167</v>
      </c>
      <c r="D137" t="s">
        <v>3688</v>
      </c>
      <c r="E137" s="2" t="s">
        <v>2933</v>
      </c>
      <c r="F137" t="s">
        <v>1743</v>
      </c>
      <c r="G137" t="s">
        <v>1565</v>
      </c>
      <c r="H137" t="s">
        <v>5325</v>
      </c>
      <c r="I137" t="str">
        <f t="shared" si="2"/>
        <v>update tbl_persona set apellido_paterno= 'QUIJAITE',apellido_materno= 'JUAREZ', nombre = 'FELIX EDGARDO' where dni = '41319593';</v>
      </c>
    </row>
    <row r="138" spans="1:9" x14ac:dyDescent="0.25">
      <c r="A138" t="s">
        <v>277</v>
      </c>
      <c r="B138" t="s">
        <v>2168</v>
      </c>
      <c r="C138" t="s">
        <v>1967</v>
      </c>
      <c r="D138" t="s">
        <v>3689</v>
      </c>
      <c r="E138" s="2" t="s">
        <v>2934</v>
      </c>
      <c r="F138" t="s">
        <v>1743</v>
      </c>
      <c r="H138" t="s">
        <v>5326</v>
      </c>
      <c r="I138" t="str">
        <f t="shared" si="2"/>
        <v>update tbl_persona set apellido_paterno= 'VALZ',apellido_materno= 'FLORES', nombre = 'KARLO SEBASTIAN' where dni = '76175017';</v>
      </c>
    </row>
    <row r="139" spans="1:9" x14ac:dyDescent="0.25">
      <c r="A139" t="s">
        <v>114</v>
      </c>
      <c r="B139" t="s">
        <v>1972</v>
      </c>
      <c r="C139" t="s">
        <v>1973</v>
      </c>
      <c r="D139" t="s">
        <v>3690</v>
      </c>
      <c r="E139" s="2" t="s">
        <v>2829</v>
      </c>
      <c r="F139" t="s">
        <v>1743</v>
      </c>
      <c r="G139" t="s">
        <v>1576</v>
      </c>
      <c r="H139" t="s">
        <v>5327</v>
      </c>
      <c r="I139" t="str">
        <f t="shared" si="2"/>
        <v>update tbl_persona set apellido_paterno= 'CALERO',apellido_materno= 'LOPEZ', nombre = 'EULALIO' where dni = '41828065';</v>
      </c>
    </row>
    <row r="140" spans="1:9" x14ac:dyDescent="0.25">
      <c r="A140" t="s">
        <v>281</v>
      </c>
      <c r="B140" t="s">
        <v>2170</v>
      </c>
      <c r="C140" t="s">
        <v>2171</v>
      </c>
      <c r="D140" t="s">
        <v>3691</v>
      </c>
      <c r="E140" s="2" t="s">
        <v>2935</v>
      </c>
      <c r="F140" t="s">
        <v>1743</v>
      </c>
      <c r="H140" t="s">
        <v>5328</v>
      </c>
      <c r="I140" t="str">
        <f t="shared" si="2"/>
        <v>update tbl_persona set apellido_paterno= 'PUCUHUAYLA',apellido_materno= 'ALFARO', nombre = 'ANTONIO' where dni = '70234926';</v>
      </c>
    </row>
    <row r="141" spans="1:9" x14ac:dyDescent="0.25">
      <c r="A141" t="s">
        <v>283</v>
      </c>
      <c r="B141" t="s">
        <v>1975</v>
      </c>
      <c r="C141" t="s">
        <v>2172</v>
      </c>
      <c r="D141" t="s">
        <v>3692</v>
      </c>
      <c r="E141" s="2" t="s">
        <v>2936</v>
      </c>
      <c r="F141" t="s">
        <v>1743</v>
      </c>
      <c r="H141" t="s">
        <v>5329</v>
      </c>
      <c r="I141" t="str">
        <f t="shared" si="2"/>
        <v>update tbl_persona set apellido_paterno= 'DIAZ',apellido_materno= 'PARILLO', nombre = 'HUMBERTO RONNY' where dni = '76230595';</v>
      </c>
    </row>
    <row r="142" spans="1:9" x14ac:dyDescent="0.25">
      <c r="A142" t="s">
        <v>285</v>
      </c>
      <c r="B142" t="s">
        <v>2059</v>
      </c>
      <c r="C142" t="s">
        <v>2173</v>
      </c>
      <c r="D142" t="s">
        <v>3693</v>
      </c>
      <c r="E142" s="2" t="s">
        <v>2937</v>
      </c>
      <c r="F142" t="s">
        <v>1744</v>
      </c>
      <c r="H142" t="s">
        <v>5330</v>
      </c>
      <c r="I142" t="str">
        <f t="shared" si="2"/>
        <v>update tbl_persona set apellido_paterno= 'ARIAS',apellido_materno= 'SILVA', nombre = 'KATHERINE MILAGROS' where dni = '76935200';</v>
      </c>
    </row>
    <row r="143" spans="1:9" x14ac:dyDescent="0.25">
      <c r="A143" t="s">
        <v>287</v>
      </c>
      <c r="B143" t="s">
        <v>2326</v>
      </c>
      <c r="C143" t="s">
        <v>3541</v>
      </c>
      <c r="D143" t="s">
        <v>3694</v>
      </c>
      <c r="E143" s="2" t="s">
        <v>4312</v>
      </c>
      <c r="F143" t="s">
        <v>1743</v>
      </c>
      <c r="H143" t="s">
        <v>5966</v>
      </c>
      <c r="I143" t="str">
        <f t="shared" si="2"/>
        <v>update tbl_persona set apellido_paterno= 'RUFINO',apellido_materno= 'RIOFRIO', nombre = 'JEAN CARLOS' where dni = '73668329';</v>
      </c>
    </row>
    <row r="144" spans="1:9" x14ac:dyDescent="0.25">
      <c r="A144" t="s">
        <v>288</v>
      </c>
      <c r="B144" t="s">
        <v>2174</v>
      </c>
      <c r="C144" t="s">
        <v>2138</v>
      </c>
      <c r="D144" t="s">
        <v>3695</v>
      </c>
      <c r="E144" s="2" t="s">
        <v>2938</v>
      </c>
      <c r="F144" t="s">
        <v>1743</v>
      </c>
      <c r="H144" t="s">
        <v>5331</v>
      </c>
      <c r="I144" t="str">
        <f t="shared" si="2"/>
        <v>update tbl_persona set apellido_paterno= 'JOHANSON',apellido_materno= 'SAAVEDRA', nombre = 'DANTE EDMUNDO' where dni = '47656233';</v>
      </c>
    </row>
    <row r="145" spans="1:9" x14ac:dyDescent="0.25">
      <c r="A145" t="s">
        <v>290</v>
      </c>
      <c r="B145" t="s">
        <v>3542</v>
      </c>
      <c r="C145" t="s">
        <v>3543</v>
      </c>
      <c r="D145" t="s">
        <v>3696</v>
      </c>
      <c r="E145" s="2" t="s">
        <v>4312</v>
      </c>
      <c r="F145" t="s">
        <v>1743</v>
      </c>
      <c r="H145" t="s">
        <v>5967</v>
      </c>
      <c r="I145" t="str">
        <f t="shared" si="2"/>
        <v>update tbl_persona set apellido_paterno= 'JUNIOR',apellido_materno= 'ORLANDO', nombre = 'BERRU ZAPATA' where dni = '72781800';</v>
      </c>
    </row>
    <row r="146" spans="1:9" x14ac:dyDescent="0.25">
      <c r="A146" t="s">
        <v>291</v>
      </c>
      <c r="B146" t="s">
        <v>2175</v>
      </c>
      <c r="C146" t="s">
        <v>2176</v>
      </c>
      <c r="D146" t="s">
        <v>3697</v>
      </c>
      <c r="E146" s="2" t="s">
        <v>4312</v>
      </c>
      <c r="F146" t="s">
        <v>1743</v>
      </c>
      <c r="H146" t="s">
        <v>5968</v>
      </c>
      <c r="I146" t="str">
        <f t="shared" si="2"/>
        <v>update tbl_persona set apellido_paterno= 'PALACIOS',apellido_materno= 'SOTA', nombre = 'MARCEL ALI' where dni = '45149056';</v>
      </c>
    </row>
    <row r="147" spans="1:9" x14ac:dyDescent="0.25">
      <c r="A147" t="s">
        <v>295</v>
      </c>
      <c r="B147" t="s">
        <v>1962</v>
      </c>
      <c r="C147" t="s">
        <v>2179</v>
      </c>
      <c r="D147" t="s">
        <v>3698</v>
      </c>
      <c r="E147" s="2" t="s">
        <v>2939</v>
      </c>
      <c r="F147" t="s">
        <v>1743</v>
      </c>
      <c r="G147" t="s">
        <v>1566</v>
      </c>
      <c r="H147" t="s">
        <v>5332</v>
      </c>
      <c r="I147" t="str">
        <f t="shared" si="2"/>
        <v>update tbl_persona set apellido_paterno= 'ESPINOZA',apellido_materno= 'PAMPAS', nombre = 'JLENDER ELI' where dni = '74722282';</v>
      </c>
    </row>
    <row r="148" spans="1:9" x14ac:dyDescent="0.25">
      <c r="A148" t="s">
        <v>179</v>
      </c>
      <c r="B148" t="s">
        <v>1962</v>
      </c>
      <c r="C148" t="s">
        <v>2101</v>
      </c>
      <c r="D148" t="s">
        <v>3699</v>
      </c>
      <c r="E148" s="2" t="s">
        <v>2895</v>
      </c>
      <c r="F148" t="s">
        <v>1743</v>
      </c>
      <c r="H148" t="s">
        <v>5333</v>
      </c>
      <c r="I148" t="str">
        <f t="shared" si="2"/>
        <v>update tbl_persona set apellido_paterno= 'ESPINOZA',apellido_materno= 'PEREZ', nombre = 'LUIGUI BRAYAN' where dni = '45565399';</v>
      </c>
    </row>
    <row r="149" spans="1:9" x14ac:dyDescent="0.25">
      <c r="A149" t="s">
        <v>299</v>
      </c>
      <c r="B149" t="s">
        <v>2180</v>
      </c>
      <c r="C149" t="s">
        <v>2181</v>
      </c>
      <c r="D149" t="s">
        <v>3700</v>
      </c>
      <c r="E149" s="2" t="s">
        <v>2940</v>
      </c>
      <c r="F149" t="s">
        <v>1743</v>
      </c>
      <c r="H149" t="s">
        <v>5334</v>
      </c>
      <c r="I149" t="str">
        <f t="shared" si="2"/>
        <v>update tbl_persona set apellido_paterno= 'CHOQUE',apellido_materno= 'VILCA', nombre = 'ALEXANDER RAUL' where dni = '46698552';</v>
      </c>
    </row>
    <row r="150" spans="1:9" x14ac:dyDescent="0.25">
      <c r="A150" t="s">
        <v>301</v>
      </c>
      <c r="B150" t="s">
        <v>2072</v>
      </c>
      <c r="C150" t="s">
        <v>2182</v>
      </c>
      <c r="D150" t="s">
        <v>3701</v>
      </c>
      <c r="E150" s="2" t="s">
        <v>2941</v>
      </c>
      <c r="F150" t="s">
        <v>1743</v>
      </c>
      <c r="H150" t="s">
        <v>5335</v>
      </c>
      <c r="I150" t="str">
        <f t="shared" si="2"/>
        <v>update tbl_persona set apellido_paterno= 'CHAVEZ',apellido_materno= 'MALPARTIDA', nombre = 'KEVIN ANDY' where dni = '75450346';</v>
      </c>
    </row>
    <row r="151" spans="1:9" x14ac:dyDescent="0.25">
      <c r="A151" t="s">
        <v>303</v>
      </c>
      <c r="B151" t="s">
        <v>2449</v>
      </c>
      <c r="C151" t="s">
        <v>2490</v>
      </c>
      <c r="D151" t="s">
        <v>3702</v>
      </c>
      <c r="E151" s="2" t="s">
        <v>2942</v>
      </c>
      <c r="F151" t="s">
        <v>1743</v>
      </c>
      <c r="G151" t="s">
        <v>1567</v>
      </c>
      <c r="H151" t="s">
        <v>5336</v>
      </c>
      <c r="I151" t="str">
        <f t="shared" si="2"/>
        <v>update tbl_persona set apellido_paterno= 'ORTEGA',apellido_materno= 'TELLO', nombre = 'HENRY LUIS' where dni = '70853768';</v>
      </c>
    </row>
    <row r="152" spans="1:9" x14ac:dyDescent="0.25">
      <c r="A152" t="s">
        <v>304</v>
      </c>
      <c r="B152" t="s">
        <v>2252</v>
      </c>
      <c r="C152" t="s">
        <v>3544</v>
      </c>
      <c r="D152" t="s">
        <v>3703</v>
      </c>
      <c r="E152" s="2" t="s">
        <v>4312</v>
      </c>
      <c r="F152" t="s">
        <v>1743</v>
      </c>
      <c r="H152" t="s">
        <v>5969</v>
      </c>
      <c r="I152" t="str">
        <f t="shared" si="2"/>
        <v>update tbl_persona set apellido_paterno= 'SOTO',apellido_materno= 'HUARNIZ', nombre = 'MIGUEL ANTHONY' where dni = '70267769';</v>
      </c>
    </row>
    <row r="153" spans="1:9" x14ac:dyDescent="0.25">
      <c r="A153" t="s">
        <v>305</v>
      </c>
      <c r="B153" t="s">
        <v>2007</v>
      </c>
      <c r="C153" t="s">
        <v>1987</v>
      </c>
      <c r="D153" t="s">
        <v>3658</v>
      </c>
      <c r="E153" s="2" t="s">
        <v>2943</v>
      </c>
      <c r="F153" t="s">
        <v>1743</v>
      </c>
      <c r="H153" t="s">
        <v>5337</v>
      </c>
      <c r="I153" t="str">
        <f t="shared" si="2"/>
        <v>update tbl_persona set apellido_paterno= 'SUAREZ',apellido_materno= 'GONZALES', nombre = 'JORGE LUIS' where dni = '45481705';</v>
      </c>
    </row>
    <row r="154" spans="1:9" x14ac:dyDescent="0.25">
      <c r="A154" t="s">
        <v>307</v>
      </c>
      <c r="B154" t="s">
        <v>2183</v>
      </c>
      <c r="C154" t="s">
        <v>2184</v>
      </c>
      <c r="D154" t="s">
        <v>3704</v>
      </c>
      <c r="E154" s="2" t="s">
        <v>2944</v>
      </c>
      <c r="F154" t="s">
        <v>1743</v>
      </c>
      <c r="H154" t="s">
        <v>5338</v>
      </c>
      <c r="I154" t="str">
        <f t="shared" si="2"/>
        <v>update tbl_persona set apellido_paterno= 'BARJA',apellido_materno= 'NUÑEZ', nombre = 'CARLOS ADRIEL' where dni = '74710498';</v>
      </c>
    </row>
    <row r="155" spans="1:9" x14ac:dyDescent="0.25">
      <c r="A155" t="s">
        <v>309</v>
      </c>
      <c r="B155" t="s">
        <v>2185</v>
      </c>
      <c r="C155" t="s">
        <v>2186</v>
      </c>
      <c r="D155" t="s">
        <v>3705</v>
      </c>
      <c r="E155" s="2" t="s">
        <v>2945</v>
      </c>
      <c r="F155" t="s">
        <v>1743</v>
      </c>
      <c r="H155" t="s">
        <v>5339</v>
      </c>
      <c r="I155" t="str">
        <f t="shared" si="2"/>
        <v>update tbl_persona set apellido_paterno= 'CHINO',apellido_materno= 'ADUVIRI', nombre = 'TORIBIO' where dni = '43189984';</v>
      </c>
    </row>
    <row r="156" spans="1:9" x14ac:dyDescent="0.25">
      <c r="A156" t="s">
        <v>311</v>
      </c>
      <c r="B156" t="s">
        <v>2187</v>
      </c>
      <c r="C156" t="s">
        <v>2188</v>
      </c>
      <c r="D156" t="s">
        <v>3706</v>
      </c>
      <c r="E156" s="2" t="s">
        <v>2946</v>
      </c>
      <c r="F156" t="s">
        <v>1743</v>
      </c>
      <c r="G156" t="s">
        <v>1568</v>
      </c>
      <c r="H156" t="s">
        <v>5340</v>
      </c>
      <c r="I156" t="str">
        <f t="shared" si="2"/>
        <v>update tbl_persona set apellido_paterno= 'APAZA',apellido_materno= 'PUMA', nombre = 'WILFREDO' where dni = '76147441';</v>
      </c>
    </row>
    <row r="157" spans="1:9" x14ac:dyDescent="0.25">
      <c r="A157" t="s">
        <v>315</v>
      </c>
      <c r="B157" t="s">
        <v>3545</v>
      </c>
      <c r="C157" t="s">
        <v>3546</v>
      </c>
      <c r="D157" t="s">
        <v>3707</v>
      </c>
      <c r="E157" s="2" t="s">
        <v>4312</v>
      </c>
      <c r="F157" t="s">
        <v>1743</v>
      </c>
      <c r="H157" t="s">
        <v>5970</v>
      </c>
      <c r="I157" t="str">
        <f t="shared" si="2"/>
        <v>update tbl_persona set apellido_paterno= 'JORDAN',apellido_materno= 'TAPARA', nombre = 'RODRIGO' where dni = '72627711';</v>
      </c>
    </row>
    <row r="158" spans="1:9" x14ac:dyDescent="0.25">
      <c r="A158" t="s">
        <v>218</v>
      </c>
      <c r="B158" t="s">
        <v>2131</v>
      </c>
      <c r="C158" t="s">
        <v>2132</v>
      </c>
      <c r="D158" t="s">
        <v>3676</v>
      </c>
      <c r="E158" s="2" t="s">
        <v>3133</v>
      </c>
      <c r="F158" t="s">
        <v>1743</v>
      </c>
      <c r="H158" t="s">
        <v>5341</v>
      </c>
      <c r="I158" t="str">
        <f t="shared" si="2"/>
        <v>update tbl_persona set apellido_paterno= 'MACHACA',apellido_materno= 'AROCUTIPA', nombre = 'CESAR' where dni = '45830353';</v>
      </c>
    </row>
    <row r="159" spans="1:9" x14ac:dyDescent="0.25">
      <c r="A159" t="s">
        <v>317</v>
      </c>
      <c r="B159" t="s">
        <v>2190</v>
      </c>
      <c r="C159" t="s">
        <v>2074</v>
      </c>
      <c r="D159" t="s">
        <v>3708</v>
      </c>
      <c r="E159" s="2" t="s">
        <v>2948</v>
      </c>
      <c r="F159" t="s">
        <v>1743</v>
      </c>
      <c r="H159" t="s">
        <v>5342</v>
      </c>
      <c r="I159" t="str">
        <f t="shared" si="2"/>
        <v>update tbl_persona set apellido_paterno= 'ROMERO',apellido_materno= 'TORRES', nombre = 'GIANMARCO EDUARDO' where dni = '76461697';</v>
      </c>
    </row>
    <row r="160" spans="1:9" x14ac:dyDescent="0.25">
      <c r="A160" t="s">
        <v>319</v>
      </c>
      <c r="B160" t="s">
        <v>2191</v>
      </c>
      <c r="C160" t="s">
        <v>2074</v>
      </c>
      <c r="D160" t="s">
        <v>3709</v>
      </c>
      <c r="E160" s="2" t="s">
        <v>2949</v>
      </c>
      <c r="F160" t="s">
        <v>1743</v>
      </c>
      <c r="H160" t="s">
        <v>5343</v>
      </c>
      <c r="I160" t="str">
        <f t="shared" si="2"/>
        <v>update tbl_persona set apellido_paterno= 'VEGA',apellido_materno= 'TORRES', nombre = 'ELIAZEL ENRRIQUE' where dni = '75542794';</v>
      </c>
    </row>
    <row r="161" spans="1:9" x14ac:dyDescent="0.25">
      <c r="A161" t="s">
        <v>321</v>
      </c>
      <c r="B161" t="s">
        <v>2102</v>
      </c>
      <c r="C161" t="s">
        <v>2192</v>
      </c>
      <c r="D161" t="s">
        <v>3710</v>
      </c>
      <c r="E161" s="2" t="s">
        <v>2950</v>
      </c>
      <c r="F161" t="s">
        <v>1743</v>
      </c>
      <c r="H161" t="s">
        <v>5344</v>
      </c>
      <c r="I161" t="str">
        <f t="shared" si="2"/>
        <v>update tbl_persona set apellido_paterno= 'AVILA',apellido_materno= 'VENTO', nombre = 'OLGHER FABIAN' where dni = '77709159';</v>
      </c>
    </row>
    <row r="162" spans="1:9" x14ac:dyDescent="0.25">
      <c r="A162" t="s">
        <v>323</v>
      </c>
      <c r="B162" t="s">
        <v>2193</v>
      </c>
      <c r="C162" t="s">
        <v>1973</v>
      </c>
      <c r="D162" t="s">
        <v>3711</v>
      </c>
      <c r="E162" s="2" t="s">
        <v>2848</v>
      </c>
      <c r="F162" t="s">
        <v>1743</v>
      </c>
      <c r="H162" t="s">
        <v>5345</v>
      </c>
      <c r="I162" t="str">
        <f t="shared" si="2"/>
        <v>update tbl_persona set apellido_paterno= 'CASAS',apellido_materno= 'LOPEZ', nombre = 'CESAR AUGUSTO' where dni = '76231875';</v>
      </c>
    </row>
    <row r="163" spans="1:9" x14ac:dyDescent="0.25">
      <c r="A163" t="s">
        <v>325</v>
      </c>
      <c r="B163" t="s">
        <v>1963</v>
      </c>
      <c r="C163" t="s">
        <v>2194</v>
      </c>
      <c r="D163" t="s">
        <v>3712</v>
      </c>
      <c r="E163" s="2" t="s">
        <v>4312</v>
      </c>
      <c r="F163" t="s">
        <v>1743</v>
      </c>
      <c r="H163" t="s">
        <v>5971</v>
      </c>
      <c r="I163" t="str">
        <f t="shared" si="2"/>
        <v>update tbl_persona set apellido_paterno= 'HERRERA',apellido_materno= 'CRIOLLO', nombre = 'LEONEL' where dni = '48076442';</v>
      </c>
    </row>
    <row r="164" spans="1:9" x14ac:dyDescent="0.25">
      <c r="A164" t="s">
        <v>327</v>
      </c>
      <c r="B164" t="s">
        <v>2195</v>
      </c>
      <c r="C164" t="s">
        <v>2196</v>
      </c>
      <c r="D164" t="s">
        <v>3713</v>
      </c>
      <c r="E164" s="2" t="s">
        <v>2951</v>
      </c>
      <c r="F164" t="s">
        <v>1743</v>
      </c>
      <c r="H164" t="s">
        <v>5346</v>
      </c>
      <c r="I164" t="str">
        <f t="shared" si="2"/>
        <v>update tbl_persona set apellido_paterno= 'QUIROGA',apellido_materno= 'PALMA', nombre = 'JONATHAN JOSEPH' where dni = '72451846';</v>
      </c>
    </row>
    <row r="165" spans="1:9" x14ac:dyDescent="0.25">
      <c r="A165" t="s">
        <v>329</v>
      </c>
      <c r="B165" t="s">
        <v>2197</v>
      </c>
      <c r="C165" t="s">
        <v>2074</v>
      </c>
      <c r="D165" t="s">
        <v>3714</v>
      </c>
      <c r="E165" s="2" t="s">
        <v>2952</v>
      </c>
      <c r="F165" t="s">
        <v>1744</v>
      </c>
      <c r="H165" t="s">
        <v>5347</v>
      </c>
      <c r="I165" t="str">
        <f t="shared" si="2"/>
        <v>update tbl_persona set apellido_paterno= 'IMAN',apellido_materno= 'TORRES', nombre = 'NAYADA KIMBERLY ARIANA' where dni = '73930622';</v>
      </c>
    </row>
    <row r="166" spans="1:9" x14ac:dyDescent="0.25">
      <c r="A166" t="s">
        <v>331</v>
      </c>
      <c r="B166" t="s">
        <v>2655</v>
      </c>
      <c r="C166" t="s">
        <v>3548</v>
      </c>
      <c r="D166" t="s">
        <v>3715</v>
      </c>
      <c r="E166" s="2" t="s">
        <v>4312</v>
      </c>
      <c r="F166" t="s">
        <v>1743</v>
      </c>
      <c r="H166" t="s">
        <v>5972</v>
      </c>
      <c r="I166" t="str">
        <f t="shared" si="2"/>
        <v>update tbl_persona set apellido_paterno= 'MALLMA',apellido_materno= 'MOSQUERA', nombre = 'RELVI ORLAN' where dni = '47880552';</v>
      </c>
    </row>
    <row r="167" spans="1:9" x14ac:dyDescent="0.25">
      <c r="A167" t="s">
        <v>332</v>
      </c>
      <c r="B167" t="s">
        <v>2198</v>
      </c>
      <c r="C167" t="s">
        <v>2199</v>
      </c>
      <c r="D167" t="s">
        <v>3650</v>
      </c>
      <c r="E167" s="2" t="s">
        <v>2953</v>
      </c>
      <c r="F167" t="s">
        <v>1743</v>
      </c>
      <c r="H167" t="s">
        <v>5348</v>
      </c>
      <c r="I167" t="str">
        <f t="shared" si="2"/>
        <v>update tbl_persona set apellido_paterno= 'TINCO',apellido_materno= 'AUCCAHUASI', nombre = 'JOSE ANTONIO' where dni = '77680405';</v>
      </c>
    </row>
    <row r="168" spans="1:9" x14ac:dyDescent="0.25">
      <c r="A168" t="s">
        <v>334</v>
      </c>
      <c r="B168" t="s">
        <v>2200</v>
      </c>
      <c r="C168" t="s">
        <v>2191</v>
      </c>
      <c r="D168" t="s">
        <v>3716</v>
      </c>
      <c r="E168" s="2" t="s">
        <v>4312</v>
      </c>
      <c r="F168" t="s">
        <v>1743</v>
      </c>
      <c r="H168" t="s">
        <v>5973</v>
      </c>
      <c r="I168" t="str">
        <f t="shared" si="2"/>
        <v>update tbl_persona set apellido_paterno= 'ALMEYDA',apellido_materno= 'VEGA', nombre = 'MICHELL' where dni = '72452225';</v>
      </c>
    </row>
    <row r="169" spans="1:9" x14ac:dyDescent="0.25">
      <c r="A169" t="s">
        <v>336</v>
      </c>
      <c r="B169" t="s">
        <v>2029</v>
      </c>
      <c r="C169" t="s">
        <v>1973</v>
      </c>
      <c r="D169" t="s">
        <v>3717</v>
      </c>
      <c r="E169" s="2" t="s">
        <v>4312</v>
      </c>
      <c r="F169" t="s">
        <v>1743</v>
      </c>
      <c r="H169" t="s">
        <v>5974</v>
      </c>
      <c r="I169" t="str">
        <f t="shared" si="2"/>
        <v>update tbl_persona set apellido_paterno= 'ORTIZ',apellido_materno= 'LOPEZ', nombre = 'LEONARDO ADRIAN' where dni = '76627658';</v>
      </c>
    </row>
    <row r="170" spans="1:9" x14ac:dyDescent="0.25">
      <c r="A170" t="s">
        <v>338</v>
      </c>
      <c r="B170" t="s">
        <v>2201</v>
      </c>
      <c r="C170" t="s">
        <v>2202</v>
      </c>
      <c r="D170" t="s">
        <v>3718</v>
      </c>
      <c r="E170" s="2" t="s">
        <v>2954</v>
      </c>
      <c r="F170" t="s">
        <v>1743</v>
      </c>
      <c r="H170" t="s">
        <v>5349</v>
      </c>
      <c r="I170" t="str">
        <f t="shared" si="2"/>
        <v>update tbl_persona set apellido_paterno= 'CAMACHO',apellido_materno= 'SILVERIO', nombre = 'PEDRO CESAR' where dni = '75069752';</v>
      </c>
    </row>
    <row r="171" spans="1:9" x14ac:dyDescent="0.25">
      <c r="A171" t="s">
        <v>340</v>
      </c>
      <c r="B171" t="s">
        <v>2062</v>
      </c>
      <c r="C171" t="s">
        <v>2012</v>
      </c>
      <c r="D171" t="s">
        <v>3719</v>
      </c>
      <c r="E171" s="2" t="s">
        <v>4312</v>
      </c>
      <c r="F171" t="s">
        <v>1743</v>
      </c>
      <c r="H171" t="s">
        <v>5975</v>
      </c>
      <c r="I171" t="str">
        <f t="shared" si="2"/>
        <v>update tbl_persona set apellido_paterno= 'VARGAS',apellido_materno= 'GUTIERREZ', nombre = 'JOYCE' where dni = '77337125';</v>
      </c>
    </row>
    <row r="172" spans="1:9" x14ac:dyDescent="0.25">
      <c r="A172" t="s">
        <v>342</v>
      </c>
      <c r="B172" t="s">
        <v>2080</v>
      </c>
      <c r="C172" t="s">
        <v>2203</v>
      </c>
      <c r="D172" t="s">
        <v>3720</v>
      </c>
      <c r="E172" s="2" t="s">
        <v>2955</v>
      </c>
      <c r="F172" t="s">
        <v>1743</v>
      </c>
      <c r="H172" t="s">
        <v>5350</v>
      </c>
      <c r="I172" t="str">
        <f t="shared" si="2"/>
        <v>update tbl_persona set apellido_paterno= 'HUALLPA',apellido_materno= 'HUILLCA', nombre = 'WILSON FERNANDO' where dni = '73301250';</v>
      </c>
    </row>
    <row r="173" spans="1:9" x14ac:dyDescent="0.25">
      <c r="A173" t="s">
        <v>344</v>
      </c>
      <c r="B173" t="s">
        <v>2074</v>
      </c>
      <c r="C173" t="s">
        <v>2019</v>
      </c>
      <c r="D173" t="s">
        <v>3721</v>
      </c>
      <c r="E173" s="2" t="s">
        <v>2956</v>
      </c>
      <c r="F173" t="s">
        <v>1743</v>
      </c>
      <c r="H173" t="s">
        <v>5351</v>
      </c>
      <c r="I173" t="str">
        <f t="shared" si="2"/>
        <v>update tbl_persona set apellido_paterno= 'TORRES',apellido_materno= 'SANCHEZ', nombre = 'GONZALO JAVIER' where dni = '72429550';</v>
      </c>
    </row>
    <row r="174" spans="1:9" x14ac:dyDescent="0.25">
      <c r="A174" t="s">
        <v>346</v>
      </c>
      <c r="B174" t="s">
        <v>2204</v>
      </c>
      <c r="C174" t="s">
        <v>1989</v>
      </c>
      <c r="D174" t="s">
        <v>3722</v>
      </c>
      <c r="E174" s="2" t="s">
        <v>2957</v>
      </c>
      <c r="F174" t="s">
        <v>1743</v>
      </c>
      <c r="H174" t="s">
        <v>5352</v>
      </c>
      <c r="I174" t="str">
        <f t="shared" si="2"/>
        <v>update tbl_persona set apellido_paterno= 'MOGOLLON',apellido_materno= 'PALOMINO', nombre = 'ARNOLD OLIVER' where dni = '48271514';</v>
      </c>
    </row>
    <row r="175" spans="1:9" x14ac:dyDescent="0.25">
      <c r="A175" t="s">
        <v>348</v>
      </c>
      <c r="B175" t="s">
        <v>2205</v>
      </c>
      <c r="C175" t="s">
        <v>1995</v>
      </c>
      <c r="D175" t="s">
        <v>2354</v>
      </c>
      <c r="E175" s="2" t="s">
        <v>2958</v>
      </c>
      <c r="F175" t="s">
        <v>1743</v>
      </c>
      <c r="H175" t="s">
        <v>5353</v>
      </c>
      <c r="I175" t="str">
        <f t="shared" si="2"/>
        <v>update tbl_persona set apellido_paterno= 'TOSCANO',apellido_materno= 'FERNANDEZ', nombre = 'ERASMO' where dni = '75769849';</v>
      </c>
    </row>
    <row r="176" spans="1:9" x14ac:dyDescent="0.25">
      <c r="A176" t="s">
        <v>350</v>
      </c>
      <c r="B176" t="s">
        <v>2206</v>
      </c>
      <c r="C176" t="s">
        <v>2207</v>
      </c>
      <c r="D176" t="s">
        <v>3723</v>
      </c>
      <c r="E176" s="2" t="s">
        <v>2959</v>
      </c>
      <c r="F176" t="s">
        <v>1743</v>
      </c>
      <c r="H176" t="s">
        <v>5354</v>
      </c>
      <c r="I176" t="str">
        <f t="shared" si="2"/>
        <v>update tbl_persona set apellido_paterno= 'JIMENEZ',apellido_materno= 'BARTESAGHI', nombre = 'LUIS EDMUNDO' where dni = '47768861';</v>
      </c>
    </row>
    <row r="177" spans="1:9" x14ac:dyDescent="0.25">
      <c r="A177" t="s">
        <v>352</v>
      </c>
      <c r="B177" t="s">
        <v>2164</v>
      </c>
      <c r="C177" t="s">
        <v>2208</v>
      </c>
      <c r="D177" t="s">
        <v>3724</v>
      </c>
      <c r="E177" s="2" t="s">
        <v>4312</v>
      </c>
      <c r="F177" t="s">
        <v>1743</v>
      </c>
      <c r="H177" t="s">
        <v>5976</v>
      </c>
      <c r="I177" t="str">
        <f t="shared" si="2"/>
        <v>update tbl_persona set apellido_paterno= 'AGURTO',apellido_materno= 'HUACAUSI', nombre = 'WILMER FREDDY' where dni = '47514096';</v>
      </c>
    </row>
    <row r="178" spans="1:9" x14ac:dyDescent="0.25">
      <c r="A178" t="s">
        <v>354</v>
      </c>
      <c r="B178" t="s">
        <v>2052</v>
      </c>
      <c r="C178" t="s">
        <v>2038</v>
      </c>
      <c r="D178" t="s">
        <v>3725</v>
      </c>
      <c r="E178" s="2" t="s">
        <v>2960</v>
      </c>
      <c r="F178" t="s">
        <v>1743</v>
      </c>
      <c r="H178" t="s">
        <v>5355</v>
      </c>
      <c r="I178" t="str">
        <f t="shared" si="2"/>
        <v>update tbl_persona set apellido_paterno= 'RIOS',apellido_materno= 'MENDOZA', nombre = 'LEONARDO ANTONIO' where dni = '76083021';</v>
      </c>
    </row>
    <row r="179" spans="1:9" x14ac:dyDescent="0.25">
      <c r="A179" t="s">
        <v>356</v>
      </c>
      <c r="B179" t="s">
        <v>2209</v>
      </c>
      <c r="C179" t="s">
        <v>2210</v>
      </c>
      <c r="D179" t="s">
        <v>3726</v>
      </c>
      <c r="E179" s="2" t="s">
        <v>4312</v>
      </c>
      <c r="F179" t="s">
        <v>1743</v>
      </c>
      <c r="H179" t="s">
        <v>5977</v>
      </c>
      <c r="I179" t="str">
        <f t="shared" si="2"/>
        <v>update tbl_persona set apellido_paterno= 'RIVADENEYRA',apellido_materno= 'ZAMBRANO', nombre = 'FABRICIO PIERRE' where dni = '43288742';</v>
      </c>
    </row>
    <row r="180" spans="1:9" x14ac:dyDescent="0.25">
      <c r="A180" t="s">
        <v>358</v>
      </c>
      <c r="B180" t="s">
        <v>2211</v>
      </c>
      <c r="C180" t="s">
        <v>2212</v>
      </c>
      <c r="D180" t="s">
        <v>3727</v>
      </c>
      <c r="E180" s="2" t="s">
        <v>2961</v>
      </c>
      <c r="F180" t="s">
        <v>1743</v>
      </c>
      <c r="H180" t="s">
        <v>5356</v>
      </c>
      <c r="I180" t="str">
        <f t="shared" si="2"/>
        <v>update tbl_persona set apellido_paterno= 'SALDIVAR',apellido_materno= 'SEQUEIROS', nombre = 'RENZO JUVENAL' where dni = '47839098';</v>
      </c>
    </row>
    <row r="181" spans="1:9" x14ac:dyDescent="0.25">
      <c r="A181" t="s">
        <v>360</v>
      </c>
      <c r="B181" t="s">
        <v>2043</v>
      </c>
      <c r="C181" t="s">
        <v>2195</v>
      </c>
      <c r="D181" t="s">
        <v>3728</v>
      </c>
      <c r="E181" s="2" t="s">
        <v>4312</v>
      </c>
      <c r="F181" t="s">
        <v>1743</v>
      </c>
      <c r="H181" t="s">
        <v>5978</v>
      </c>
      <c r="I181" t="str">
        <f t="shared" si="2"/>
        <v>update tbl_persona set apellido_paterno= 'RAMIREZ',apellido_materno= 'QUIROGA', nombre = 'HÉCTOR ANDRÉS' where dni = '74461157';</v>
      </c>
    </row>
    <row r="182" spans="1:9" x14ac:dyDescent="0.25">
      <c r="A182" t="s">
        <v>362</v>
      </c>
      <c r="B182" t="s">
        <v>2213</v>
      </c>
      <c r="C182" t="s">
        <v>2214</v>
      </c>
      <c r="D182" t="s">
        <v>3729</v>
      </c>
      <c r="E182" s="2" t="s">
        <v>4312</v>
      </c>
      <c r="F182" t="s">
        <v>1743</v>
      </c>
      <c r="H182" t="s">
        <v>5979</v>
      </c>
      <c r="I182" t="str">
        <f t="shared" si="2"/>
        <v>update tbl_persona set apellido_paterno= 'CISNEROS',apellido_materno= 'YESAN', nombre = 'ROY KEVIN' where dni = '71807127';</v>
      </c>
    </row>
    <row r="183" spans="1:9" x14ac:dyDescent="0.25">
      <c r="A183" t="s">
        <v>364</v>
      </c>
      <c r="B183" t="s">
        <v>2215</v>
      </c>
      <c r="C183" t="s">
        <v>2216</v>
      </c>
      <c r="D183" t="s">
        <v>3730</v>
      </c>
      <c r="E183" s="2" t="s">
        <v>2962</v>
      </c>
      <c r="F183" t="s">
        <v>1743</v>
      </c>
      <c r="H183" t="s">
        <v>5357</v>
      </c>
      <c r="I183" t="str">
        <f t="shared" si="2"/>
        <v>update tbl_persona set apellido_paterno= 'LAMPA',apellido_materno= 'CCASO', nombre = 'JUAN JOSE' where dni = '70817411';</v>
      </c>
    </row>
    <row r="184" spans="1:9" x14ac:dyDescent="0.25">
      <c r="A184" t="s">
        <v>366</v>
      </c>
      <c r="B184" t="s">
        <v>1969</v>
      </c>
      <c r="C184" t="s">
        <v>2217</v>
      </c>
      <c r="D184" t="s">
        <v>3628</v>
      </c>
      <c r="E184" s="2" t="s">
        <v>2963</v>
      </c>
      <c r="F184" t="s">
        <v>1743</v>
      </c>
      <c r="H184" t="s">
        <v>5358</v>
      </c>
      <c r="I184" t="str">
        <f t="shared" si="2"/>
        <v>update tbl_persona set apellido_paterno= 'QUISPE',apellido_materno= 'PACCO', nombre = 'ALEX' where dni = '71924746';</v>
      </c>
    </row>
    <row r="185" spans="1:9" x14ac:dyDescent="0.25">
      <c r="A185" t="s">
        <v>368</v>
      </c>
      <c r="B185" t="s">
        <v>2004</v>
      </c>
      <c r="C185" t="s">
        <v>1986</v>
      </c>
      <c r="D185" t="s">
        <v>3731</v>
      </c>
      <c r="E185" s="2" t="s">
        <v>2964</v>
      </c>
      <c r="F185" t="s">
        <v>1743</v>
      </c>
      <c r="H185" t="s">
        <v>5359</v>
      </c>
      <c r="I185" t="str">
        <f t="shared" si="2"/>
        <v>update tbl_persona set apellido_paterno= 'ROJAS',apellido_materno= 'RIVERA', nombre = 'JAVIER ALEXANDER' where dni = '70605150';</v>
      </c>
    </row>
    <row r="186" spans="1:9" x14ac:dyDescent="0.25">
      <c r="A186" t="s">
        <v>372</v>
      </c>
      <c r="B186" t="s">
        <v>3549</v>
      </c>
      <c r="C186" t="s">
        <v>3550</v>
      </c>
      <c r="D186" t="s">
        <v>3732</v>
      </c>
      <c r="E186" s="2" t="s">
        <v>4312</v>
      </c>
      <c r="F186" t="s">
        <v>1743</v>
      </c>
      <c r="H186" t="s">
        <v>5980</v>
      </c>
      <c r="I186" t="str">
        <f t="shared" si="2"/>
        <v>update tbl_persona set apellido_paterno= 'LLAXA',apellido_materno= 'ACASIO', nombre = 'CARLOS GABRIEL' where dni = '72528632';</v>
      </c>
    </row>
    <row r="187" spans="1:9" x14ac:dyDescent="0.25">
      <c r="A187" t="s">
        <v>373</v>
      </c>
      <c r="B187" t="s">
        <v>3551</v>
      </c>
      <c r="C187" t="s">
        <v>3552</v>
      </c>
      <c r="D187" t="s">
        <v>3733</v>
      </c>
      <c r="E187" s="2" t="s">
        <v>4312</v>
      </c>
      <c r="F187" t="s">
        <v>1743</v>
      </c>
      <c r="H187" t="s">
        <v>5981</v>
      </c>
      <c r="I187" t="str">
        <f t="shared" si="2"/>
        <v>update tbl_persona set apellido_paterno= 'MARQUEZ',apellido_materno= 'PRIETO', nombre = 'BILLY JOEL' where dni = '70128416';</v>
      </c>
    </row>
    <row r="188" spans="1:9" x14ac:dyDescent="0.25">
      <c r="A188" t="s">
        <v>374</v>
      </c>
      <c r="B188" t="s">
        <v>2219</v>
      </c>
      <c r="C188" t="s">
        <v>2220</v>
      </c>
      <c r="D188" t="s">
        <v>3734</v>
      </c>
      <c r="E188" s="2" t="s">
        <v>2965</v>
      </c>
      <c r="F188" t="s">
        <v>1743</v>
      </c>
      <c r="H188" t="s">
        <v>5360</v>
      </c>
      <c r="I188" t="str">
        <f t="shared" si="2"/>
        <v>update tbl_persona set apellido_paterno= 'HUACHO',apellido_materno= 'CELIS', nombre = 'KENETH MICHAEL' where dni = '75795555';</v>
      </c>
    </row>
    <row r="189" spans="1:9" x14ac:dyDescent="0.25">
      <c r="A189" t="s">
        <v>376</v>
      </c>
      <c r="B189" t="s">
        <v>2221</v>
      </c>
      <c r="C189" t="s">
        <v>2222</v>
      </c>
      <c r="D189" t="s">
        <v>3735</v>
      </c>
      <c r="E189" s="2" t="s">
        <v>4312</v>
      </c>
      <c r="F189" t="s">
        <v>1743</v>
      </c>
      <c r="H189" t="s">
        <v>5982</v>
      </c>
      <c r="I189" t="str">
        <f t="shared" si="2"/>
        <v>update tbl_persona set apellido_paterno= 'SALAS',apellido_materno= 'BRAVO', nombre = 'PIERINA MILAGROS' where dni = '70025303';</v>
      </c>
    </row>
    <row r="190" spans="1:9" x14ac:dyDescent="0.25">
      <c r="A190" t="s">
        <v>378</v>
      </c>
      <c r="B190" t="s">
        <v>2223</v>
      </c>
      <c r="C190" t="s">
        <v>2224</v>
      </c>
      <c r="D190" t="s">
        <v>3736</v>
      </c>
      <c r="E190" s="2" t="s">
        <v>4312</v>
      </c>
      <c r="F190" t="s">
        <v>1743</v>
      </c>
      <c r="H190" t="s">
        <v>5983</v>
      </c>
      <c r="I190" t="str">
        <f t="shared" si="2"/>
        <v>update tbl_persona set apellido_paterno= 'ALEGRIA',apellido_materno= 'PELAYO', nombre = 'NELSON WALTER' where dni = '73815045';</v>
      </c>
    </row>
    <row r="191" spans="1:9" x14ac:dyDescent="0.25">
      <c r="A191" t="s">
        <v>380</v>
      </c>
      <c r="B191" t="s">
        <v>3553</v>
      </c>
      <c r="C191" t="s">
        <v>3554</v>
      </c>
      <c r="D191" t="s">
        <v>3737</v>
      </c>
      <c r="E191" s="2" t="s">
        <v>2966</v>
      </c>
      <c r="F191" t="s">
        <v>1743</v>
      </c>
      <c r="H191" t="s">
        <v>5361</v>
      </c>
      <c r="I191" t="str">
        <f t="shared" si="2"/>
        <v>update tbl_persona set apellido_paterno= 'GADEA',apellido_materno= 'SANTISTEBAN', nombre = 'GERARDO MANUEL DE JESUS' where dni = '71926921';</v>
      </c>
    </row>
    <row r="192" spans="1:9" x14ac:dyDescent="0.25">
      <c r="A192" t="s">
        <v>381</v>
      </c>
      <c r="B192" t="s">
        <v>2225</v>
      </c>
      <c r="C192" t="s">
        <v>2226</v>
      </c>
      <c r="D192" t="s">
        <v>3738</v>
      </c>
      <c r="E192" s="2" t="s">
        <v>2967</v>
      </c>
      <c r="F192" t="s">
        <v>1743</v>
      </c>
      <c r="H192" t="s">
        <v>5362</v>
      </c>
      <c r="I192" t="str">
        <f t="shared" si="2"/>
        <v>update tbl_persona set apellido_paterno= 'GIL',apellido_materno= 'CUSIHUALLPA', nombre = 'EDISON' where dni = '45578309';</v>
      </c>
    </row>
    <row r="193" spans="1:9" x14ac:dyDescent="0.25">
      <c r="A193" t="s">
        <v>383</v>
      </c>
      <c r="B193" t="s">
        <v>2227</v>
      </c>
      <c r="C193" t="s">
        <v>2138</v>
      </c>
      <c r="D193" t="s">
        <v>3739</v>
      </c>
      <c r="E193" s="2" t="s">
        <v>2968</v>
      </c>
      <c r="F193" t="s">
        <v>1743</v>
      </c>
      <c r="H193" t="s">
        <v>5363</v>
      </c>
      <c r="I193" t="str">
        <f t="shared" si="2"/>
        <v>update tbl_persona set apellido_paterno= 'CAPUÑAY',apellido_materno= 'SAAVEDRA', nombre = 'JOSE MIGUEL' where dni = '43168092';</v>
      </c>
    </row>
    <row r="194" spans="1:9" x14ac:dyDescent="0.25">
      <c r="A194" t="s">
        <v>250</v>
      </c>
      <c r="B194" t="s">
        <v>2149</v>
      </c>
      <c r="C194" t="s">
        <v>2150</v>
      </c>
      <c r="D194" t="s">
        <v>3740</v>
      </c>
      <c r="E194" s="2" t="s">
        <v>3269</v>
      </c>
      <c r="F194" t="s">
        <v>1743</v>
      </c>
      <c r="H194" t="s">
        <v>5364</v>
      </c>
      <c r="I194" t="str">
        <f t="shared" si="2"/>
        <v>update tbl_persona set apellido_paterno= 'CUADRA',apellido_materno= 'PASQUEL', nombre = 'JESUS ALEJANDRO' where dni = '46061615';</v>
      </c>
    </row>
    <row r="195" spans="1:9" x14ac:dyDescent="0.25">
      <c r="A195" t="s">
        <v>387</v>
      </c>
      <c r="B195" t="s">
        <v>2229</v>
      </c>
      <c r="C195" t="s">
        <v>2230</v>
      </c>
      <c r="D195" t="s">
        <v>3542</v>
      </c>
      <c r="E195" s="2" t="s">
        <v>4312</v>
      </c>
      <c r="F195" t="s">
        <v>1743</v>
      </c>
      <c r="H195" t="s">
        <v>5984</v>
      </c>
      <c r="I195" t="str">
        <f t="shared" ref="I195:I258" si="3">_xlfn.CONCAT("update tbl_persona set apellido_paterno= '",B195,"',apellido_materno= '",C195,"', nombre = '",D195,"' where dni = '",A195,"';")</f>
        <v>update tbl_persona set apellido_paterno= 'OCUPA',apellido_materno= 'LABAN', nombre = 'JUNIOR' where dni = '71880837';</v>
      </c>
    </row>
    <row r="196" spans="1:9" x14ac:dyDescent="0.25">
      <c r="A196" t="s">
        <v>389</v>
      </c>
      <c r="B196" t="s">
        <v>1967</v>
      </c>
      <c r="C196" t="s">
        <v>2180</v>
      </c>
      <c r="D196" t="s">
        <v>3741</v>
      </c>
      <c r="E196" s="2" t="s">
        <v>2953</v>
      </c>
      <c r="F196" t="s">
        <v>1743</v>
      </c>
      <c r="H196" t="s">
        <v>5365</v>
      </c>
      <c r="I196" t="str">
        <f t="shared" si="3"/>
        <v>update tbl_persona set apellido_paterno= 'FLORES',apellido_materno= 'CHOQUE', nombre = 'LUIS ALEXANDER' where dni = '74486441';</v>
      </c>
    </row>
    <row r="197" spans="1:9" x14ac:dyDescent="0.25">
      <c r="A197" t="s">
        <v>391</v>
      </c>
      <c r="B197" t="s">
        <v>2231</v>
      </c>
      <c r="C197" t="s">
        <v>2232</v>
      </c>
      <c r="D197" t="s">
        <v>3742</v>
      </c>
      <c r="E197" s="2" t="s">
        <v>2969</v>
      </c>
      <c r="F197" t="s">
        <v>1743</v>
      </c>
      <c r="H197" t="s">
        <v>5366</v>
      </c>
      <c r="I197" t="str">
        <f t="shared" si="3"/>
        <v>update tbl_persona set apellido_paterno= 'ANCIETA',apellido_materno= 'HUALLAMARES', nombre = 'VICTOR HUGO' where dni = '43245929';</v>
      </c>
    </row>
    <row r="198" spans="1:9" x14ac:dyDescent="0.25">
      <c r="A198" t="s">
        <v>393</v>
      </c>
      <c r="B198" t="s">
        <v>1975</v>
      </c>
      <c r="C198" t="s">
        <v>2233</v>
      </c>
      <c r="D198" t="s">
        <v>3743</v>
      </c>
      <c r="E198" s="2" t="s">
        <v>2970</v>
      </c>
      <c r="F198" t="s">
        <v>1743</v>
      </c>
      <c r="H198" t="s">
        <v>5367</v>
      </c>
      <c r="I198" t="str">
        <f t="shared" si="3"/>
        <v>update tbl_persona set apellido_paterno= 'DIAZ',apellido_materno= 'NORIEGA', nombre = 'CESAR MANUEL' where dni = '40507733';</v>
      </c>
    </row>
    <row r="199" spans="1:9" x14ac:dyDescent="0.25">
      <c r="A199" t="s">
        <v>395</v>
      </c>
      <c r="B199" t="s">
        <v>2234</v>
      </c>
      <c r="C199" t="s">
        <v>1984</v>
      </c>
      <c r="D199" t="s">
        <v>3744</v>
      </c>
      <c r="E199" s="2" t="s">
        <v>2971</v>
      </c>
      <c r="F199" t="s">
        <v>1743</v>
      </c>
      <c r="H199" t="s">
        <v>5368</v>
      </c>
      <c r="I199" t="str">
        <f t="shared" si="3"/>
        <v>update tbl_persona set apellido_paterno= 'HINOJOSA',apellido_materno= 'TTITO', nombre = 'LUIS ALDAIR' where dni = '76163175';</v>
      </c>
    </row>
    <row r="200" spans="1:9" x14ac:dyDescent="0.25">
      <c r="A200" t="s">
        <v>397</v>
      </c>
      <c r="B200" t="s">
        <v>2157</v>
      </c>
      <c r="C200" t="s">
        <v>2235</v>
      </c>
      <c r="D200" t="s">
        <v>3618</v>
      </c>
      <c r="E200" s="2" t="s">
        <v>2972</v>
      </c>
      <c r="F200" t="s">
        <v>1743</v>
      </c>
      <c r="H200" t="s">
        <v>5369</v>
      </c>
      <c r="I200" t="str">
        <f t="shared" si="3"/>
        <v>update tbl_persona set apellido_paterno= 'HUAMAN',apellido_materno= 'SUPA', nombre = 'LUIS ALBERTO' where dni = '45642738';</v>
      </c>
    </row>
    <row r="201" spans="1:9" x14ac:dyDescent="0.25">
      <c r="A201" t="s">
        <v>399</v>
      </c>
      <c r="B201" t="s">
        <v>2236</v>
      </c>
      <c r="C201" t="s">
        <v>2237</v>
      </c>
      <c r="D201" t="s">
        <v>3745</v>
      </c>
      <c r="E201" s="2" t="s">
        <v>2973</v>
      </c>
      <c r="F201" t="s">
        <v>1743</v>
      </c>
      <c r="H201" t="s">
        <v>5370</v>
      </c>
      <c r="I201" t="str">
        <f t="shared" si="3"/>
        <v>update tbl_persona set apellido_paterno= 'ALFONZO',apellido_materno= 'SABINO', nombre = 'EVELIO JOSÉ' where dni = '001927983';</v>
      </c>
    </row>
    <row r="202" spans="1:9" x14ac:dyDescent="0.25">
      <c r="A202" t="s">
        <v>401</v>
      </c>
      <c r="B202" t="s">
        <v>2125</v>
      </c>
      <c r="C202" t="s">
        <v>2238</v>
      </c>
      <c r="D202" t="s">
        <v>3746</v>
      </c>
      <c r="E202" s="2" t="s">
        <v>2974</v>
      </c>
      <c r="F202" t="s">
        <v>1743</v>
      </c>
      <c r="H202" t="s">
        <v>5371</v>
      </c>
      <c r="I202" t="str">
        <f t="shared" si="3"/>
        <v>update tbl_persona set apellido_paterno= 'RUIZ',apellido_materno= 'ROSALINO', nombre = 'JOHN SIXTO' where dni = '40199190';</v>
      </c>
    </row>
    <row r="203" spans="1:9" x14ac:dyDescent="0.25">
      <c r="A203" t="s">
        <v>403</v>
      </c>
      <c r="B203" t="s">
        <v>3555</v>
      </c>
      <c r="C203" t="s">
        <v>2180</v>
      </c>
      <c r="D203" t="s">
        <v>3747</v>
      </c>
      <c r="E203" s="2" t="s">
        <v>4312</v>
      </c>
      <c r="F203" t="s">
        <v>1743</v>
      </c>
      <c r="H203" t="s">
        <v>5985</v>
      </c>
      <c r="I203" t="str">
        <f t="shared" si="3"/>
        <v>update tbl_persona set apellido_paterno= 'VENTOCILLA',apellido_materno= 'CHOQUE', nombre = 'PETER SAM' where dni = '42203379';</v>
      </c>
    </row>
    <row r="204" spans="1:9" x14ac:dyDescent="0.25">
      <c r="A204" t="s">
        <v>404</v>
      </c>
      <c r="B204" t="s">
        <v>3556</v>
      </c>
      <c r="C204" t="s">
        <v>2171</v>
      </c>
      <c r="D204" t="s">
        <v>3748</v>
      </c>
      <c r="E204" s="2" t="s">
        <v>4312</v>
      </c>
      <c r="F204" t="s">
        <v>1743</v>
      </c>
      <c r="H204" t="s">
        <v>5986</v>
      </c>
      <c r="I204" t="str">
        <f t="shared" si="3"/>
        <v>update tbl_persona set apellido_paterno= 'BACA',apellido_materno= 'ALFARO', nombre = 'FRANCISCO EULOGIO' where dni = '10867019';</v>
      </c>
    </row>
    <row r="205" spans="1:9" x14ac:dyDescent="0.25">
      <c r="A205" t="s">
        <v>405</v>
      </c>
      <c r="B205" t="s">
        <v>2191</v>
      </c>
      <c r="C205" t="s">
        <v>2239</v>
      </c>
      <c r="D205" t="s">
        <v>3749</v>
      </c>
      <c r="E205" s="2" t="s">
        <v>2975</v>
      </c>
      <c r="F205" t="s">
        <v>1743</v>
      </c>
      <c r="H205" t="s">
        <v>5372</v>
      </c>
      <c r="I205" t="str">
        <f t="shared" si="3"/>
        <v>update tbl_persona set apellido_paterno= 'VEGA',apellido_materno= 'FEIJOO', nombre = 'ELISEO' where dni = '44937847';</v>
      </c>
    </row>
    <row r="206" spans="1:9" x14ac:dyDescent="0.25">
      <c r="A206" t="s">
        <v>407</v>
      </c>
      <c r="B206" t="s">
        <v>2074</v>
      </c>
      <c r="C206" t="s">
        <v>2078</v>
      </c>
      <c r="D206" t="s">
        <v>3673</v>
      </c>
      <c r="E206" s="2" t="s">
        <v>2976</v>
      </c>
      <c r="F206" t="s">
        <v>1743</v>
      </c>
      <c r="H206" t="s">
        <v>5373</v>
      </c>
      <c r="I206" t="str">
        <f t="shared" si="3"/>
        <v>update tbl_persona set apellido_paterno= 'TORRES',apellido_materno= 'REQUENA', nombre = 'JULIO CESAR' where dni = '73657196';</v>
      </c>
    </row>
    <row r="207" spans="1:9" x14ac:dyDescent="0.25">
      <c r="A207" t="s">
        <v>409</v>
      </c>
      <c r="B207" t="s">
        <v>2024</v>
      </c>
      <c r="C207" t="s">
        <v>2240</v>
      </c>
      <c r="D207" t="s">
        <v>3750</v>
      </c>
      <c r="E207" s="2" t="s">
        <v>4312</v>
      </c>
      <c r="F207" t="s">
        <v>1743</v>
      </c>
      <c r="H207" t="s">
        <v>5987</v>
      </c>
      <c r="I207" t="str">
        <f t="shared" si="3"/>
        <v>update tbl_persona set apellido_paterno= 'CONDORI',apellido_materno= 'HUANQUI', nombre = 'DIEGO AUGUSTO' where dni = '74303103';</v>
      </c>
    </row>
    <row r="208" spans="1:9" x14ac:dyDescent="0.25">
      <c r="A208" t="s">
        <v>411</v>
      </c>
      <c r="B208" t="s">
        <v>2241</v>
      </c>
      <c r="C208" t="s">
        <v>2242</v>
      </c>
      <c r="D208" t="s">
        <v>3751</v>
      </c>
      <c r="E208" s="2" t="s">
        <v>2977</v>
      </c>
      <c r="F208" t="s">
        <v>1743</v>
      </c>
      <c r="H208" t="s">
        <v>5374</v>
      </c>
      <c r="I208" t="str">
        <f t="shared" si="3"/>
        <v>update tbl_persona set apellido_paterno= 'CHUNGA',apellido_materno= 'VALVERDE', nombre = 'SEGUNDO JULIAN' where dni = '75480374';</v>
      </c>
    </row>
    <row r="209" spans="1:9" x14ac:dyDescent="0.25">
      <c r="A209" t="s">
        <v>413</v>
      </c>
      <c r="B209" t="s">
        <v>2206</v>
      </c>
      <c r="C209" t="s">
        <v>2243</v>
      </c>
      <c r="D209" t="s">
        <v>3752</v>
      </c>
      <c r="E209" s="2" t="s">
        <v>2978</v>
      </c>
      <c r="F209" t="s">
        <v>1743</v>
      </c>
      <c r="H209" t="s">
        <v>5375</v>
      </c>
      <c r="I209" t="str">
        <f t="shared" si="3"/>
        <v>update tbl_persona set apellido_paterno= 'JIMENEZ',apellido_materno= 'MUÑOZ', nombre = 'TITO MAGAYAL' where dni = '77342445';</v>
      </c>
    </row>
    <row r="210" spans="1:9" x14ac:dyDescent="0.25">
      <c r="A210" t="s">
        <v>415</v>
      </c>
      <c r="B210" t="s">
        <v>2244</v>
      </c>
      <c r="C210" t="s">
        <v>2245</v>
      </c>
      <c r="D210" t="s">
        <v>3753</v>
      </c>
      <c r="E210" s="2" t="s">
        <v>4312</v>
      </c>
      <c r="F210" t="s">
        <v>1744</v>
      </c>
      <c r="H210" t="s">
        <v>5988</v>
      </c>
      <c r="I210" t="str">
        <f t="shared" si="3"/>
        <v>update tbl_persona set apellido_paterno= 'DAMIAN',apellido_materno= 'SULLON', nombre = 'SARAH BELEN' where dni = '77540450';</v>
      </c>
    </row>
    <row r="211" spans="1:9" x14ac:dyDescent="0.25">
      <c r="A211" t="s">
        <v>417</v>
      </c>
      <c r="B211" t="s">
        <v>2201</v>
      </c>
      <c r="C211" t="s">
        <v>2246</v>
      </c>
      <c r="D211" t="s">
        <v>3754</v>
      </c>
      <c r="E211" s="2" t="s">
        <v>4312</v>
      </c>
      <c r="F211" t="s">
        <v>1743</v>
      </c>
      <c r="H211" t="s">
        <v>5989</v>
      </c>
      <c r="I211" t="str">
        <f t="shared" si="3"/>
        <v>update tbl_persona set apellido_paterno= 'CAMACHO',apellido_materno= 'MONTALVO', nombre = 'FRANK ALDAREIR' where dni = '48148309';</v>
      </c>
    </row>
    <row r="212" spans="1:9" x14ac:dyDescent="0.25">
      <c r="A212" t="s">
        <v>419</v>
      </c>
      <c r="B212" t="s">
        <v>2181</v>
      </c>
      <c r="C212" t="s">
        <v>2247</v>
      </c>
      <c r="D212" t="s">
        <v>3755</v>
      </c>
      <c r="E212" s="2" t="s">
        <v>4312</v>
      </c>
      <c r="F212" t="s">
        <v>1743</v>
      </c>
      <c r="H212" t="s">
        <v>5990</v>
      </c>
      <c r="I212" t="str">
        <f t="shared" si="3"/>
        <v>update tbl_persona set apellido_paterno= 'VILCA',apellido_materno= 'AGUIRRE', nombre = 'JOSÉ LUIS' where dni = '70111846';</v>
      </c>
    </row>
    <row r="213" spans="1:9" x14ac:dyDescent="0.25">
      <c r="A213" t="s">
        <v>421</v>
      </c>
      <c r="B213" t="s">
        <v>2248</v>
      </c>
      <c r="C213" t="s">
        <v>2249</v>
      </c>
      <c r="D213" t="s">
        <v>3756</v>
      </c>
      <c r="E213" s="2" t="s">
        <v>2979</v>
      </c>
      <c r="F213" t="s">
        <v>1743</v>
      </c>
      <c r="H213" t="s">
        <v>5376</v>
      </c>
      <c r="I213" t="str">
        <f t="shared" si="3"/>
        <v>update tbl_persona set apellido_paterno= 'TEZEN',apellido_materno= 'ZURITA', nombre = 'WILLIAM FRANCISCO' where dni = '75822867';</v>
      </c>
    </row>
    <row r="214" spans="1:9" x14ac:dyDescent="0.25">
      <c r="A214" t="s">
        <v>423</v>
      </c>
      <c r="B214" t="s">
        <v>2250</v>
      </c>
      <c r="C214" t="s">
        <v>2251</v>
      </c>
      <c r="D214" t="s">
        <v>3757</v>
      </c>
      <c r="E214" s="2" t="s">
        <v>2980</v>
      </c>
      <c r="F214" t="s">
        <v>1743</v>
      </c>
      <c r="H214" t="s">
        <v>5377</v>
      </c>
      <c r="I214" t="str">
        <f t="shared" si="3"/>
        <v>update tbl_persona set apellido_paterno= 'PINTADO',apellido_materno= 'CHAMBA', nombre = 'EDWIN' where dni = '72230277';</v>
      </c>
    </row>
    <row r="215" spans="1:9" x14ac:dyDescent="0.25">
      <c r="A215" t="s">
        <v>425</v>
      </c>
      <c r="B215" t="s">
        <v>2252</v>
      </c>
      <c r="C215" t="s">
        <v>2253</v>
      </c>
      <c r="D215" t="s">
        <v>3758</v>
      </c>
      <c r="E215" s="2" t="s">
        <v>2981</v>
      </c>
      <c r="F215" t="s">
        <v>1743</v>
      </c>
      <c r="H215" t="s">
        <v>5378</v>
      </c>
      <c r="I215" t="str">
        <f t="shared" si="3"/>
        <v>update tbl_persona set apellido_paterno= 'SOTO',apellido_materno= 'REATEGUI', nombre = 'BORIS DANIEL' where dni = '72716005';</v>
      </c>
    </row>
    <row r="216" spans="1:9" x14ac:dyDescent="0.25">
      <c r="A216" t="s">
        <v>427</v>
      </c>
      <c r="B216" t="s">
        <v>2254</v>
      </c>
      <c r="C216" t="s">
        <v>2060</v>
      </c>
      <c r="D216" t="s">
        <v>3759</v>
      </c>
      <c r="E216" s="2" t="s">
        <v>4312</v>
      </c>
      <c r="F216" t="s">
        <v>1743</v>
      </c>
      <c r="H216" t="s">
        <v>5991</v>
      </c>
      <c r="I216" t="str">
        <f t="shared" si="3"/>
        <v>update tbl_persona set apellido_paterno= 'YBAÑEZ',apellido_materno= 'RAMOS', nombre = 'HENRRY ENRIQUE' where dni = '74087877';</v>
      </c>
    </row>
    <row r="217" spans="1:9" x14ac:dyDescent="0.25">
      <c r="A217" t="s">
        <v>429</v>
      </c>
      <c r="B217" t="s">
        <v>2255</v>
      </c>
      <c r="C217" t="s">
        <v>2256</v>
      </c>
      <c r="D217" t="s">
        <v>3760</v>
      </c>
      <c r="E217" s="2" t="s">
        <v>2982</v>
      </c>
      <c r="F217" t="s">
        <v>1743</v>
      </c>
      <c r="H217" t="s">
        <v>5379</v>
      </c>
      <c r="I217" t="str">
        <f t="shared" si="3"/>
        <v>update tbl_persona set apellido_paterno= 'NAVARRO',apellido_materno= 'VEINTIMILLA', nombre = 'LUIS GONZALO' where dni = '74977152';</v>
      </c>
    </row>
    <row r="218" spans="1:9" x14ac:dyDescent="0.25">
      <c r="A218" t="s">
        <v>370</v>
      </c>
      <c r="B218" t="s">
        <v>2149</v>
      </c>
      <c r="C218" t="s">
        <v>2218</v>
      </c>
      <c r="D218" t="s">
        <v>3761</v>
      </c>
      <c r="E218" s="2" t="s">
        <v>2990</v>
      </c>
      <c r="F218" t="s">
        <v>1743</v>
      </c>
      <c r="H218" t="s">
        <v>5380</v>
      </c>
      <c r="I218" t="str">
        <f t="shared" si="3"/>
        <v>update tbl_persona set apellido_paterno= 'CUADRA',apellido_materno= 'MONTECINO', nombre = 'WILMER' where dni = '46517617';</v>
      </c>
    </row>
    <row r="219" spans="1:9" x14ac:dyDescent="0.25">
      <c r="A219" t="s">
        <v>435</v>
      </c>
      <c r="B219" t="s">
        <v>2014</v>
      </c>
      <c r="C219" t="s">
        <v>2260</v>
      </c>
      <c r="D219" t="s">
        <v>3762</v>
      </c>
      <c r="E219" s="2" t="s">
        <v>2983</v>
      </c>
      <c r="F219" t="s">
        <v>1743</v>
      </c>
      <c r="H219" t="s">
        <v>5381</v>
      </c>
      <c r="I219" t="str">
        <f t="shared" si="3"/>
        <v>update tbl_persona set apellido_paterno= 'GARCIA',apellido_materno= 'SERNA', nombre = 'RONY JEANPIERRE EUSEBIO' where dni = '74581644';</v>
      </c>
    </row>
    <row r="220" spans="1:9" x14ac:dyDescent="0.25">
      <c r="A220" t="s">
        <v>437</v>
      </c>
      <c r="B220" t="s">
        <v>2261</v>
      </c>
      <c r="C220" t="s">
        <v>2058</v>
      </c>
      <c r="D220" t="s">
        <v>3763</v>
      </c>
      <c r="E220" s="2" t="s">
        <v>2984</v>
      </c>
      <c r="F220" t="s">
        <v>1743</v>
      </c>
      <c r="H220" t="s">
        <v>5382</v>
      </c>
      <c r="I220" t="str">
        <f t="shared" si="3"/>
        <v>update tbl_persona set apellido_paterno= 'SULLCA',apellido_materno= 'CCORAHUA', nombre = 'HENRY' where dni = '73545811';</v>
      </c>
    </row>
    <row r="221" spans="1:9" x14ac:dyDescent="0.25">
      <c r="A221" t="s">
        <v>439</v>
      </c>
      <c r="B221" t="s">
        <v>2262</v>
      </c>
      <c r="C221" t="s">
        <v>1969</v>
      </c>
      <c r="D221" t="s">
        <v>3764</v>
      </c>
      <c r="E221" s="2" t="s">
        <v>2986</v>
      </c>
      <c r="F221" t="s">
        <v>1743</v>
      </c>
      <c r="H221" t="s">
        <v>5383</v>
      </c>
      <c r="I221" t="str">
        <f t="shared" si="3"/>
        <v>update tbl_persona set apellido_paterno= 'CACMA',apellido_materno= 'QUISPE', nombre = 'GUIDO RAY' where dni = '45147592';</v>
      </c>
    </row>
    <row r="222" spans="1:9" x14ac:dyDescent="0.25">
      <c r="A222" t="s">
        <v>441</v>
      </c>
      <c r="B222" t="s">
        <v>2108</v>
      </c>
      <c r="C222" t="s">
        <v>2169</v>
      </c>
      <c r="D222" t="s">
        <v>3765</v>
      </c>
      <c r="E222" s="2" t="s">
        <v>2987</v>
      </c>
      <c r="F222" t="s">
        <v>1743</v>
      </c>
      <c r="H222" t="s">
        <v>5384</v>
      </c>
      <c r="I222" t="str">
        <f t="shared" si="3"/>
        <v>update tbl_persona set apellido_paterno= 'PIZARRO',apellido_materno= 'POMA', nombre = 'EDISON VIRNEY' where dni = '41270434';</v>
      </c>
    </row>
    <row r="223" spans="1:9" x14ac:dyDescent="0.25">
      <c r="A223" t="s">
        <v>443</v>
      </c>
      <c r="B223" t="s">
        <v>2019</v>
      </c>
      <c r="C223" t="s">
        <v>2206</v>
      </c>
      <c r="D223" t="s">
        <v>3766</v>
      </c>
      <c r="E223" s="2" t="s">
        <v>2988</v>
      </c>
      <c r="F223" t="s">
        <v>1743</v>
      </c>
      <c r="H223" t="s">
        <v>5385</v>
      </c>
      <c r="I223" t="str">
        <f t="shared" si="3"/>
        <v>update tbl_persona set apellido_paterno= 'SANCHEZ',apellido_materno= 'JIMENEZ', nombre = 'JOSE ARQUIMEDES' where dni = '42235256';</v>
      </c>
    </row>
    <row r="224" spans="1:9" x14ac:dyDescent="0.25">
      <c r="A224" t="s">
        <v>445</v>
      </c>
      <c r="B224" t="s">
        <v>2263</v>
      </c>
      <c r="C224" t="s">
        <v>2264</v>
      </c>
      <c r="D224" t="s">
        <v>3767</v>
      </c>
      <c r="E224" s="2" t="s">
        <v>2989</v>
      </c>
      <c r="F224" t="s">
        <v>1744</v>
      </c>
      <c r="H224" t="s">
        <v>5386</v>
      </c>
      <c r="I224" t="str">
        <f t="shared" si="3"/>
        <v>update tbl_persona set apellido_paterno= 'MEGO',apellido_materno= 'ALARCON', nombre = 'FELLY ROSARIO' where dni = '70658854';</v>
      </c>
    </row>
    <row r="225" spans="1:9" x14ac:dyDescent="0.25">
      <c r="A225" t="s">
        <v>462</v>
      </c>
      <c r="B225" t="s">
        <v>2273</v>
      </c>
      <c r="C225" t="s">
        <v>2274</v>
      </c>
      <c r="D225" t="s">
        <v>3768</v>
      </c>
      <c r="E225" s="2" t="s">
        <v>2998</v>
      </c>
      <c r="F225" t="s">
        <v>1743</v>
      </c>
      <c r="G225" t="s">
        <v>1571</v>
      </c>
      <c r="H225" t="s">
        <v>5387</v>
      </c>
      <c r="I225" t="str">
        <f t="shared" si="3"/>
        <v>update tbl_persona set apellido_paterno= 'ARREGUI',apellido_materno= 'NOLORBE', nombre = 'CHRISTOPHER MIKE' where dni = '47655661';</v>
      </c>
    </row>
    <row r="226" spans="1:9" x14ac:dyDescent="0.25">
      <c r="A226" t="s">
        <v>128</v>
      </c>
      <c r="B226" t="s">
        <v>2065</v>
      </c>
      <c r="C226" t="s">
        <v>2066</v>
      </c>
      <c r="D226" t="s">
        <v>3769</v>
      </c>
      <c r="E226" s="2" t="s">
        <v>2996</v>
      </c>
      <c r="F226" t="s">
        <v>1743</v>
      </c>
      <c r="G226" t="s">
        <v>1570</v>
      </c>
      <c r="H226" t="s">
        <v>5388</v>
      </c>
      <c r="I226" t="str">
        <f t="shared" si="3"/>
        <v>update tbl_persona set apellido_paterno= 'GATICA',apellido_materno= 'MOZOMBITE', nombre = 'JEFFERSON JUNIOR' where dni = '47699213';</v>
      </c>
    </row>
    <row r="227" spans="1:9" x14ac:dyDescent="0.25">
      <c r="A227" t="s">
        <v>449</v>
      </c>
      <c r="B227" t="s">
        <v>2014</v>
      </c>
      <c r="C227" t="s">
        <v>2266</v>
      </c>
      <c r="D227" t="s">
        <v>3770</v>
      </c>
      <c r="E227" s="2" t="s">
        <v>2992</v>
      </c>
      <c r="F227" t="s">
        <v>1743</v>
      </c>
      <c r="H227" t="s">
        <v>5389</v>
      </c>
      <c r="I227" t="str">
        <f t="shared" si="3"/>
        <v>update tbl_persona set apellido_paterno= 'GARCIA',apellido_materno= 'ALVAN', nombre = 'FRANCK JOSE' where dni = '47131003';</v>
      </c>
    </row>
    <row r="228" spans="1:9" x14ac:dyDescent="0.25">
      <c r="A228" t="s">
        <v>451</v>
      </c>
      <c r="B228" t="s">
        <v>1969</v>
      </c>
      <c r="C228" t="s">
        <v>2116</v>
      </c>
      <c r="D228" t="s">
        <v>3771</v>
      </c>
      <c r="E228" s="2" t="s">
        <v>2993</v>
      </c>
      <c r="F228" t="s">
        <v>1743</v>
      </c>
      <c r="H228" t="s">
        <v>5390</v>
      </c>
      <c r="I228" t="str">
        <f t="shared" si="3"/>
        <v>update tbl_persona set apellido_paterno= 'QUISPE',apellido_materno= 'YAURI', nombre = 'DAVID ELIGIO' where dni = '74854146';</v>
      </c>
    </row>
    <row r="229" spans="1:9" x14ac:dyDescent="0.25">
      <c r="A229" t="s">
        <v>454</v>
      </c>
      <c r="B229" t="s">
        <v>2268</v>
      </c>
      <c r="C229" t="s">
        <v>2269</v>
      </c>
      <c r="D229" t="s">
        <v>3772</v>
      </c>
      <c r="E229" s="2" t="s">
        <v>2994</v>
      </c>
      <c r="F229" t="s">
        <v>1744</v>
      </c>
      <c r="H229" t="s">
        <v>5391</v>
      </c>
      <c r="I229" t="str">
        <f t="shared" si="3"/>
        <v>update tbl_persona set apellido_paterno= 'DURAN',apellido_materno= 'CAMONES', nombre = 'LARIZA LISETH' where dni = '74222776';</v>
      </c>
    </row>
    <row r="230" spans="1:9" x14ac:dyDescent="0.25">
      <c r="A230" t="s">
        <v>456</v>
      </c>
      <c r="B230" t="s">
        <v>2270</v>
      </c>
      <c r="C230" t="s">
        <v>2004</v>
      </c>
      <c r="D230" t="s">
        <v>3773</v>
      </c>
      <c r="E230" s="2" t="s">
        <v>2995</v>
      </c>
      <c r="F230" t="s">
        <v>1743</v>
      </c>
      <c r="H230" t="s">
        <v>5392</v>
      </c>
      <c r="I230" t="str">
        <f t="shared" si="3"/>
        <v>update tbl_persona set apellido_paterno= 'SUCSO',apellido_materno= 'ROJAS', nombre = 'LEONER ADRIAN' where dni = '72694558';</v>
      </c>
    </row>
    <row r="231" spans="1:9" x14ac:dyDescent="0.25">
      <c r="A231" t="s">
        <v>458</v>
      </c>
      <c r="B231" t="s">
        <v>2023</v>
      </c>
      <c r="C231" t="s">
        <v>2271</v>
      </c>
      <c r="D231" t="s">
        <v>3774</v>
      </c>
      <c r="E231" s="2" t="s">
        <v>4312</v>
      </c>
      <c r="F231" t="s">
        <v>1743</v>
      </c>
      <c r="H231" t="s">
        <v>5992</v>
      </c>
      <c r="I231" t="str">
        <f t="shared" si="3"/>
        <v>update tbl_persona set apellido_paterno= 'LAZO',apellido_materno= 'TICLAVILCA', nombre = 'GUSTAVO ALONSO' where dni = '72195008';</v>
      </c>
    </row>
    <row r="232" spans="1:9" x14ac:dyDescent="0.25">
      <c r="A232" t="s">
        <v>460</v>
      </c>
      <c r="B232" t="s">
        <v>2272</v>
      </c>
      <c r="C232" t="s">
        <v>2022</v>
      </c>
      <c r="D232" t="s">
        <v>3775</v>
      </c>
      <c r="E232" s="2" t="s">
        <v>4312</v>
      </c>
      <c r="F232" t="s">
        <v>1743</v>
      </c>
      <c r="H232" t="s">
        <v>5993</v>
      </c>
      <c r="I232" t="str">
        <f t="shared" si="3"/>
        <v>update tbl_persona set apellido_paterno= 'ZEVALLOS',apellido_materno= 'CASTRO', nombre = 'VICTOR EDUARDO' where dni = '44098549';</v>
      </c>
    </row>
    <row r="233" spans="1:9" x14ac:dyDescent="0.25">
      <c r="A233" t="s">
        <v>316</v>
      </c>
      <c r="B233" t="s">
        <v>2062</v>
      </c>
      <c r="C233" t="s">
        <v>3547</v>
      </c>
      <c r="D233" t="s">
        <v>3776</v>
      </c>
      <c r="E233" s="2" t="s">
        <v>2898</v>
      </c>
      <c r="F233" t="s">
        <v>1743</v>
      </c>
      <c r="H233" t="s">
        <v>5393</v>
      </c>
      <c r="I233" t="str">
        <f t="shared" si="3"/>
        <v>update tbl_persona set apellido_paterno= 'VARGAS',apellido_materno= 'HARO', nombre = 'GARY JUNIOR' where dni = '48452548';</v>
      </c>
    </row>
    <row r="234" spans="1:9" x14ac:dyDescent="0.25">
      <c r="A234" t="s">
        <v>119</v>
      </c>
      <c r="B234" t="s">
        <v>2143</v>
      </c>
      <c r="C234" t="s">
        <v>2012</v>
      </c>
      <c r="D234" t="s">
        <v>3777</v>
      </c>
      <c r="E234" s="2" t="s">
        <v>3004</v>
      </c>
      <c r="F234" t="s">
        <v>1743</v>
      </c>
      <c r="H234" t="s">
        <v>5394</v>
      </c>
      <c r="I234" t="str">
        <f t="shared" si="3"/>
        <v>update tbl_persona set apellido_paterno= 'TORREJON',apellido_materno= 'GUTIERREZ', nombre = 'JESUS HUMBERTO' where dni = '70844479';</v>
      </c>
    </row>
    <row r="235" spans="1:9" x14ac:dyDescent="0.25">
      <c r="A235" t="s">
        <v>516</v>
      </c>
      <c r="B235" t="s">
        <v>2060</v>
      </c>
      <c r="C235" t="s">
        <v>2306</v>
      </c>
      <c r="D235" t="s">
        <v>3778</v>
      </c>
      <c r="E235" s="2" t="s">
        <v>3020</v>
      </c>
      <c r="F235" t="s">
        <v>1743</v>
      </c>
      <c r="G235" t="s">
        <v>1573</v>
      </c>
      <c r="H235" t="s">
        <v>5395</v>
      </c>
      <c r="I235" t="str">
        <f t="shared" si="3"/>
        <v>update tbl_persona set apellido_paterno= 'RAMOS',apellido_materno= 'CHUMBES', nombre = 'KEVIN ROSSEL' where dni = '72071966';</v>
      </c>
    </row>
    <row r="236" spans="1:9" x14ac:dyDescent="0.25">
      <c r="A236" t="s">
        <v>468</v>
      </c>
      <c r="B236" t="s">
        <v>2276</v>
      </c>
      <c r="C236" t="s">
        <v>2277</v>
      </c>
      <c r="D236" t="s">
        <v>3779</v>
      </c>
      <c r="E236" s="2" t="s">
        <v>2997</v>
      </c>
      <c r="F236" t="s">
        <v>1743</v>
      </c>
      <c r="H236" t="s">
        <v>5396</v>
      </c>
      <c r="I236" t="str">
        <f t="shared" si="3"/>
        <v>update tbl_persona set apellido_paterno= 'ALVARO',apellido_materno= 'CACHI', nombre = 'FIDEL ANGEL' where dni = '44266624';</v>
      </c>
    </row>
    <row r="237" spans="1:9" x14ac:dyDescent="0.25">
      <c r="A237" t="s">
        <v>470</v>
      </c>
      <c r="B237" t="s">
        <v>2278</v>
      </c>
      <c r="C237" t="s">
        <v>1969</v>
      </c>
      <c r="D237" t="s">
        <v>3780</v>
      </c>
      <c r="E237" s="2" t="s">
        <v>4312</v>
      </c>
      <c r="F237" t="s">
        <v>1743</v>
      </c>
      <c r="H237" t="s">
        <v>5994</v>
      </c>
      <c r="I237" t="str">
        <f t="shared" si="3"/>
        <v>update tbl_persona set apellido_paterno= 'CORTEZ',apellido_materno= 'QUISPE', nombre = 'JESUS ANGEL' where dni = '40782750';</v>
      </c>
    </row>
    <row r="238" spans="1:9" x14ac:dyDescent="0.25">
      <c r="A238" t="s">
        <v>472</v>
      </c>
      <c r="B238" t="s">
        <v>2055</v>
      </c>
      <c r="C238" t="s">
        <v>2279</v>
      </c>
      <c r="D238" t="s">
        <v>3781</v>
      </c>
      <c r="E238" s="2" t="s">
        <v>3000</v>
      </c>
      <c r="F238" t="s">
        <v>1744</v>
      </c>
      <c r="H238" t="s">
        <v>5397</v>
      </c>
      <c r="I238" t="str">
        <f t="shared" si="3"/>
        <v>update tbl_persona set apellido_paterno= 'DE',apellido_materno= 'ALMEIDA LIRA', nombre = 'DAYANNE NICOLE' where dni = '74278451';</v>
      </c>
    </row>
    <row r="239" spans="1:9" x14ac:dyDescent="0.25">
      <c r="A239" t="s">
        <v>950</v>
      </c>
      <c r="B239" t="s">
        <v>2290</v>
      </c>
      <c r="C239" t="s">
        <v>2553</v>
      </c>
      <c r="D239" t="s">
        <v>3782</v>
      </c>
      <c r="E239" s="2" t="s">
        <v>3231</v>
      </c>
      <c r="F239" t="s">
        <v>1743</v>
      </c>
      <c r="G239" t="s">
        <v>1668</v>
      </c>
      <c r="H239" t="s">
        <v>5398</v>
      </c>
      <c r="I239" t="str">
        <f t="shared" si="3"/>
        <v>update tbl_persona set apellido_paterno= 'MARIN',apellido_materno= 'PIZANGO', nombre = 'GUILLERMO HARY' where dni = '72174599';</v>
      </c>
    </row>
    <row r="240" spans="1:9" x14ac:dyDescent="0.25">
      <c r="A240" t="s">
        <v>265</v>
      </c>
      <c r="B240" t="s">
        <v>2159</v>
      </c>
      <c r="C240" t="s">
        <v>2160</v>
      </c>
      <c r="D240" t="s">
        <v>3783</v>
      </c>
      <c r="E240" s="2" t="s">
        <v>3031</v>
      </c>
      <c r="F240" t="s">
        <v>1744</v>
      </c>
      <c r="H240" t="s">
        <v>5399</v>
      </c>
      <c r="I240" t="str">
        <f t="shared" si="3"/>
        <v>update tbl_persona set apellido_paterno= 'AMACHE',apellido_materno= 'AVENDAÑO', nombre = 'YADHIRA' where dni = '72186750';</v>
      </c>
    </row>
    <row r="241" spans="1:9" x14ac:dyDescent="0.25">
      <c r="A241" t="s">
        <v>474</v>
      </c>
      <c r="B241" t="s">
        <v>2151</v>
      </c>
      <c r="C241" t="s">
        <v>2280</v>
      </c>
      <c r="D241" t="s">
        <v>3784</v>
      </c>
      <c r="E241" s="2" t="s">
        <v>3005</v>
      </c>
      <c r="F241" t="s">
        <v>1743</v>
      </c>
      <c r="H241" t="s">
        <v>5400</v>
      </c>
      <c r="I241" t="str">
        <f t="shared" si="3"/>
        <v>update tbl_persona set apellido_paterno= 'BUSTAMANTE',apellido_materno= 'ZEÑA', nombre = 'NILTON NOE' where dni = '45415967';</v>
      </c>
    </row>
    <row r="242" spans="1:9" x14ac:dyDescent="0.25">
      <c r="A242" t="s">
        <v>476</v>
      </c>
      <c r="B242" t="s">
        <v>2281</v>
      </c>
      <c r="C242" t="s">
        <v>2282</v>
      </c>
      <c r="D242" t="s">
        <v>3785</v>
      </c>
      <c r="E242" s="2" t="s">
        <v>3006</v>
      </c>
      <c r="F242" t="s">
        <v>1743</v>
      </c>
      <c r="H242" t="s">
        <v>5401</v>
      </c>
      <c r="I242" t="str">
        <f t="shared" si="3"/>
        <v>update tbl_persona set apellido_paterno= 'ORE',apellido_materno= 'CONCHA', nombre = 'JESUS' where dni = '76446197';</v>
      </c>
    </row>
    <row r="243" spans="1:9" x14ac:dyDescent="0.25">
      <c r="A243" t="s">
        <v>478</v>
      </c>
      <c r="B243" t="s">
        <v>2188</v>
      </c>
      <c r="C243" t="s">
        <v>2283</v>
      </c>
      <c r="D243" t="s">
        <v>2284</v>
      </c>
      <c r="E243" s="2" t="s">
        <v>3007</v>
      </c>
      <c r="F243" t="s">
        <v>1743</v>
      </c>
      <c r="H243" t="s">
        <v>5402</v>
      </c>
      <c r="I243" t="str">
        <f t="shared" si="3"/>
        <v>update tbl_persona set apellido_paterno= 'PUMA',apellido_materno= 'CÁCERES', nombre = 'JOSÉ' where dni = '46191773';</v>
      </c>
    </row>
    <row r="244" spans="1:9" x14ac:dyDescent="0.25">
      <c r="A244" t="s">
        <v>480</v>
      </c>
      <c r="B244" t="s">
        <v>2285</v>
      </c>
      <c r="C244" t="s">
        <v>2189</v>
      </c>
      <c r="D244" t="s">
        <v>3786</v>
      </c>
      <c r="E244" s="2" t="s">
        <v>4312</v>
      </c>
      <c r="F244" t="s">
        <v>1744</v>
      </c>
      <c r="H244" t="s">
        <v>5995</v>
      </c>
      <c r="I244" t="str">
        <f t="shared" si="3"/>
        <v>update tbl_persona set apellido_paterno= 'SANDOVAL',apellido_materno= 'CABELLO', nombre = 'KATHERINE MARLENE' where dni = '48074080';</v>
      </c>
    </row>
    <row r="245" spans="1:9" x14ac:dyDescent="0.25">
      <c r="A245" t="s">
        <v>482</v>
      </c>
      <c r="B245" t="s">
        <v>2286</v>
      </c>
      <c r="C245" t="s">
        <v>2287</v>
      </c>
      <c r="D245" t="s">
        <v>3787</v>
      </c>
      <c r="E245" s="2" t="s">
        <v>3008</v>
      </c>
      <c r="F245" t="s">
        <v>1743</v>
      </c>
      <c r="H245" t="s">
        <v>5403</v>
      </c>
      <c r="I245" t="str">
        <f t="shared" si="3"/>
        <v>update tbl_persona set apellido_paterno= 'ARBULU',apellido_materno= 'VERGARA', nombre = 'JORGE ARMANDO' where dni = '71820983';</v>
      </c>
    </row>
    <row r="246" spans="1:9" x14ac:dyDescent="0.25">
      <c r="A246" t="s">
        <v>484</v>
      </c>
      <c r="B246" t="s">
        <v>2288</v>
      </c>
      <c r="C246" t="s">
        <v>1969</v>
      </c>
      <c r="D246" t="s">
        <v>3788</v>
      </c>
      <c r="E246" s="2" t="s">
        <v>3009</v>
      </c>
      <c r="F246" t="s">
        <v>1743</v>
      </c>
      <c r="H246" t="s">
        <v>5404</v>
      </c>
      <c r="I246" t="str">
        <f t="shared" si="3"/>
        <v>update tbl_persona set apellido_paterno= 'ATAUCURI',apellido_materno= 'QUISPE', nombre = 'RICHARD' where dni = '47457409';</v>
      </c>
    </row>
    <row r="247" spans="1:9" x14ac:dyDescent="0.25">
      <c r="A247" t="s">
        <v>486</v>
      </c>
      <c r="B247" t="s">
        <v>2004</v>
      </c>
      <c r="C247" t="s">
        <v>2289</v>
      </c>
      <c r="D247" t="s">
        <v>3755</v>
      </c>
      <c r="E247" s="2" t="s">
        <v>4312</v>
      </c>
      <c r="F247" t="s">
        <v>1743</v>
      </c>
      <c r="H247" t="s">
        <v>5996</v>
      </c>
      <c r="I247" t="str">
        <f t="shared" si="3"/>
        <v>update tbl_persona set apellido_paterno= 'ROJAS',apellido_materno= 'COBEÑAS', nombre = 'JOSÉ LUIS' where dni = '45641110';</v>
      </c>
    </row>
    <row r="248" spans="1:9" x14ac:dyDescent="0.25">
      <c r="A248" t="s">
        <v>488</v>
      </c>
      <c r="B248" t="s">
        <v>2019</v>
      </c>
      <c r="C248" t="s">
        <v>2290</v>
      </c>
      <c r="D248" t="s">
        <v>3789</v>
      </c>
      <c r="E248" s="2" t="s">
        <v>3010</v>
      </c>
      <c r="F248" t="s">
        <v>1744</v>
      </c>
      <c r="H248" t="s">
        <v>5405</v>
      </c>
      <c r="I248" t="str">
        <f t="shared" si="3"/>
        <v>update tbl_persona set apellido_paterno= 'SANCHEZ',apellido_materno= 'MARIN', nombre = 'KELLY LORENA' where dni = '72679404';</v>
      </c>
    </row>
    <row r="249" spans="1:9" x14ac:dyDescent="0.25">
      <c r="A249" t="s">
        <v>490</v>
      </c>
      <c r="B249" t="s">
        <v>2291</v>
      </c>
      <c r="C249" t="s">
        <v>2292</v>
      </c>
      <c r="D249" t="s">
        <v>3790</v>
      </c>
      <c r="E249" s="2" t="s">
        <v>3011</v>
      </c>
      <c r="F249" t="s">
        <v>1743</v>
      </c>
      <c r="H249" t="s">
        <v>5406</v>
      </c>
      <c r="I249" t="str">
        <f t="shared" si="3"/>
        <v>update tbl_persona set apellido_paterno= 'MOTTA',apellido_materno= 'ROSADA', nombre = 'FRANGHOAR ANGELLO' where dni = '73146757';</v>
      </c>
    </row>
    <row r="250" spans="1:9" x14ac:dyDescent="0.25">
      <c r="A250" t="s">
        <v>385</v>
      </c>
      <c r="B250" t="s">
        <v>2126</v>
      </c>
      <c r="C250" t="s">
        <v>2228</v>
      </c>
      <c r="D250" t="s">
        <v>3791</v>
      </c>
      <c r="E250" s="2" t="s">
        <v>3025</v>
      </c>
      <c r="F250" t="s">
        <v>1744</v>
      </c>
      <c r="H250" t="s">
        <v>5407</v>
      </c>
      <c r="I250" t="str">
        <f t="shared" si="3"/>
        <v>update tbl_persona set apellido_paterno= 'CARRILLO',apellido_materno= 'ACEVEDO', nombre = 'ALLINSON YOLANDA' where dni = '72194296';</v>
      </c>
    </row>
    <row r="251" spans="1:9" x14ac:dyDescent="0.25">
      <c r="A251" t="s">
        <v>494</v>
      </c>
      <c r="B251" t="s">
        <v>2083</v>
      </c>
      <c r="C251" t="s">
        <v>2294</v>
      </c>
      <c r="D251" t="s">
        <v>3792</v>
      </c>
      <c r="E251" s="2" t="s">
        <v>3012</v>
      </c>
      <c r="F251" t="s">
        <v>1743</v>
      </c>
      <c r="G251" t="s">
        <v>1572</v>
      </c>
      <c r="H251" t="s">
        <v>5408</v>
      </c>
      <c r="I251" t="str">
        <f t="shared" si="3"/>
        <v>update tbl_persona set apellido_paterno= 'TEJADA',apellido_materno= 'CACERES', nombre = 'WILBER RAUL' where dni = '29707698';</v>
      </c>
    </row>
    <row r="252" spans="1:9" x14ac:dyDescent="0.25">
      <c r="A252" t="s">
        <v>496</v>
      </c>
      <c r="B252" t="s">
        <v>2191</v>
      </c>
      <c r="C252" t="s">
        <v>2295</v>
      </c>
      <c r="D252" t="s">
        <v>3793</v>
      </c>
      <c r="E252" s="2" t="s">
        <v>3013</v>
      </c>
      <c r="F252" t="s">
        <v>1743</v>
      </c>
      <c r="H252" t="s">
        <v>5409</v>
      </c>
      <c r="I252" t="str">
        <f t="shared" si="3"/>
        <v>update tbl_persona set apellido_paterno= 'VEGA',apellido_materno= 'ARELLAN', nombre = 'JAFFET MAURICIO' where dni = '76132617';</v>
      </c>
    </row>
    <row r="253" spans="1:9" x14ac:dyDescent="0.25">
      <c r="A253" t="s">
        <v>498</v>
      </c>
      <c r="B253" t="s">
        <v>2296</v>
      </c>
      <c r="C253" t="s">
        <v>2079</v>
      </c>
      <c r="D253" t="s">
        <v>3794</v>
      </c>
      <c r="E253" s="2" t="s">
        <v>3014</v>
      </c>
      <c r="F253" t="s">
        <v>1743</v>
      </c>
      <c r="H253" t="s">
        <v>5410</v>
      </c>
      <c r="I253" t="str">
        <f t="shared" si="3"/>
        <v>update tbl_persona set apellido_paterno= 'JARA',apellido_materno= 'GOMEZ', nombre = 'MIGUEL EDGARDO' where dni = '74392543';</v>
      </c>
    </row>
    <row r="254" spans="1:9" x14ac:dyDescent="0.25">
      <c r="A254" t="s">
        <v>500</v>
      </c>
      <c r="B254" t="s">
        <v>2297</v>
      </c>
      <c r="C254" t="s">
        <v>2298</v>
      </c>
      <c r="D254" t="s">
        <v>3795</v>
      </c>
      <c r="E254" s="2" t="s">
        <v>3015</v>
      </c>
      <c r="F254" t="s">
        <v>1743</v>
      </c>
      <c r="H254" t="s">
        <v>5411</v>
      </c>
      <c r="I254" t="str">
        <f t="shared" si="3"/>
        <v>update tbl_persona set apellido_paterno= 'HUARICALLA',apellido_materno= 'PANCCA', nombre = 'MARCOS ALBERTO' where dni = '73131397';</v>
      </c>
    </row>
    <row r="255" spans="1:9" x14ac:dyDescent="0.25">
      <c r="A255" t="s">
        <v>502</v>
      </c>
      <c r="B255" t="s">
        <v>2299</v>
      </c>
      <c r="C255" t="s">
        <v>2175</v>
      </c>
      <c r="D255" t="s">
        <v>3796</v>
      </c>
      <c r="E255" s="2" t="s">
        <v>3017</v>
      </c>
      <c r="F255" t="s">
        <v>1744</v>
      </c>
      <c r="H255" t="s">
        <v>5412</v>
      </c>
      <c r="I255" t="str">
        <f t="shared" si="3"/>
        <v>update tbl_persona set apellido_paterno= 'BENITES',apellido_materno= 'PALACIOS', nombre = 'MELANNY KATHY' where dni = '75764575';</v>
      </c>
    </row>
    <row r="256" spans="1:9" x14ac:dyDescent="0.25">
      <c r="A256" t="s">
        <v>504</v>
      </c>
      <c r="B256" t="s">
        <v>2300</v>
      </c>
      <c r="C256" t="s">
        <v>2301</v>
      </c>
      <c r="D256" t="s">
        <v>3797</v>
      </c>
      <c r="E256" s="2" t="s">
        <v>4312</v>
      </c>
      <c r="F256" t="s">
        <v>1743</v>
      </c>
      <c r="H256" t="s">
        <v>5997</v>
      </c>
      <c r="I256" t="str">
        <f t="shared" si="3"/>
        <v>update tbl_persona set apellido_paterno= 'CCOLQUE',apellido_materno= 'ALATA', nombre = 'YURI' where dni = '76027331';</v>
      </c>
    </row>
    <row r="257" spans="1:9" x14ac:dyDescent="0.25">
      <c r="A257" t="s">
        <v>506</v>
      </c>
      <c r="B257" t="s">
        <v>1975</v>
      </c>
      <c r="C257" t="s">
        <v>2088</v>
      </c>
      <c r="D257" t="s">
        <v>3798</v>
      </c>
      <c r="E257" s="2" t="s">
        <v>4312</v>
      </c>
      <c r="F257" t="s">
        <v>1743</v>
      </c>
      <c r="H257" t="s">
        <v>5998</v>
      </c>
      <c r="I257" t="str">
        <f t="shared" si="3"/>
        <v>update tbl_persona set apellido_paterno= 'DIAZ',apellido_materno= 'VASQUEZ', nombre = 'YONHATAN ALEXANDER' where dni = '48742176';</v>
      </c>
    </row>
    <row r="258" spans="1:9" x14ac:dyDescent="0.25">
      <c r="A258" t="s">
        <v>508</v>
      </c>
      <c r="B258" t="s">
        <v>2221</v>
      </c>
      <c r="C258" t="s">
        <v>1963</v>
      </c>
      <c r="D258" t="s">
        <v>3799</v>
      </c>
      <c r="E258" s="2" t="s">
        <v>3018</v>
      </c>
      <c r="F258" t="s">
        <v>1744</v>
      </c>
      <c r="H258" t="s">
        <v>5413</v>
      </c>
      <c r="I258" t="str">
        <f t="shared" si="3"/>
        <v>update tbl_persona set apellido_paterno= 'SALAS',apellido_materno= 'HERRERA', nombre = 'GIANELA ROSA' where dni = '72862130';</v>
      </c>
    </row>
    <row r="259" spans="1:9" x14ac:dyDescent="0.25">
      <c r="A259" t="s">
        <v>510</v>
      </c>
      <c r="B259" t="s">
        <v>2302</v>
      </c>
      <c r="C259" t="s">
        <v>2019</v>
      </c>
      <c r="D259" t="s">
        <v>3800</v>
      </c>
      <c r="E259" s="2" t="s">
        <v>3019</v>
      </c>
      <c r="F259" t="s">
        <v>1743</v>
      </c>
      <c r="H259" t="s">
        <v>5414</v>
      </c>
      <c r="I259" t="str">
        <f t="shared" ref="I259:I322" si="4">_xlfn.CONCAT("update tbl_persona set apellido_paterno= '",B259,"',apellido_materno= '",C259,"', nombre = '",D259,"' where dni = '",A259,"';")</f>
        <v>update tbl_persona set apellido_paterno= 'ROBLEDO',apellido_materno= 'SANCHEZ', nombre = 'CRISTHIAN DAVID' where dni = '74736019';</v>
      </c>
    </row>
    <row r="260" spans="1:9" x14ac:dyDescent="0.25">
      <c r="A260" t="s">
        <v>512</v>
      </c>
      <c r="B260" t="s">
        <v>2303</v>
      </c>
      <c r="C260" t="s">
        <v>2304</v>
      </c>
      <c r="D260" t="s">
        <v>3801</v>
      </c>
      <c r="E260" s="2" t="s">
        <v>2934</v>
      </c>
      <c r="F260" t="s">
        <v>1743</v>
      </c>
      <c r="H260" t="s">
        <v>5415</v>
      </c>
      <c r="I260" t="str">
        <f t="shared" si="4"/>
        <v>update tbl_persona set apellido_paterno= 'MOLERO',apellido_materno= 'BURGOS', nombre = 'DIEGO ANDRE' where dni = '75912521';</v>
      </c>
    </row>
    <row r="261" spans="1:9" x14ac:dyDescent="0.25">
      <c r="A261" t="s">
        <v>210</v>
      </c>
      <c r="B261" t="s">
        <v>2125</v>
      </c>
      <c r="C261" t="s">
        <v>2126</v>
      </c>
      <c r="D261" t="s">
        <v>3802</v>
      </c>
      <c r="E261" s="2" t="s">
        <v>3003</v>
      </c>
      <c r="F261" t="s">
        <v>1744</v>
      </c>
      <c r="H261" t="s">
        <v>5416</v>
      </c>
      <c r="I261" t="str">
        <f t="shared" si="4"/>
        <v>update tbl_persona set apellido_paterno= 'RUIZ',apellido_materno= 'CARRILLO', nombre = 'XIOMARA CRISELL' where dni = '72712105';</v>
      </c>
    </row>
    <row r="262" spans="1:9" x14ac:dyDescent="0.25">
      <c r="A262" t="s">
        <v>313</v>
      </c>
      <c r="B262" t="s">
        <v>2189</v>
      </c>
      <c r="C262" t="s">
        <v>1966</v>
      </c>
      <c r="D262" t="s">
        <v>3803</v>
      </c>
      <c r="E262" s="2" t="s">
        <v>2947</v>
      </c>
      <c r="F262" t="s">
        <v>1744</v>
      </c>
      <c r="H262" t="s">
        <v>5417</v>
      </c>
      <c r="I262" t="str">
        <f t="shared" si="4"/>
        <v>update tbl_persona set apellido_paterno= 'CABELLO',apellido_materno= 'CAMPOS', nombre = 'RUTH YORICA' where dni = '73004406';</v>
      </c>
    </row>
    <row r="263" spans="1:9" x14ac:dyDescent="0.25">
      <c r="A263" t="s">
        <v>518</v>
      </c>
      <c r="B263" t="s">
        <v>2307</v>
      </c>
      <c r="C263" t="s">
        <v>2308</v>
      </c>
      <c r="D263" t="s">
        <v>3804</v>
      </c>
      <c r="E263" s="2" t="s">
        <v>3021</v>
      </c>
      <c r="F263" t="s">
        <v>1743</v>
      </c>
      <c r="H263" t="s">
        <v>5418</v>
      </c>
      <c r="I263" t="str">
        <f t="shared" si="4"/>
        <v>update tbl_persona set apellido_paterno= 'MUÑANTE',apellido_materno= 'MANCO', nombre = 'CARLOS MANUEL' where dni = '76748669';</v>
      </c>
    </row>
    <row r="264" spans="1:9" x14ac:dyDescent="0.25">
      <c r="A264" t="s">
        <v>520</v>
      </c>
      <c r="B264" t="s">
        <v>2309</v>
      </c>
      <c r="C264" t="s">
        <v>2310</v>
      </c>
      <c r="D264" t="s">
        <v>3805</v>
      </c>
      <c r="E264" s="2" t="s">
        <v>3022</v>
      </c>
      <c r="F264" t="s">
        <v>1743</v>
      </c>
      <c r="H264" t="s">
        <v>5419</v>
      </c>
      <c r="I264" t="str">
        <f t="shared" si="4"/>
        <v>update tbl_persona set apellido_paterno= 'TALLEDO',apellido_materno= 'GUERRERO', nombre = 'RENATO' where dni = '73796897';</v>
      </c>
    </row>
    <row r="265" spans="1:9" x14ac:dyDescent="0.25">
      <c r="A265" t="s">
        <v>522</v>
      </c>
      <c r="B265" t="s">
        <v>2311</v>
      </c>
      <c r="C265" t="s">
        <v>2312</v>
      </c>
      <c r="D265" t="s">
        <v>3806</v>
      </c>
      <c r="E265" s="2" t="s">
        <v>3023</v>
      </c>
      <c r="F265" t="s">
        <v>1743</v>
      </c>
      <c r="H265" t="s">
        <v>5420</v>
      </c>
      <c r="I265" t="str">
        <f t="shared" si="4"/>
        <v>update tbl_persona set apellido_paterno= 'FUENTES',apellido_materno= 'URDANIGA', nombre = 'BENJAMÍN OMAR' where dni = '72350986';</v>
      </c>
    </row>
    <row r="266" spans="1:9" x14ac:dyDescent="0.25">
      <c r="A266" t="s">
        <v>524</v>
      </c>
      <c r="B266" t="s">
        <v>2252</v>
      </c>
      <c r="C266" t="s">
        <v>2062</v>
      </c>
      <c r="D266" t="s">
        <v>3807</v>
      </c>
      <c r="E266" s="2" t="s">
        <v>4312</v>
      </c>
      <c r="F266" t="s">
        <v>1743</v>
      </c>
      <c r="H266" t="s">
        <v>5999</v>
      </c>
      <c r="I266" t="str">
        <f t="shared" si="4"/>
        <v>update tbl_persona set apellido_paterno= 'SOTO',apellido_materno= 'VARGAS', nombre = 'HARRY JOHN' where dni = '44454534';</v>
      </c>
    </row>
    <row r="267" spans="1:9" x14ac:dyDescent="0.25">
      <c r="A267" t="s">
        <v>526</v>
      </c>
      <c r="B267" t="s">
        <v>2189</v>
      </c>
      <c r="C267" t="s">
        <v>1965</v>
      </c>
      <c r="D267" t="s">
        <v>3808</v>
      </c>
      <c r="E267" s="2" t="s">
        <v>3024</v>
      </c>
      <c r="F267" t="s">
        <v>1743</v>
      </c>
      <c r="H267" t="s">
        <v>5421</v>
      </c>
      <c r="I267" t="str">
        <f t="shared" si="4"/>
        <v>update tbl_persona set apellido_paterno= 'CABELLO',apellido_materno= 'SALAZAR', nombre = 'MARCO BRUNO' where dni = '70850101';</v>
      </c>
    </row>
    <row r="268" spans="1:9" x14ac:dyDescent="0.25">
      <c r="A268" t="s">
        <v>528</v>
      </c>
      <c r="B268" t="s">
        <v>2313</v>
      </c>
      <c r="C268" t="s">
        <v>2062</v>
      </c>
      <c r="D268" t="s">
        <v>3809</v>
      </c>
      <c r="E268" s="2" t="s">
        <v>3026</v>
      </c>
      <c r="F268" t="s">
        <v>1744</v>
      </c>
      <c r="H268" t="s">
        <v>5422</v>
      </c>
      <c r="I268" t="str">
        <f t="shared" si="4"/>
        <v>update tbl_persona set apellido_paterno= 'MAYORÍA',apellido_materno= 'VARGAS', nombre = 'JIMENA' where dni = '75930172';</v>
      </c>
    </row>
    <row r="269" spans="1:9" x14ac:dyDescent="0.25">
      <c r="A269" t="s">
        <v>530</v>
      </c>
      <c r="B269" t="s">
        <v>2314</v>
      </c>
      <c r="C269" t="s">
        <v>2315</v>
      </c>
      <c r="D269" t="s">
        <v>3810</v>
      </c>
      <c r="E269" s="2" t="s">
        <v>3027</v>
      </c>
      <c r="F269" t="s">
        <v>1743</v>
      </c>
      <c r="H269" t="s">
        <v>5423</v>
      </c>
      <c r="I269" t="str">
        <f t="shared" si="4"/>
        <v>update tbl_persona set apellido_paterno= 'PUPPO',apellido_materno= 'CHACON', nombre = 'AUGUSTO LUIS' where dni = '43730049';</v>
      </c>
    </row>
    <row r="270" spans="1:9" x14ac:dyDescent="0.25">
      <c r="A270" t="s">
        <v>532</v>
      </c>
      <c r="B270" t="s">
        <v>2316</v>
      </c>
      <c r="C270" t="s">
        <v>2317</v>
      </c>
      <c r="D270" t="s">
        <v>3811</v>
      </c>
      <c r="E270" s="2" t="s">
        <v>3028</v>
      </c>
      <c r="F270" t="s">
        <v>1743</v>
      </c>
      <c r="H270" t="s">
        <v>5424</v>
      </c>
      <c r="I270" t="str">
        <f t="shared" si="4"/>
        <v>update tbl_persona set apellido_paterno= 'SANTIVAÑEZ',apellido_materno= 'CANO', nombre = 'MANUEL JHONATAN' where dni = '45861620';</v>
      </c>
    </row>
    <row r="271" spans="1:9" x14ac:dyDescent="0.25">
      <c r="A271" t="s">
        <v>534</v>
      </c>
      <c r="B271" t="s">
        <v>2318</v>
      </c>
      <c r="C271" t="s">
        <v>1965</v>
      </c>
      <c r="D271" t="s">
        <v>3630</v>
      </c>
      <c r="E271" s="2" t="s">
        <v>3029</v>
      </c>
      <c r="F271" t="s">
        <v>1743</v>
      </c>
      <c r="H271" t="s">
        <v>5425</v>
      </c>
      <c r="I271" t="str">
        <f t="shared" si="4"/>
        <v>update tbl_persona set apellido_paterno= 'VELARDE',apellido_materno= 'SALAZAR', nombre = 'GIANCARLO' where dni = '46684823';</v>
      </c>
    </row>
    <row r="272" spans="1:9" x14ac:dyDescent="0.25">
      <c r="A272" t="s">
        <v>536</v>
      </c>
      <c r="B272" t="s">
        <v>2102</v>
      </c>
      <c r="C272" t="s">
        <v>2071</v>
      </c>
      <c r="D272" t="s">
        <v>3812</v>
      </c>
      <c r="E272" s="2" t="s">
        <v>3030</v>
      </c>
      <c r="F272" t="s">
        <v>1743</v>
      </c>
      <c r="H272" t="s">
        <v>5426</v>
      </c>
      <c r="I272" t="str">
        <f t="shared" si="4"/>
        <v>update tbl_persona set apellido_paterno= 'AVILA',apellido_materno= 'ALVARADO', nombre = 'OSBAR JOSELITO' where dni = '71472927';</v>
      </c>
    </row>
    <row r="273" spans="1:9" x14ac:dyDescent="0.25">
      <c r="A273" t="s">
        <v>538</v>
      </c>
      <c r="B273" t="s">
        <v>2319</v>
      </c>
      <c r="C273" t="s">
        <v>2320</v>
      </c>
      <c r="D273" t="s">
        <v>3813</v>
      </c>
      <c r="E273" s="2" t="s">
        <v>3032</v>
      </c>
      <c r="F273" t="s">
        <v>1743</v>
      </c>
      <c r="H273" t="s">
        <v>5427</v>
      </c>
      <c r="I273" t="str">
        <f t="shared" si="4"/>
        <v>update tbl_persona set apellido_paterno= 'GALARZA',apellido_materno= 'FEBRES', nombre = 'MARCELO MARTIN' where dni = '70004030';</v>
      </c>
    </row>
    <row r="274" spans="1:9" x14ac:dyDescent="0.25">
      <c r="A274" t="s">
        <v>540</v>
      </c>
      <c r="B274" t="s">
        <v>2321</v>
      </c>
      <c r="C274" t="s">
        <v>2028</v>
      </c>
      <c r="D274" t="s">
        <v>3814</v>
      </c>
      <c r="E274" s="2" t="s">
        <v>3033</v>
      </c>
      <c r="F274" t="s">
        <v>1743</v>
      </c>
      <c r="H274" t="s">
        <v>5428</v>
      </c>
      <c r="I274" t="str">
        <f t="shared" si="4"/>
        <v>update tbl_persona set apellido_paterno= 'PICHARDO',apellido_materno= 'RODRIGUEZ', nombre = 'NERIO ENRIQUE' where dni = '005370437';</v>
      </c>
    </row>
    <row r="275" spans="1:9" x14ac:dyDescent="0.25">
      <c r="A275" t="s">
        <v>542</v>
      </c>
      <c r="B275" t="s">
        <v>2060</v>
      </c>
      <c r="C275" t="s">
        <v>2074</v>
      </c>
      <c r="D275" t="s">
        <v>3815</v>
      </c>
      <c r="E275" s="2" t="s">
        <v>3034</v>
      </c>
      <c r="F275" t="s">
        <v>1743</v>
      </c>
      <c r="H275" t="s">
        <v>5429</v>
      </c>
      <c r="I275" t="str">
        <f t="shared" si="4"/>
        <v>update tbl_persona set apellido_paterno= 'RAMOS',apellido_materno= 'TORRES', nombre = 'GUIDO ANTONIO' where dni = '71551304';</v>
      </c>
    </row>
    <row r="276" spans="1:9" x14ac:dyDescent="0.25">
      <c r="A276" t="s">
        <v>544</v>
      </c>
      <c r="B276" t="s">
        <v>2322</v>
      </c>
      <c r="C276" t="s">
        <v>2323</v>
      </c>
      <c r="D276" t="s">
        <v>3816</v>
      </c>
      <c r="E276" s="2" t="s">
        <v>3035</v>
      </c>
      <c r="F276" t="s">
        <v>1743</v>
      </c>
      <c r="H276" t="s">
        <v>5430</v>
      </c>
      <c r="I276" t="str">
        <f t="shared" si="4"/>
        <v>update tbl_persona set apellido_paterno= 'SOVERO',apellido_materno= 'URQUÍA', nombre = 'MÁXIMO' where dni = '08595557';</v>
      </c>
    </row>
    <row r="277" spans="1:9" x14ac:dyDescent="0.25">
      <c r="A277" t="s">
        <v>546</v>
      </c>
      <c r="B277" t="s">
        <v>2324</v>
      </c>
      <c r="C277" t="s">
        <v>2325</v>
      </c>
      <c r="D277" t="s">
        <v>3817</v>
      </c>
      <c r="E277" s="2" t="s">
        <v>3036</v>
      </c>
      <c r="F277" t="s">
        <v>1743</v>
      </c>
      <c r="H277" t="s">
        <v>5431</v>
      </c>
      <c r="I277" t="str">
        <f t="shared" si="4"/>
        <v>update tbl_persona set apellido_paterno= 'PAZ',apellido_materno= 'ARICA', nombre = 'ALVARO ENRIQUE' where dni = '10694708';</v>
      </c>
    </row>
    <row r="278" spans="1:9" x14ac:dyDescent="0.25">
      <c r="A278" t="s">
        <v>548</v>
      </c>
      <c r="B278" t="s">
        <v>2326</v>
      </c>
      <c r="C278" t="s">
        <v>2327</v>
      </c>
      <c r="D278" t="s">
        <v>3818</v>
      </c>
      <c r="E278" s="2" t="s">
        <v>3037</v>
      </c>
      <c r="F278" t="s">
        <v>1743</v>
      </c>
      <c r="H278" t="s">
        <v>5432</v>
      </c>
      <c r="I278" t="str">
        <f t="shared" si="4"/>
        <v>update tbl_persona set apellido_paterno= 'RUFINO',apellido_materno= 'PANTA', nombre = 'DUBER' where dni = '47014508';</v>
      </c>
    </row>
    <row r="279" spans="1:9" x14ac:dyDescent="0.25">
      <c r="A279" t="s">
        <v>550</v>
      </c>
      <c r="B279" t="s">
        <v>2328</v>
      </c>
      <c r="C279" t="s">
        <v>2095</v>
      </c>
      <c r="D279" t="s">
        <v>3819</v>
      </c>
      <c r="E279" s="2" t="s">
        <v>4312</v>
      </c>
      <c r="F279" t="s">
        <v>1743</v>
      </c>
      <c r="H279" t="s">
        <v>6000</v>
      </c>
      <c r="I279" t="str">
        <f t="shared" si="4"/>
        <v>update tbl_persona set apellido_paterno= 'HURTADO',apellido_materno= 'CONTRERAS', nombre = 'YHOEL YHORDIÑO' where dni = '72008102';</v>
      </c>
    </row>
    <row r="280" spans="1:9" x14ac:dyDescent="0.25">
      <c r="A280" t="s">
        <v>552</v>
      </c>
      <c r="B280" t="s">
        <v>2329</v>
      </c>
      <c r="C280" t="s">
        <v>1960</v>
      </c>
      <c r="D280" t="s">
        <v>3820</v>
      </c>
      <c r="E280" s="2" t="s">
        <v>3038</v>
      </c>
      <c r="F280" t="s">
        <v>1743</v>
      </c>
      <c r="H280" t="s">
        <v>5433</v>
      </c>
      <c r="I280" t="str">
        <f t="shared" si="4"/>
        <v>update tbl_persona set apellido_paterno= 'REVOLLEDO',apellido_materno= 'OLIVOS', nombre = 'JHAN MARTIN' where dni = '43102896';</v>
      </c>
    </row>
    <row r="281" spans="1:9" x14ac:dyDescent="0.25">
      <c r="A281" t="s">
        <v>554</v>
      </c>
      <c r="B281" t="s">
        <v>1962</v>
      </c>
      <c r="C281" t="s">
        <v>1965</v>
      </c>
      <c r="D281" t="s">
        <v>3821</v>
      </c>
      <c r="E281" s="2" t="s">
        <v>3039</v>
      </c>
      <c r="F281" t="s">
        <v>1743</v>
      </c>
      <c r="H281" t="s">
        <v>5434</v>
      </c>
      <c r="I281" t="str">
        <f t="shared" si="4"/>
        <v>update tbl_persona set apellido_paterno= 'ESPINOZA',apellido_materno= 'SALAZAR', nombre = 'LINCOLN ARTURO' where dni = '76726246';</v>
      </c>
    </row>
    <row r="282" spans="1:9" x14ac:dyDescent="0.25">
      <c r="A282" t="s">
        <v>556</v>
      </c>
      <c r="B282" t="s">
        <v>2004</v>
      </c>
      <c r="C282" t="s">
        <v>2330</v>
      </c>
      <c r="D282" t="s">
        <v>3822</v>
      </c>
      <c r="E282" s="2" t="s">
        <v>3040</v>
      </c>
      <c r="F282" t="s">
        <v>1743</v>
      </c>
      <c r="H282" t="s">
        <v>5435</v>
      </c>
      <c r="I282" t="str">
        <f t="shared" si="4"/>
        <v>update tbl_persona set apellido_paterno= 'ROJAS',apellido_materno= 'CALDERÓN', nombre = 'ALVARO JULIO' where dni = '72645200';</v>
      </c>
    </row>
    <row r="283" spans="1:9" x14ac:dyDescent="0.25">
      <c r="A283" t="s">
        <v>558</v>
      </c>
      <c r="B283" t="s">
        <v>2119</v>
      </c>
      <c r="C283" t="s">
        <v>2043</v>
      </c>
      <c r="D283" t="s">
        <v>3823</v>
      </c>
      <c r="E283" s="2" t="s">
        <v>3017</v>
      </c>
      <c r="F283" t="s">
        <v>1743</v>
      </c>
      <c r="H283" t="s">
        <v>5436</v>
      </c>
      <c r="I283" t="str">
        <f t="shared" si="4"/>
        <v>update tbl_persona set apellido_paterno= 'YOVERA',apellido_materno= 'RAMIREZ', nombre = 'CESAR ADRIÁN' where dni = '70886051';</v>
      </c>
    </row>
    <row r="284" spans="1:9" x14ac:dyDescent="0.25">
      <c r="A284" t="s">
        <v>166</v>
      </c>
      <c r="B284" t="s">
        <v>2342</v>
      </c>
      <c r="C284" t="s">
        <v>2491</v>
      </c>
      <c r="D284" t="s">
        <v>3824</v>
      </c>
      <c r="E284" s="2" t="s">
        <v>2991</v>
      </c>
      <c r="F284" t="s">
        <v>1743</v>
      </c>
      <c r="H284" t="s">
        <v>5437</v>
      </c>
      <c r="I284" t="str">
        <f t="shared" si="4"/>
        <v>update tbl_persona set apellido_paterno= 'DE LA CRUZ',apellido_materno= 'BARDALES', nombre = 'JEAN PIERE' where dni = '73128328';</v>
      </c>
    </row>
    <row r="285" spans="1:9" x14ac:dyDescent="0.25">
      <c r="A285" t="s">
        <v>492</v>
      </c>
      <c r="B285" t="s">
        <v>2247</v>
      </c>
      <c r="C285" t="s">
        <v>2293</v>
      </c>
      <c r="D285" t="s">
        <v>3825</v>
      </c>
      <c r="E285" s="2" t="s">
        <v>3041</v>
      </c>
      <c r="F285" t="s">
        <v>1744</v>
      </c>
      <c r="H285" t="s">
        <v>5438</v>
      </c>
      <c r="I285" t="str">
        <f t="shared" si="4"/>
        <v>update tbl_persona set apellido_paterno= 'AGUIRRE',apellido_materno= 'BANDA', nombre = 'JOSHUA SABRINA' where dni = '73228642';</v>
      </c>
    </row>
    <row r="286" spans="1:9" x14ac:dyDescent="0.25">
      <c r="A286" t="s">
        <v>560</v>
      </c>
      <c r="B286" t="s">
        <v>2125</v>
      </c>
      <c r="C286" t="s">
        <v>1962</v>
      </c>
      <c r="D286" t="s">
        <v>3826</v>
      </c>
      <c r="E286" s="2" t="s">
        <v>3044</v>
      </c>
      <c r="F286" t="s">
        <v>1743</v>
      </c>
      <c r="H286" t="s">
        <v>5439</v>
      </c>
      <c r="I286" t="str">
        <f t="shared" si="4"/>
        <v>update tbl_persona set apellido_paterno= 'RUIZ',apellido_materno= 'ESPINOZA', nombre = 'HOUSTON MARCO' where dni = '45537435';</v>
      </c>
    </row>
    <row r="287" spans="1:9" x14ac:dyDescent="0.25">
      <c r="A287" t="s">
        <v>562</v>
      </c>
      <c r="B287" t="s">
        <v>2331</v>
      </c>
      <c r="C287" t="s">
        <v>2134</v>
      </c>
      <c r="D287" t="s">
        <v>3827</v>
      </c>
      <c r="E287" s="2" t="s">
        <v>3045</v>
      </c>
      <c r="F287" t="s">
        <v>1743</v>
      </c>
      <c r="H287" t="s">
        <v>5440</v>
      </c>
      <c r="I287" t="str">
        <f t="shared" si="4"/>
        <v>update tbl_persona set apellido_paterno= 'GUERRA',apellido_materno= 'ZAPATA', nombre = 'JORGE ANTONIO' where dni = '70460946';</v>
      </c>
    </row>
    <row r="288" spans="1:9" x14ac:dyDescent="0.25">
      <c r="A288" t="s">
        <v>564</v>
      </c>
      <c r="B288" t="s">
        <v>2004</v>
      </c>
      <c r="C288" t="s">
        <v>2332</v>
      </c>
      <c r="D288" t="s">
        <v>3828</v>
      </c>
      <c r="E288" s="2" t="s">
        <v>3046</v>
      </c>
      <c r="F288" t="s">
        <v>1743</v>
      </c>
      <c r="H288" t="s">
        <v>5441</v>
      </c>
      <c r="I288" t="str">
        <f t="shared" si="4"/>
        <v>update tbl_persona set apellido_paterno= 'ROJAS',apellido_materno= 'CARDENAS', nombre = 'JOSEPH EDGAR' where dni = '70863546';</v>
      </c>
    </row>
    <row r="289" spans="1:9" x14ac:dyDescent="0.25">
      <c r="A289" t="s">
        <v>566</v>
      </c>
      <c r="B289" t="s">
        <v>2333</v>
      </c>
      <c r="C289" t="s">
        <v>2334</v>
      </c>
      <c r="D289" t="s">
        <v>3829</v>
      </c>
      <c r="E289" s="2" t="s">
        <v>3047</v>
      </c>
      <c r="F289" t="s">
        <v>1743</v>
      </c>
      <c r="H289" t="s">
        <v>5442</v>
      </c>
      <c r="I289" t="str">
        <f t="shared" si="4"/>
        <v>update tbl_persona set apellido_paterno= 'CAMPANA',apellido_materno= 'ATAJO', nombre = 'ALVARO KEVIN' where dni = '48065984';</v>
      </c>
    </row>
    <row r="290" spans="1:9" x14ac:dyDescent="0.25">
      <c r="A290" t="s">
        <v>568</v>
      </c>
      <c r="B290" t="s">
        <v>2285</v>
      </c>
      <c r="C290" t="s">
        <v>2335</v>
      </c>
      <c r="D290" t="s">
        <v>3646</v>
      </c>
      <c r="E290" s="2" t="s">
        <v>3048</v>
      </c>
      <c r="F290" t="s">
        <v>1743</v>
      </c>
      <c r="H290" t="s">
        <v>5443</v>
      </c>
      <c r="I290" t="str">
        <f t="shared" si="4"/>
        <v>update tbl_persona set apellido_paterno= 'SANDOVAL',apellido_materno= 'BARRIENTOS', nombre = 'MARCO ANTONIO' where dni = '46661529';</v>
      </c>
    </row>
    <row r="291" spans="1:9" x14ac:dyDescent="0.25">
      <c r="A291" t="s">
        <v>570</v>
      </c>
      <c r="B291" t="s">
        <v>2074</v>
      </c>
      <c r="C291" t="s">
        <v>2299</v>
      </c>
      <c r="D291" t="s">
        <v>3830</v>
      </c>
      <c r="E291" s="2" t="s">
        <v>3049</v>
      </c>
      <c r="F291" t="s">
        <v>1743</v>
      </c>
      <c r="G291" t="s">
        <v>1574</v>
      </c>
      <c r="H291" t="s">
        <v>5444</v>
      </c>
      <c r="I291" t="str">
        <f t="shared" si="4"/>
        <v>update tbl_persona set apellido_paterno= 'TORRES',apellido_materno= 'BENITES', nombre = 'JUAN CARLOS IVAN' where dni = '43812050';</v>
      </c>
    </row>
    <row r="292" spans="1:9" x14ac:dyDescent="0.25">
      <c r="A292" t="s">
        <v>572</v>
      </c>
      <c r="B292" t="s">
        <v>2336</v>
      </c>
      <c r="C292" t="s">
        <v>2337</v>
      </c>
      <c r="D292" t="s">
        <v>3831</v>
      </c>
      <c r="E292" s="2" t="s">
        <v>3050</v>
      </c>
      <c r="F292" t="s">
        <v>1743</v>
      </c>
      <c r="H292" t="s">
        <v>5445</v>
      </c>
      <c r="I292" t="str">
        <f t="shared" si="4"/>
        <v>update tbl_persona set apellido_paterno= 'CHINCHAY',apellido_materno= 'MERINO', nombre = 'JOSE FRANCISCO' where dni = '43059578';</v>
      </c>
    </row>
    <row r="293" spans="1:9" x14ac:dyDescent="0.25">
      <c r="A293" t="s">
        <v>574</v>
      </c>
      <c r="B293" t="s">
        <v>2272</v>
      </c>
      <c r="C293" t="s">
        <v>2101</v>
      </c>
      <c r="D293" t="s">
        <v>3832</v>
      </c>
      <c r="E293" s="2" t="s">
        <v>3051</v>
      </c>
      <c r="F293" t="s">
        <v>1743</v>
      </c>
      <c r="H293" t="s">
        <v>5446</v>
      </c>
      <c r="I293" t="str">
        <f t="shared" si="4"/>
        <v>update tbl_persona set apellido_paterno= 'ZEVALLOS',apellido_materno= 'PEREZ', nombre = 'SEGUNDO JOHN' where dni = '47168662';</v>
      </c>
    </row>
    <row r="294" spans="1:9" x14ac:dyDescent="0.25">
      <c r="A294" t="s">
        <v>576</v>
      </c>
      <c r="B294" t="s">
        <v>2338</v>
      </c>
      <c r="C294" t="s">
        <v>2043</v>
      </c>
      <c r="D294" t="s">
        <v>3833</v>
      </c>
      <c r="E294" s="2" t="s">
        <v>3052</v>
      </c>
      <c r="F294" t="s">
        <v>1743</v>
      </c>
      <c r="H294" t="s">
        <v>5447</v>
      </c>
      <c r="I294" t="str">
        <f t="shared" si="4"/>
        <v>update tbl_persona set apellido_paterno= 'MEDINA',apellido_materno= 'RAMIREZ', nombre = 'CARLOS JHONATAN' where dni = '46677499';</v>
      </c>
    </row>
    <row r="295" spans="1:9" x14ac:dyDescent="0.25">
      <c r="A295" t="s">
        <v>578</v>
      </c>
      <c r="B295" t="s">
        <v>2184</v>
      </c>
      <c r="C295" t="s">
        <v>2339</v>
      </c>
      <c r="D295" t="s">
        <v>3834</v>
      </c>
      <c r="E295" s="2" t="s">
        <v>3053</v>
      </c>
      <c r="F295" t="s">
        <v>1743</v>
      </c>
      <c r="H295" t="s">
        <v>5448</v>
      </c>
      <c r="I295" t="str">
        <f t="shared" si="4"/>
        <v>update tbl_persona set apellido_paterno= 'NUÑEZ',apellido_materno= 'SAMANIEGO', nombre = 'DARWIN OMAR' where dni = '44933350';</v>
      </c>
    </row>
    <row r="296" spans="1:9" x14ac:dyDescent="0.25">
      <c r="A296" t="s">
        <v>580</v>
      </c>
      <c r="B296" t="s">
        <v>2114</v>
      </c>
      <c r="C296" t="s">
        <v>2047</v>
      </c>
      <c r="D296" t="s">
        <v>3835</v>
      </c>
      <c r="E296" s="2" t="s">
        <v>2925</v>
      </c>
      <c r="F296" t="s">
        <v>1743</v>
      </c>
      <c r="H296" t="s">
        <v>5449</v>
      </c>
      <c r="I296" t="str">
        <f t="shared" si="4"/>
        <v>update tbl_persona set apellido_paterno= 'OBREGON',apellido_materno= 'MEJIA', nombre = 'GUILLERMO FRANKLIN' where dni = '47451933';</v>
      </c>
    </row>
    <row r="297" spans="1:9" x14ac:dyDescent="0.25">
      <c r="A297" t="s">
        <v>582</v>
      </c>
      <c r="B297" t="s">
        <v>2340</v>
      </c>
      <c r="C297" t="s">
        <v>2310</v>
      </c>
      <c r="D297" t="s">
        <v>3836</v>
      </c>
      <c r="E297" s="2" t="s">
        <v>3054</v>
      </c>
      <c r="F297" t="s">
        <v>1743</v>
      </c>
      <c r="H297" t="s">
        <v>5450</v>
      </c>
      <c r="I297" t="str">
        <f t="shared" si="4"/>
        <v>update tbl_persona set apellido_paterno= 'CORDOVA',apellido_materno= 'GUERRERO', nombre = 'EDILMER' where dni = '71058513';</v>
      </c>
    </row>
    <row r="298" spans="1:9" x14ac:dyDescent="0.25">
      <c r="A298" t="s">
        <v>584</v>
      </c>
      <c r="B298" t="s">
        <v>1989</v>
      </c>
      <c r="C298" t="s">
        <v>2341</v>
      </c>
      <c r="D298" t="s">
        <v>3837</v>
      </c>
      <c r="E298" s="2" t="s">
        <v>2971</v>
      </c>
      <c r="F298" t="s">
        <v>1744</v>
      </c>
      <c r="H298" t="s">
        <v>5451</v>
      </c>
      <c r="I298" t="str">
        <f t="shared" si="4"/>
        <v>update tbl_persona set apellido_paterno= 'PALOMINO',apellido_materno= 'MACHUCA', nombre = 'MELANY KIMBERLY' where dni = '75556282';</v>
      </c>
    </row>
    <row r="299" spans="1:9" x14ac:dyDescent="0.25">
      <c r="A299" t="s">
        <v>586</v>
      </c>
      <c r="B299" t="s">
        <v>1974</v>
      </c>
      <c r="C299" t="s">
        <v>2014</v>
      </c>
      <c r="D299" t="s">
        <v>3838</v>
      </c>
      <c r="E299" s="2" t="s">
        <v>3055</v>
      </c>
      <c r="F299" t="s">
        <v>1743</v>
      </c>
      <c r="H299" t="s">
        <v>5452</v>
      </c>
      <c r="I299" t="str">
        <f t="shared" si="4"/>
        <v>update tbl_persona set apellido_paterno= 'VILLEGAS',apellido_materno= 'GARCIA', nombre = 'SEBASTIAN EDILBERTO' where dni = '76268409';</v>
      </c>
    </row>
    <row r="300" spans="1:9" x14ac:dyDescent="0.25">
      <c r="A300" t="s">
        <v>588</v>
      </c>
      <c r="B300" t="s">
        <v>2338</v>
      </c>
      <c r="C300" t="s">
        <v>2342</v>
      </c>
      <c r="D300" t="s">
        <v>3839</v>
      </c>
      <c r="E300" s="2" t="s">
        <v>3056</v>
      </c>
      <c r="F300" t="s">
        <v>1743</v>
      </c>
      <c r="H300" t="s">
        <v>5453</v>
      </c>
      <c r="I300" t="str">
        <f t="shared" si="4"/>
        <v>update tbl_persona set apellido_paterno= 'MEDINA',apellido_materno= 'DE LA CRUZ', nombre = 'JOSE GIANFRANCO' where dni = '74088544';</v>
      </c>
    </row>
    <row r="301" spans="1:9" x14ac:dyDescent="0.25">
      <c r="A301" t="s">
        <v>590</v>
      </c>
      <c r="B301" t="s">
        <v>2259</v>
      </c>
      <c r="C301" t="s">
        <v>2343</v>
      </c>
      <c r="D301" t="s">
        <v>3840</v>
      </c>
      <c r="E301" s="2" t="s">
        <v>3057</v>
      </c>
      <c r="F301" t="s">
        <v>1743</v>
      </c>
      <c r="H301" t="s">
        <v>5454</v>
      </c>
      <c r="I301" t="str">
        <f t="shared" si="4"/>
        <v>update tbl_persona set apellido_paterno= 'CRUZ',apellido_materno= 'RIVAS', nombre = 'ALEX JOEL' where dni = '75616937';</v>
      </c>
    </row>
    <row r="302" spans="1:9" x14ac:dyDescent="0.25">
      <c r="A302" t="s">
        <v>592</v>
      </c>
      <c r="B302" t="s">
        <v>2344</v>
      </c>
      <c r="C302" t="s">
        <v>1975</v>
      </c>
      <c r="D302" t="s">
        <v>3562</v>
      </c>
      <c r="E302" s="2" t="s">
        <v>3058</v>
      </c>
      <c r="F302" t="s">
        <v>1743</v>
      </c>
      <c r="H302" t="s">
        <v>5455</v>
      </c>
      <c r="I302" t="str">
        <f t="shared" si="4"/>
        <v>update tbl_persona set apellido_paterno= 'AVELLANEDA',apellido_materno= 'DIAZ', nombre = 'IVAN' where dni = '71869889';</v>
      </c>
    </row>
    <row r="303" spans="1:9" x14ac:dyDescent="0.25">
      <c r="A303" t="s">
        <v>594</v>
      </c>
      <c r="B303" t="s">
        <v>2345</v>
      </c>
      <c r="C303" t="s">
        <v>2346</v>
      </c>
      <c r="D303" t="s">
        <v>3841</v>
      </c>
      <c r="E303" s="2" t="s">
        <v>3059</v>
      </c>
      <c r="F303" t="s">
        <v>1743</v>
      </c>
      <c r="H303" t="s">
        <v>5456</v>
      </c>
      <c r="I303" t="str">
        <f t="shared" si="4"/>
        <v>update tbl_persona set apellido_paterno= 'TUPAYACHI',apellido_materno= 'CORAL', nombre = 'DIEGO AARON' where dni = '76951085';</v>
      </c>
    </row>
    <row r="304" spans="1:9" x14ac:dyDescent="0.25">
      <c r="A304" t="s">
        <v>596</v>
      </c>
      <c r="B304" t="s">
        <v>2347</v>
      </c>
      <c r="C304" t="s">
        <v>2348</v>
      </c>
      <c r="D304" t="s">
        <v>3842</v>
      </c>
      <c r="E304" s="2" t="s">
        <v>3060</v>
      </c>
      <c r="F304" t="s">
        <v>1743</v>
      </c>
      <c r="H304" t="s">
        <v>5457</v>
      </c>
      <c r="I304" t="str">
        <f t="shared" si="4"/>
        <v>update tbl_persona set apellido_paterno= 'RIVA',apellido_materno= 'ORBEZO', nombre = 'RONALD JOSUE' where dni = '77322869';</v>
      </c>
    </row>
    <row r="305" spans="1:9" x14ac:dyDescent="0.25">
      <c r="A305" t="s">
        <v>598</v>
      </c>
      <c r="B305" t="s">
        <v>2349</v>
      </c>
      <c r="C305" t="s">
        <v>2350</v>
      </c>
      <c r="D305" t="s">
        <v>3843</v>
      </c>
      <c r="E305" s="2" t="s">
        <v>3061</v>
      </c>
      <c r="F305" t="s">
        <v>1743</v>
      </c>
      <c r="H305" t="s">
        <v>5458</v>
      </c>
      <c r="I305" t="str">
        <f t="shared" si="4"/>
        <v>update tbl_persona set apellido_paterno= 'VIDAL',apellido_materno= 'PÉREZ', nombre = 'HUGO HÉCTOR' where dni = '41294104';</v>
      </c>
    </row>
    <row r="306" spans="1:9" x14ac:dyDescent="0.25">
      <c r="A306" t="s">
        <v>600</v>
      </c>
      <c r="B306" t="s">
        <v>2043</v>
      </c>
      <c r="C306" t="s">
        <v>2351</v>
      </c>
      <c r="D306" t="s">
        <v>3844</v>
      </c>
      <c r="E306" s="2" t="s">
        <v>3062</v>
      </c>
      <c r="F306" t="s">
        <v>1743</v>
      </c>
      <c r="H306" t="s">
        <v>5459</v>
      </c>
      <c r="I306" t="str">
        <f t="shared" si="4"/>
        <v>update tbl_persona set apellido_paterno= 'RAMIREZ',apellido_materno= 'CHALCO', nombre = 'NILO' where dni = '46307105';</v>
      </c>
    </row>
    <row r="307" spans="1:9" x14ac:dyDescent="0.25">
      <c r="A307" t="s">
        <v>602</v>
      </c>
      <c r="B307" t="s">
        <v>2352</v>
      </c>
      <c r="C307" t="s">
        <v>2353</v>
      </c>
      <c r="D307" t="s">
        <v>3845</v>
      </c>
      <c r="E307" s="2" t="s">
        <v>3063</v>
      </c>
      <c r="F307" t="s">
        <v>1743</v>
      </c>
      <c r="H307" t="s">
        <v>5460</v>
      </c>
      <c r="I307" t="str">
        <f t="shared" si="4"/>
        <v>update tbl_persona set apellido_paterno= 'ÑAUPARI',apellido_materno= 'BALDEON', nombre = 'PABLO FELIPE' where dni = '10637504';</v>
      </c>
    </row>
    <row r="308" spans="1:9" x14ac:dyDescent="0.25">
      <c r="A308" t="s">
        <v>604</v>
      </c>
      <c r="B308" t="s">
        <v>2354</v>
      </c>
      <c r="C308" t="s">
        <v>2355</v>
      </c>
      <c r="D308" t="s">
        <v>3846</v>
      </c>
      <c r="E308" s="2" t="s">
        <v>3064</v>
      </c>
      <c r="F308" t="s">
        <v>1743</v>
      </c>
      <c r="H308" t="s">
        <v>5461</v>
      </c>
      <c r="I308" t="str">
        <f t="shared" si="4"/>
        <v>update tbl_persona set apellido_paterno= 'ERASMO',apellido_materno= 'BERRIOS', nombre = 'ERICK ALEXANDER' where dni = '70986625';</v>
      </c>
    </row>
    <row r="309" spans="1:9" x14ac:dyDescent="0.25">
      <c r="A309" t="s">
        <v>606</v>
      </c>
      <c r="B309" t="s">
        <v>1967</v>
      </c>
      <c r="C309" t="s">
        <v>2181</v>
      </c>
      <c r="D309" t="s">
        <v>3847</v>
      </c>
      <c r="E309" s="2" t="s">
        <v>3065</v>
      </c>
      <c r="F309" t="s">
        <v>1743</v>
      </c>
      <c r="H309" t="s">
        <v>5462</v>
      </c>
      <c r="I309" t="str">
        <f t="shared" si="4"/>
        <v>update tbl_persona set apellido_paterno= 'FLORES',apellido_materno= 'VILCA', nombre = 'CARLOS ENRIQUE' where dni = '77421564';</v>
      </c>
    </row>
    <row r="310" spans="1:9" x14ac:dyDescent="0.25">
      <c r="A310" t="s">
        <v>608</v>
      </c>
      <c r="B310" t="s">
        <v>2356</v>
      </c>
      <c r="C310" t="s">
        <v>2308</v>
      </c>
      <c r="D310" t="s">
        <v>3848</v>
      </c>
      <c r="E310" s="2" t="s">
        <v>3066</v>
      </c>
      <c r="F310" t="s">
        <v>1743</v>
      </c>
      <c r="H310" t="s">
        <v>5463</v>
      </c>
      <c r="I310" t="str">
        <f t="shared" si="4"/>
        <v>update tbl_persona set apellido_paterno= 'OLIVERA',apellido_materno= 'MANCO', nombre = 'JORGE AUGUSTO' where dni = '44353914';</v>
      </c>
    </row>
    <row r="311" spans="1:9" x14ac:dyDescent="0.25">
      <c r="A311" t="s">
        <v>610</v>
      </c>
      <c r="B311" t="s">
        <v>2357</v>
      </c>
      <c r="C311" t="s">
        <v>2138</v>
      </c>
      <c r="D311" t="s">
        <v>3849</v>
      </c>
      <c r="E311" s="2" t="s">
        <v>3067</v>
      </c>
      <c r="F311" t="s">
        <v>1743</v>
      </c>
      <c r="H311" t="s">
        <v>5464</v>
      </c>
      <c r="I311" t="str">
        <f t="shared" si="4"/>
        <v>update tbl_persona set apellido_paterno= 'TICONA',apellido_materno= 'SAAVEDRA', nombre = 'CESAR MARTIN' where dni = '70310250';</v>
      </c>
    </row>
    <row r="312" spans="1:9" x14ac:dyDescent="0.25">
      <c r="A312" t="s">
        <v>612</v>
      </c>
      <c r="B312" t="s">
        <v>2012</v>
      </c>
      <c r="C312" t="s">
        <v>2358</v>
      </c>
      <c r="D312" t="s">
        <v>3850</v>
      </c>
      <c r="E312" s="2" t="s">
        <v>3068</v>
      </c>
      <c r="F312" t="s">
        <v>1743</v>
      </c>
      <c r="G312" t="s">
        <v>1575</v>
      </c>
      <c r="H312" t="s">
        <v>5465</v>
      </c>
      <c r="I312" t="str">
        <f t="shared" si="4"/>
        <v>update tbl_persona set apellido_paterno= 'GUTIERREZ',apellido_materno= 'CANRE', nombre = 'FELIX GERARDO' where dni = '72421032';</v>
      </c>
    </row>
    <row r="313" spans="1:9" x14ac:dyDescent="0.25">
      <c r="A313" t="s">
        <v>614</v>
      </c>
      <c r="B313" t="s">
        <v>2012</v>
      </c>
      <c r="C313" t="s">
        <v>2328</v>
      </c>
      <c r="D313" t="s">
        <v>3851</v>
      </c>
      <c r="E313" s="2" t="s">
        <v>3069</v>
      </c>
      <c r="F313" t="s">
        <v>1743</v>
      </c>
      <c r="H313" t="s">
        <v>5466</v>
      </c>
      <c r="I313" t="str">
        <f t="shared" si="4"/>
        <v>update tbl_persona set apellido_paterno= 'GUTIERREZ',apellido_materno= 'HURTADO', nombre = 'CHRISTOPHER ABILIO' where dni = '77381096';</v>
      </c>
    </row>
    <row r="314" spans="1:9" x14ac:dyDescent="0.25">
      <c r="A314" t="s">
        <v>616</v>
      </c>
      <c r="B314" t="s">
        <v>2359</v>
      </c>
      <c r="C314" t="s">
        <v>2360</v>
      </c>
      <c r="D314" t="s">
        <v>3852</v>
      </c>
      <c r="E314" s="2" t="s">
        <v>3070</v>
      </c>
      <c r="F314" t="s">
        <v>1743</v>
      </c>
      <c r="H314" t="s">
        <v>5467</v>
      </c>
      <c r="I314" t="str">
        <f t="shared" si="4"/>
        <v>update tbl_persona set apellido_paterno= 'SALCEDO',apellido_materno= 'ORELLANA', nombre = 'RICARDO ALFONSO' where dni = '48369134';</v>
      </c>
    </row>
    <row r="315" spans="1:9" x14ac:dyDescent="0.25">
      <c r="A315" t="s">
        <v>618</v>
      </c>
      <c r="B315" t="s">
        <v>2182</v>
      </c>
      <c r="C315" t="s">
        <v>2361</v>
      </c>
      <c r="D315" t="s">
        <v>3853</v>
      </c>
      <c r="E315" s="2" t="s">
        <v>3071</v>
      </c>
      <c r="F315" t="s">
        <v>1744</v>
      </c>
      <c r="H315" t="s">
        <v>5468</v>
      </c>
      <c r="I315" t="str">
        <f t="shared" si="4"/>
        <v>update tbl_persona set apellido_paterno= 'MALPARTIDA',apellido_materno= 'SANTOS', nombre = 'ROCIO LISBETH' where dni = '73904623';</v>
      </c>
    </row>
    <row r="316" spans="1:9" x14ac:dyDescent="0.25">
      <c r="A316" t="s">
        <v>620</v>
      </c>
      <c r="B316" t="s">
        <v>2362</v>
      </c>
      <c r="C316" t="s">
        <v>2144</v>
      </c>
      <c r="D316" t="s">
        <v>3854</v>
      </c>
      <c r="E316" s="2" t="s">
        <v>3072</v>
      </c>
      <c r="F316" t="s">
        <v>1743</v>
      </c>
      <c r="H316" t="s">
        <v>5469</v>
      </c>
      <c r="I316" t="str">
        <f t="shared" si="4"/>
        <v>update tbl_persona set apellido_paterno= 'MARTINEZ',apellido_materno= 'TERREROS', nombre = 'LARRY GREGORIO' where dni = '02669479';</v>
      </c>
    </row>
    <row r="317" spans="1:9" x14ac:dyDescent="0.25">
      <c r="A317" t="s">
        <v>622</v>
      </c>
      <c r="B317" t="s">
        <v>2074</v>
      </c>
      <c r="C317" t="s">
        <v>2363</v>
      </c>
      <c r="D317" t="s">
        <v>3855</v>
      </c>
      <c r="E317" s="2" t="s">
        <v>3073</v>
      </c>
      <c r="F317" t="s">
        <v>1743</v>
      </c>
      <c r="H317" t="s">
        <v>5470</v>
      </c>
      <c r="I317" t="str">
        <f t="shared" si="4"/>
        <v>update tbl_persona set apellido_paterno= 'TORRES',apellido_materno= 'RODRÍGUEZ', nombre = 'CARLOS DIEGO' where dni = '72862065';</v>
      </c>
    </row>
    <row r="318" spans="1:9" x14ac:dyDescent="0.25">
      <c r="A318" t="s">
        <v>624</v>
      </c>
      <c r="B318" t="s">
        <v>2088</v>
      </c>
      <c r="C318" t="s">
        <v>2364</v>
      </c>
      <c r="D318" t="s">
        <v>3856</v>
      </c>
      <c r="E318" s="2" t="s">
        <v>3074</v>
      </c>
      <c r="F318" t="s">
        <v>1743</v>
      </c>
      <c r="H318" t="s">
        <v>5471</v>
      </c>
      <c r="I318" t="str">
        <f t="shared" si="4"/>
        <v>update tbl_persona set apellido_paterno= 'VASQUEZ',apellido_materno= 'DAVILA', nombre = 'CESAR ABEL' where dni = '45437518';</v>
      </c>
    </row>
    <row r="319" spans="1:9" x14ac:dyDescent="0.25">
      <c r="A319" t="s">
        <v>626</v>
      </c>
      <c r="B319" t="s">
        <v>2364</v>
      </c>
      <c r="C319" t="s">
        <v>2365</v>
      </c>
      <c r="D319" t="s">
        <v>3857</v>
      </c>
      <c r="E319" s="2" t="s">
        <v>3075</v>
      </c>
      <c r="F319" t="s">
        <v>1743</v>
      </c>
      <c r="H319" t="s">
        <v>5472</v>
      </c>
      <c r="I319" t="str">
        <f t="shared" si="4"/>
        <v>update tbl_persona set apellido_paterno= 'DAVILA',apellido_materno= 'RAFAEL', nombre = 'HENNRY' where dni = '70561884';</v>
      </c>
    </row>
    <row r="320" spans="1:9" x14ac:dyDescent="0.25">
      <c r="A320" t="s">
        <v>628</v>
      </c>
      <c r="B320" t="s">
        <v>2366</v>
      </c>
      <c r="C320" t="s">
        <v>1967</v>
      </c>
      <c r="D320" t="s">
        <v>3858</v>
      </c>
      <c r="E320" s="2" t="s">
        <v>3076</v>
      </c>
      <c r="F320" t="s">
        <v>1743</v>
      </c>
      <c r="H320" t="s">
        <v>5473</v>
      </c>
      <c r="I320" t="str">
        <f t="shared" si="4"/>
        <v>update tbl_persona set apellido_paterno= 'VERA',apellido_materno= 'FLORES', nombre = 'JESÚS ANTONIO' where dni = '46941408';</v>
      </c>
    </row>
    <row r="321" spans="1:9" x14ac:dyDescent="0.25">
      <c r="A321" t="s">
        <v>630</v>
      </c>
      <c r="B321" t="s">
        <v>2367</v>
      </c>
      <c r="C321" t="s">
        <v>2368</v>
      </c>
      <c r="D321" t="s">
        <v>3859</v>
      </c>
      <c r="E321" s="2" t="s">
        <v>2966</v>
      </c>
      <c r="F321" t="s">
        <v>1743</v>
      </c>
      <c r="H321" t="s">
        <v>5474</v>
      </c>
      <c r="I321" t="str">
        <f t="shared" si="4"/>
        <v>update tbl_persona set apellido_paterno= 'ANCULLE',apellido_materno= 'SIERRA', nombre = 'RUSBEL MILTON' where dni = '48450411';</v>
      </c>
    </row>
    <row r="322" spans="1:9" x14ac:dyDescent="0.25">
      <c r="A322" t="s">
        <v>632</v>
      </c>
      <c r="B322" t="s">
        <v>2222</v>
      </c>
      <c r="C322" t="s">
        <v>2369</v>
      </c>
      <c r="D322" t="s">
        <v>3860</v>
      </c>
      <c r="E322" s="2" t="s">
        <v>3077</v>
      </c>
      <c r="F322" t="s">
        <v>1743</v>
      </c>
      <c r="H322" t="s">
        <v>5475</v>
      </c>
      <c r="I322" t="str">
        <f t="shared" si="4"/>
        <v>update tbl_persona set apellido_paterno= 'BRAVO',apellido_materno= 'VALLEJOS', nombre = 'KELVIN ARTURO' where dni = '71262948';</v>
      </c>
    </row>
    <row r="323" spans="1:9" x14ac:dyDescent="0.25">
      <c r="A323" t="s">
        <v>634</v>
      </c>
      <c r="B323" t="s">
        <v>1962</v>
      </c>
      <c r="C323" t="s">
        <v>2370</v>
      </c>
      <c r="D323" t="s">
        <v>3861</v>
      </c>
      <c r="E323" s="2" t="s">
        <v>2954</v>
      </c>
      <c r="F323" t="s">
        <v>1743</v>
      </c>
      <c r="H323" t="s">
        <v>5476</v>
      </c>
      <c r="I323" t="str">
        <f t="shared" ref="I323:I386" si="5">_xlfn.CONCAT("update tbl_persona set apellido_paterno= '",B323,"',apellido_materno= '",C323,"', nombre = '",D323,"' where dni = '",A323,"';")</f>
        <v>update tbl_persona set apellido_paterno= 'ESPINOZA',apellido_materno= 'AYALA', nombre = 'JAIME DEYVIS' where dni = '71100059';</v>
      </c>
    </row>
    <row r="324" spans="1:9" x14ac:dyDescent="0.25">
      <c r="A324" t="s">
        <v>636</v>
      </c>
      <c r="B324" t="s">
        <v>2371</v>
      </c>
      <c r="C324" t="s">
        <v>2372</v>
      </c>
      <c r="D324" t="s">
        <v>3862</v>
      </c>
      <c r="E324" s="2" t="s">
        <v>3078</v>
      </c>
      <c r="F324" t="s">
        <v>1743</v>
      </c>
      <c r="H324" t="s">
        <v>5477</v>
      </c>
      <c r="I324" t="str">
        <f t="shared" si="5"/>
        <v>update tbl_persona set apellido_paterno= 'LA',apellido_materno= 'CRUZ CHEQUERA', nombre = 'LEOPOLDO ANCI' where dni = '77079421';</v>
      </c>
    </row>
    <row r="325" spans="1:9" x14ac:dyDescent="0.25">
      <c r="A325" t="s">
        <v>638</v>
      </c>
      <c r="B325" t="s">
        <v>2221</v>
      </c>
      <c r="C325" t="s">
        <v>2319</v>
      </c>
      <c r="D325" t="s">
        <v>3863</v>
      </c>
      <c r="E325" s="2" t="s">
        <v>3079</v>
      </c>
      <c r="F325" t="s">
        <v>1743</v>
      </c>
      <c r="H325" t="s">
        <v>5478</v>
      </c>
      <c r="I325" t="str">
        <f t="shared" si="5"/>
        <v>update tbl_persona set apellido_paterno= 'SALAS',apellido_materno= 'GALARZA', nombre = 'ANDRÉ JAVIER' where dni = '75783937';</v>
      </c>
    </row>
    <row r="326" spans="1:9" x14ac:dyDescent="0.25">
      <c r="A326" t="s">
        <v>640</v>
      </c>
      <c r="B326" t="s">
        <v>2059</v>
      </c>
      <c r="C326" t="s">
        <v>2373</v>
      </c>
      <c r="D326" t="s">
        <v>3864</v>
      </c>
      <c r="E326" s="2" t="s">
        <v>3080</v>
      </c>
      <c r="F326" t="s">
        <v>1743</v>
      </c>
      <c r="H326" t="s">
        <v>5479</v>
      </c>
      <c r="I326" t="str">
        <f t="shared" si="5"/>
        <v>update tbl_persona set apellido_paterno= 'ARIAS',apellido_materno= 'MARCES', nombre = 'AAROM BRYAM AYRTON' where dni = '71100890';</v>
      </c>
    </row>
    <row r="327" spans="1:9" x14ac:dyDescent="0.25">
      <c r="A327" t="s">
        <v>642</v>
      </c>
      <c r="B327" t="s">
        <v>2374</v>
      </c>
      <c r="C327" t="s">
        <v>2375</v>
      </c>
      <c r="D327" t="s">
        <v>3865</v>
      </c>
      <c r="E327" s="2" t="s">
        <v>3081</v>
      </c>
      <c r="F327" t="s">
        <v>1743</v>
      </c>
      <c r="H327" t="s">
        <v>5480</v>
      </c>
      <c r="I327" t="str">
        <f t="shared" si="5"/>
        <v>update tbl_persona set apellido_paterno= 'CALLE',apellido_materno= 'PASAPERA', nombre = 'JORGE JOSEPH' where dni = '75772572';</v>
      </c>
    </row>
    <row r="328" spans="1:9" x14ac:dyDescent="0.25">
      <c r="A328" t="s">
        <v>644</v>
      </c>
      <c r="B328" t="s">
        <v>1969</v>
      </c>
      <c r="C328" t="s">
        <v>1989</v>
      </c>
      <c r="D328" t="s">
        <v>3866</v>
      </c>
      <c r="E328" s="2" t="s">
        <v>3082</v>
      </c>
      <c r="F328" t="s">
        <v>1743</v>
      </c>
      <c r="H328" t="s">
        <v>5481</v>
      </c>
      <c r="I328" t="str">
        <f t="shared" si="5"/>
        <v>update tbl_persona set apellido_paterno= 'QUISPE',apellido_materno= 'PALOMINO', nombre = 'FRANKLIN' where dni = '72497720';</v>
      </c>
    </row>
    <row r="329" spans="1:9" x14ac:dyDescent="0.25">
      <c r="A329" t="s">
        <v>646</v>
      </c>
      <c r="B329" t="s">
        <v>2376</v>
      </c>
      <c r="C329" t="s">
        <v>2377</v>
      </c>
      <c r="D329" t="s">
        <v>3867</v>
      </c>
      <c r="E329" s="2" t="s">
        <v>3083</v>
      </c>
      <c r="F329" t="s">
        <v>1743</v>
      </c>
      <c r="H329" t="s">
        <v>5482</v>
      </c>
      <c r="I329" t="str">
        <f t="shared" si="5"/>
        <v>update tbl_persona set apellido_paterno= 'PEÑA',apellido_materno= 'MARTÍNEZ', nombre = 'NELSON ALEXANDER' where dni = '76231605';</v>
      </c>
    </row>
    <row r="330" spans="1:9" x14ac:dyDescent="0.25">
      <c r="A330" t="s">
        <v>648</v>
      </c>
      <c r="B330" t="s">
        <v>1978</v>
      </c>
      <c r="C330" t="s">
        <v>2378</v>
      </c>
      <c r="D330" t="s">
        <v>3868</v>
      </c>
      <c r="E330" s="2" t="s">
        <v>3084</v>
      </c>
      <c r="F330" t="s">
        <v>1743</v>
      </c>
      <c r="H330" t="s">
        <v>5483</v>
      </c>
      <c r="I330" t="str">
        <f t="shared" si="5"/>
        <v>update tbl_persona set apellido_paterno= 'YALTA',apellido_materno= 'ARÉVALO', nombre = 'HUGO JOEL' where dni = '41426563';</v>
      </c>
    </row>
    <row r="331" spans="1:9" x14ac:dyDescent="0.25">
      <c r="A331" t="s">
        <v>650</v>
      </c>
      <c r="B331" t="s">
        <v>2379</v>
      </c>
      <c r="C331" t="s">
        <v>2380</v>
      </c>
      <c r="D331" t="s">
        <v>3869</v>
      </c>
      <c r="E331" s="2" t="s">
        <v>3085</v>
      </c>
      <c r="F331" t="s">
        <v>1744</v>
      </c>
      <c r="H331" t="s">
        <v>5484</v>
      </c>
      <c r="I331" t="str">
        <f t="shared" si="5"/>
        <v>update tbl_persona set apellido_paterno= 'EGUES',apellido_materno= 'HUACHACA', nombre = 'KRISTEL XIMENA' where dni = '75223602';</v>
      </c>
    </row>
    <row r="332" spans="1:9" x14ac:dyDescent="0.25">
      <c r="A332" t="s">
        <v>652</v>
      </c>
      <c r="B332" t="s">
        <v>2381</v>
      </c>
      <c r="C332" t="s">
        <v>2382</v>
      </c>
      <c r="D332" t="s">
        <v>3870</v>
      </c>
      <c r="E332" s="2" t="s">
        <v>3086</v>
      </c>
      <c r="F332" t="s">
        <v>1743</v>
      </c>
      <c r="H332" t="s">
        <v>5485</v>
      </c>
      <c r="I332" t="str">
        <f t="shared" si="5"/>
        <v>update tbl_persona set apellido_paterno= 'MURAYARI',apellido_materno= 'PAIMA', nombre = 'JHON GLEIN' where dni = '77244354';</v>
      </c>
    </row>
    <row r="333" spans="1:9" x14ac:dyDescent="0.25">
      <c r="A333" t="s">
        <v>654</v>
      </c>
      <c r="B333" t="s">
        <v>2383</v>
      </c>
      <c r="C333" t="s">
        <v>1995</v>
      </c>
      <c r="D333" t="s">
        <v>3871</v>
      </c>
      <c r="E333" s="2" t="s">
        <v>3087</v>
      </c>
      <c r="F333" t="s">
        <v>1743</v>
      </c>
      <c r="H333" t="s">
        <v>5486</v>
      </c>
      <c r="I333" t="str">
        <f t="shared" si="5"/>
        <v>update tbl_persona set apellido_paterno= 'LAZARTE',apellido_materno= 'FERNANDEZ', nombre = 'ELIAS ANDREE' where dni = '72274425';</v>
      </c>
    </row>
    <row r="334" spans="1:9" x14ac:dyDescent="0.25">
      <c r="A334" t="s">
        <v>656</v>
      </c>
      <c r="B334" t="s">
        <v>2384</v>
      </c>
      <c r="C334" t="s">
        <v>2385</v>
      </c>
      <c r="D334" t="s">
        <v>3872</v>
      </c>
      <c r="E334" s="2" t="s">
        <v>3088</v>
      </c>
      <c r="F334" t="s">
        <v>1743</v>
      </c>
      <c r="H334" t="s">
        <v>5487</v>
      </c>
      <c r="I334" t="str">
        <f t="shared" si="5"/>
        <v>update tbl_persona set apellido_paterno= 'CHOQUEHUANCA',apellido_materno= 'MAMANI', nombre = 'BRAX ARNY' where dni = '74821132';</v>
      </c>
    </row>
    <row r="335" spans="1:9" x14ac:dyDescent="0.25">
      <c r="A335" t="s">
        <v>658</v>
      </c>
      <c r="B335" t="s">
        <v>2386</v>
      </c>
      <c r="C335" t="s">
        <v>2074</v>
      </c>
      <c r="D335" t="s">
        <v>3873</v>
      </c>
      <c r="E335" s="2" t="s">
        <v>3089</v>
      </c>
      <c r="F335" t="s">
        <v>1744</v>
      </c>
      <c r="H335" t="s">
        <v>5488</v>
      </c>
      <c r="I335" t="str">
        <f t="shared" si="5"/>
        <v>update tbl_persona set apellido_paterno= 'CUELLO',apellido_materno= 'TORRES', nombre = 'CYNTHIA ANDREA' where dni = '75991569';</v>
      </c>
    </row>
    <row r="336" spans="1:9" x14ac:dyDescent="0.25">
      <c r="A336" t="s">
        <v>660</v>
      </c>
      <c r="B336" t="s">
        <v>2387</v>
      </c>
      <c r="C336" t="s">
        <v>2388</v>
      </c>
      <c r="D336" t="s">
        <v>2224</v>
      </c>
      <c r="E336" s="2" t="s">
        <v>3090</v>
      </c>
      <c r="F336" t="s">
        <v>1743</v>
      </c>
      <c r="H336" t="s">
        <v>5489</v>
      </c>
      <c r="I336" t="str">
        <f t="shared" si="5"/>
        <v>update tbl_persona set apellido_paterno= 'PINEDO',apellido_materno= 'SOLANO', nombre = 'PELAYO' where dni = '71895397';</v>
      </c>
    </row>
    <row r="337" spans="1:9" x14ac:dyDescent="0.25">
      <c r="A337" t="s">
        <v>662</v>
      </c>
      <c r="B337" t="s">
        <v>2389</v>
      </c>
      <c r="C337" t="s">
        <v>2259</v>
      </c>
      <c r="D337" t="s">
        <v>3874</v>
      </c>
      <c r="E337" s="2" t="s">
        <v>3091</v>
      </c>
      <c r="F337" t="s">
        <v>1743</v>
      </c>
      <c r="H337" t="s">
        <v>5490</v>
      </c>
      <c r="I337" t="str">
        <f t="shared" si="5"/>
        <v>update tbl_persona set apellido_paterno= 'BERNAL',apellido_materno= 'CRUZ', nombre = 'JHON DARWIN' where dni = '70849273';</v>
      </c>
    </row>
    <row r="338" spans="1:9" x14ac:dyDescent="0.25">
      <c r="A338" t="s">
        <v>664</v>
      </c>
      <c r="B338" t="s">
        <v>2118</v>
      </c>
      <c r="C338" t="s">
        <v>2134</v>
      </c>
      <c r="D338" t="s">
        <v>3875</v>
      </c>
      <c r="E338" s="2" t="s">
        <v>3092</v>
      </c>
      <c r="F338" t="s">
        <v>1743</v>
      </c>
      <c r="H338" t="s">
        <v>5491</v>
      </c>
      <c r="I338" t="str">
        <f t="shared" si="5"/>
        <v>update tbl_persona set apellido_paterno= 'VILCHEZ',apellido_materno= 'ZAPATA', nombre = 'MARVIN EMANUEL' where dni = '48329659';</v>
      </c>
    </row>
    <row r="339" spans="1:9" x14ac:dyDescent="0.25">
      <c r="A339" t="s">
        <v>666</v>
      </c>
      <c r="B339" t="s">
        <v>2332</v>
      </c>
      <c r="C339" t="s">
        <v>2390</v>
      </c>
      <c r="D339" t="s">
        <v>3876</v>
      </c>
      <c r="E339" s="2" t="s">
        <v>3093</v>
      </c>
      <c r="F339" t="s">
        <v>1743</v>
      </c>
      <c r="H339" t="s">
        <v>5492</v>
      </c>
      <c r="I339" t="str">
        <f t="shared" si="5"/>
        <v>update tbl_persona set apellido_paterno= 'CARDENAS',apellido_materno= 'LICAS', nombre = 'JOSE ANDRE' where dni = '72287833';</v>
      </c>
    </row>
    <row r="340" spans="1:9" x14ac:dyDescent="0.25">
      <c r="A340" t="s">
        <v>668</v>
      </c>
      <c r="B340" t="s">
        <v>2391</v>
      </c>
      <c r="C340" t="s">
        <v>2038</v>
      </c>
      <c r="D340" t="s">
        <v>3877</v>
      </c>
      <c r="E340" s="2" t="s">
        <v>3094</v>
      </c>
      <c r="F340" t="s">
        <v>1743</v>
      </c>
      <c r="H340" t="s">
        <v>5493</v>
      </c>
      <c r="I340" t="str">
        <f t="shared" si="5"/>
        <v>update tbl_persona set apellido_paterno= 'TAMAYO',apellido_materno= 'MENDOZA', nombre = 'CHARLI' where dni = '72078930';</v>
      </c>
    </row>
    <row r="341" spans="1:9" x14ac:dyDescent="0.25">
      <c r="A341" t="s">
        <v>670</v>
      </c>
      <c r="B341" t="s">
        <v>2164</v>
      </c>
      <c r="C341" t="s">
        <v>2204</v>
      </c>
      <c r="D341" t="s">
        <v>3878</v>
      </c>
      <c r="E341" s="2" t="s">
        <v>3095</v>
      </c>
      <c r="F341" t="s">
        <v>1743</v>
      </c>
      <c r="H341" t="s">
        <v>5494</v>
      </c>
      <c r="I341" t="str">
        <f t="shared" si="5"/>
        <v>update tbl_persona set apellido_paterno= 'AGURTO',apellido_materno= 'MOGOLLON', nombre = 'JUNIOR EDUARDO' where dni = '43640136';</v>
      </c>
    </row>
    <row r="342" spans="1:9" x14ac:dyDescent="0.25">
      <c r="A342" t="s">
        <v>672</v>
      </c>
      <c r="B342" t="s">
        <v>2259</v>
      </c>
      <c r="C342" t="s">
        <v>2392</v>
      </c>
      <c r="D342" t="s">
        <v>3601</v>
      </c>
      <c r="E342" s="2" t="s">
        <v>3096</v>
      </c>
      <c r="F342" t="s">
        <v>1743</v>
      </c>
      <c r="H342" t="s">
        <v>5495</v>
      </c>
      <c r="I342" t="str">
        <f t="shared" si="5"/>
        <v>update tbl_persona set apellido_paterno= 'CRUZ',apellido_materno= 'SERNAQUE', nombre = 'VICTOR MANUEL' where dni = '72695581';</v>
      </c>
    </row>
    <row r="343" spans="1:9" x14ac:dyDescent="0.25">
      <c r="A343" t="s">
        <v>674</v>
      </c>
      <c r="B343" t="s">
        <v>1988</v>
      </c>
      <c r="C343" t="s">
        <v>2393</v>
      </c>
      <c r="D343" t="s">
        <v>3879</v>
      </c>
      <c r="E343" s="2" t="s">
        <v>3076</v>
      </c>
      <c r="F343" t="s">
        <v>1743</v>
      </c>
      <c r="H343" t="s">
        <v>5496</v>
      </c>
      <c r="I343" t="str">
        <f t="shared" si="5"/>
        <v>update tbl_persona set apellido_paterno= 'MONTOYA',apellido_materno= 'LAUREANO', nombre = 'MILWARD JORGE' where dni = '47070271';</v>
      </c>
    </row>
    <row r="344" spans="1:9" x14ac:dyDescent="0.25">
      <c r="A344" t="s">
        <v>676</v>
      </c>
      <c r="B344" t="s">
        <v>2394</v>
      </c>
      <c r="C344" t="s">
        <v>1994</v>
      </c>
      <c r="D344" t="s">
        <v>3880</v>
      </c>
      <c r="E344" s="2" t="s">
        <v>3097</v>
      </c>
      <c r="F344" t="s">
        <v>1743</v>
      </c>
      <c r="H344" t="s">
        <v>5497</v>
      </c>
      <c r="I344" t="str">
        <f t="shared" si="5"/>
        <v>update tbl_persona set apellido_paterno= 'CARUAJULCA',apellido_materno= 'SANTILLAN', nombre = 'JHONY' where dni = '46972995';</v>
      </c>
    </row>
    <row r="345" spans="1:9" x14ac:dyDescent="0.25">
      <c r="A345" t="s">
        <v>678</v>
      </c>
      <c r="B345" t="s">
        <v>2395</v>
      </c>
      <c r="C345" t="s">
        <v>2396</v>
      </c>
      <c r="D345" t="s">
        <v>3881</v>
      </c>
      <c r="E345" s="2" t="s">
        <v>3098</v>
      </c>
      <c r="F345" t="s">
        <v>1743</v>
      </c>
      <c r="H345" t="s">
        <v>5498</v>
      </c>
      <c r="I345" t="str">
        <f t="shared" si="5"/>
        <v>update tbl_persona set apellido_paterno= 'SISNIEGAS',apellido_materno= 'VALDIVIA', nombre = 'MIGUEL ANGEL' where dni = '73374782';</v>
      </c>
    </row>
    <row r="346" spans="1:9" x14ac:dyDescent="0.25">
      <c r="A346" t="s">
        <v>680</v>
      </c>
      <c r="B346" t="s">
        <v>2157</v>
      </c>
      <c r="C346" t="s">
        <v>2376</v>
      </c>
      <c r="D346" t="s">
        <v>3882</v>
      </c>
      <c r="E346" s="2" t="s">
        <v>3099</v>
      </c>
      <c r="F346" t="s">
        <v>1743</v>
      </c>
      <c r="H346" t="s">
        <v>5499</v>
      </c>
      <c r="I346" t="str">
        <f t="shared" si="5"/>
        <v>update tbl_persona set apellido_paterno= 'HUAMAN',apellido_materno= 'PEÑA', nombre = 'EDUARDO MARTIN' where dni = '71273363';</v>
      </c>
    </row>
    <row r="347" spans="1:9" x14ac:dyDescent="0.25">
      <c r="A347" t="s">
        <v>682</v>
      </c>
      <c r="B347" t="s">
        <v>2397</v>
      </c>
      <c r="C347" t="s">
        <v>2398</v>
      </c>
      <c r="D347" t="s">
        <v>3883</v>
      </c>
      <c r="E347" s="2" t="s">
        <v>3100</v>
      </c>
      <c r="F347" t="s">
        <v>1743</v>
      </c>
      <c r="H347" t="s">
        <v>5500</v>
      </c>
      <c r="I347" t="str">
        <f t="shared" si="5"/>
        <v>update tbl_persona set apellido_paterno= 'MONASTERIO',apellido_materno= 'TORREZ', nombre = 'EMIL BERNARD' where dni = '75953771';</v>
      </c>
    </row>
    <row r="348" spans="1:9" x14ac:dyDescent="0.25">
      <c r="A348" t="s">
        <v>684</v>
      </c>
      <c r="B348" t="s">
        <v>2399</v>
      </c>
      <c r="C348" t="s">
        <v>2029</v>
      </c>
      <c r="D348" t="s">
        <v>3884</v>
      </c>
      <c r="E348" s="2" t="s">
        <v>3101</v>
      </c>
      <c r="F348" t="s">
        <v>1743</v>
      </c>
      <c r="H348" t="s">
        <v>5501</v>
      </c>
      <c r="I348" t="str">
        <f t="shared" si="5"/>
        <v>update tbl_persona set apellido_paterno= 'CARRION',apellido_materno= 'ORTIZ', nombre = 'YESENIA MERCEDES' where dni = '73991152';</v>
      </c>
    </row>
    <row r="349" spans="1:9" x14ac:dyDescent="0.25">
      <c r="A349" t="s">
        <v>686</v>
      </c>
      <c r="B349" t="s">
        <v>2400</v>
      </c>
      <c r="C349" t="s">
        <v>2004</v>
      </c>
      <c r="D349" t="s">
        <v>3885</v>
      </c>
      <c r="E349" s="2" t="s">
        <v>3102</v>
      </c>
      <c r="F349" t="s">
        <v>1743</v>
      </c>
      <c r="H349" t="s">
        <v>5502</v>
      </c>
      <c r="I349" t="str">
        <f t="shared" si="5"/>
        <v>update tbl_persona set apellido_paterno= 'CHUCO',apellido_materno= 'ROJAS', nombre = 'JEAN PIER' where dni = '77464584';</v>
      </c>
    </row>
    <row r="350" spans="1:9" x14ac:dyDescent="0.25">
      <c r="A350" t="s">
        <v>688</v>
      </c>
      <c r="B350" t="s">
        <v>2401</v>
      </c>
      <c r="C350" t="s">
        <v>2402</v>
      </c>
      <c r="D350" t="s">
        <v>3886</v>
      </c>
      <c r="E350" s="2" t="s">
        <v>3103</v>
      </c>
      <c r="F350" t="s">
        <v>1743</v>
      </c>
      <c r="H350" t="s">
        <v>5503</v>
      </c>
      <c r="I350" t="str">
        <f t="shared" si="5"/>
        <v>update tbl_persona set apellido_paterno= 'DURAND',apellido_materno= 'VENEGAS', nombre = 'XAVIER' where dni = '70113658';</v>
      </c>
    </row>
    <row r="351" spans="1:9" x14ac:dyDescent="0.25">
      <c r="A351" t="s">
        <v>690</v>
      </c>
      <c r="B351" t="s">
        <v>2320</v>
      </c>
      <c r="C351" t="s">
        <v>2403</v>
      </c>
      <c r="D351" t="s">
        <v>3640</v>
      </c>
      <c r="E351" s="2" t="s">
        <v>3104</v>
      </c>
      <c r="F351" t="s">
        <v>1743</v>
      </c>
      <c r="H351" t="s">
        <v>5504</v>
      </c>
      <c r="I351" t="str">
        <f t="shared" si="5"/>
        <v>update tbl_persona set apellido_paterno= 'FEBRES',apellido_materno= 'ANCAJIMA', nombre = 'CARLOS ALBERTO' where dni = '76546242';</v>
      </c>
    </row>
    <row r="352" spans="1:9" x14ac:dyDescent="0.25">
      <c r="A352" t="s">
        <v>692</v>
      </c>
      <c r="B352" t="s">
        <v>2404</v>
      </c>
      <c r="C352" t="s">
        <v>1967</v>
      </c>
      <c r="D352" t="s">
        <v>3887</v>
      </c>
      <c r="E352" s="2" t="s">
        <v>3105</v>
      </c>
      <c r="F352" t="s">
        <v>1743</v>
      </c>
      <c r="H352" t="s">
        <v>5505</v>
      </c>
      <c r="I352" t="str">
        <f t="shared" si="5"/>
        <v>update tbl_persona set apellido_paterno= 'BARRENECHEA',apellido_materno= 'FLORES', nombre = 'NILS' where dni = '31660729';</v>
      </c>
    </row>
    <row r="353" spans="1:9" x14ac:dyDescent="0.25">
      <c r="A353" t="s">
        <v>694</v>
      </c>
      <c r="B353" t="s">
        <v>2405</v>
      </c>
      <c r="C353" t="s">
        <v>2406</v>
      </c>
      <c r="D353" t="s">
        <v>3630</v>
      </c>
      <c r="E353" s="2" t="s">
        <v>3106</v>
      </c>
      <c r="F353" t="s">
        <v>1743</v>
      </c>
      <c r="H353" t="s">
        <v>5506</v>
      </c>
      <c r="I353" t="str">
        <f t="shared" si="5"/>
        <v>update tbl_persona set apellido_paterno= 'GALLARDO',apellido_materno= 'ARCOS', nombre = 'GIANCARLO' where dni = '45292010';</v>
      </c>
    </row>
    <row r="354" spans="1:9" x14ac:dyDescent="0.25">
      <c r="A354" t="s">
        <v>696</v>
      </c>
      <c r="B354" t="s">
        <v>1969</v>
      </c>
      <c r="C354" t="s">
        <v>2407</v>
      </c>
      <c r="D354" t="s">
        <v>3888</v>
      </c>
      <c r="E354" s="2" t="s">
        <v>3107</v>
      </c>
      <c r="F354" t="s">
        <v>1743</v>
      </c>
      <c r="H354" t="s">
        <v>5507</v>
      </c>
      <c r="I354" t="str">
        <f t="shared" si="5"/>
        <v>update tbl_persona set apellido_paterno= 'QUISPE',apellido_materno= 'ANCO', nombre = 'GUIDO HERNAN' where dni = '45065815';</v>
      </c>
    </row>
    <row r="355" spans="1:9" x14ac:dyDescent="0.25">
      <c r="A355" t="s">
        <v>698</v>
      </c>
      <c r="B355" t="s">
        <v>2094</v>
      </c>
      <c r="C355" t="s">
        <v>2408</v>
      </c>
      <c r="D355" t="s">
        <v>3889</v>
      </c>
      <c r="E355" s="2" t="s">
        <v>3108</v>
      </c>
      <c r="F355" t="s">
        <v>1743</v>
      </c>
      <c r="H355" t="s">
        <v>5508</v>
      </c>
      <c r="I355" t="str">
        <f t="shared" si="5"/>
        <v>update tbl_persona set apellido_paterno= 'PINO',apellido_materno= 'MORON', nombre = 'ALEXANDER' where dni = '41845226';</v>
      </c>
    </row>
    <row r="356" spans="1:9" x14ac:dyDescent="0.25">
      <c r="A356" t="s">
        <v>700</v>
      </c>
      <c r="B356" t="s">
        <v>2409</v>
      </c>
      <c r="C356" t="s">
        <v>2410</v>
      </c>
      <c r="D356" t="s">
        <v>3890</v>
      </c>
      <c r="E356" s="2" t="s">
        <v>3109</v>
      </c>
      <c r="F356" t="s">
        <v>1743</v>
      </c>
      <c r="H356" t="s">
        <v>5509</v>
      </c>
      <c r="I356" t="str">
        <f t="shared" si="5"/>
        <v>update tbl_persona set apellido_paterno= 'BUITRON',apellido_materno= 'CUSI', nombre = 'ANGEL' where dni = '47727537';</v>
      </c>
    </row>
    <row r="357" spans="1:9" x14ac:dyDescent="0.25">
      <c r="A357" t="s">
        <v>702</v>
      </c>
      <c r="B357" t="s">
        <v>2008</v>
      </c>
      <c r="C357" t="s">
        <v>2417</v>
      </c>
      <c r="D357" t="s">
        <v>3647</v>
      </c>
      <c r="E357" s="2" t="s">
        <v>3110</v>
      </c>
      <c r="F357" t="s">
        <v>1743</v>
      </c>
      <c r="H357" t="s">
        <v>5510</v>
      </c>
      <c r="I357" t="str">
        <f t="shared" si="5"/>
        <v>update tbl_persona set apellido_paterno= 'MIRANDA',apellido_materno= 'ANAMPA', nombre = 'OSCAR' where dni = '41818751';</v>
      </c>
    </row>
    <row r="358" spans="1:9" x14ac:dyDescent="0.25">
      <c r="A358" t="s">
        <v>297</v>
      </c>
      <c r="B358" t="s">
        <v>2022</v>
      </c>
      <c r="C358" t="s">
        <v>2022</v>
      </c>
      <c r="D358" t="s">
        <v>3891</v>
      </c>
      <c r="E358" s="2" t="s">
        <v>2985</v>
      </c>
      <c r="F358" t="s">
        <v>1743</v>
      </c>
      <c r="H358" t="s">
        <v>5511</v>
      </c>
      <c r="I358" t="str">
        <f t="shared" si="5"/>
        <v>update tbl_persona set apellido_paterno= 'CASTRO',apellido_materno= 'CASTRO', nombre = 'FRANCK MARCOS' where dni = '73677559';</v>
      </c>
    </row>
    <row r="359" spans="1:9" x14ac:dyDescent="0.25">
      <c r="A359" t="s">
        <v>703</v>
      </c>
      <c r="B359" t="s">
        <v>2411</v>
      </c>
      <c r="C359" t="s">
        <v>2412</v>
      </c>
      <c r="D359" t="s">
        <v>3650</v>
      </c>
      <c r="E359" s="2" t="s">
        <v>3112</v>
      </c>
      <c r="F359" t="s">
        <v>1743</v>
      </c>
      <c r="H359" t="s">
        <v>5512</v>
      </c>
      <c r="I359" t="str">
        <f t="shared" si="5"/>
        <v>update tbl_persona set apellido_paterno= 'CHUQUIPOMA',apellido_materno= 'DOLORES', nombre = 'JOSE ANTONIO' where dni = '70614423';</v>
      </c>
    </row>
    <row r="360" spans="1:9" x14ac:dyDescent="0.25">
      <c r="A360" t="s">
        <v>705</v>
      </c>
      <c r="B360" t="s">
        <v>2413</v>
      </c>
      <c r="C360" t="s">
        <v>2414</v>
      </c>
      <c r="D360" t="s">
        <v>3892</v>
      </c>
      <c r="E360" s="2" t="s">
        <v>3113</v>
      </c>
      <c r="F360" t="s">
        <v>1743</v>
      </c>
      <c r="H360" t="s">
        <v>5513</v>
      </c>
      <c r="I360" t="str">
        <f t="shared" si="5"/>
        <v>update tbl_persona set apellido_paterno= 'BEGAZO',apellido_materno= 'QUENAYA', nombre = 'JEANCARLO JESUS' where dni = '70003397';</v>
      </c>
    </row>
    <row r="361" spans="1:9" x14ac:dyDescent="0.25">
      <c r="A361" t="s">
        <v>707</v>
      </c>
      <c r="B361" t="s">
        <v>2415</v>
      </c>
      <c r="C361" t="s">
        <v>2053</v>
      </c>
      <c r="D361" t="s">
        <v>3893</v>
      </c>
      <c r="E361" s="2" t="s">
        <v>3114</v>
      </c>
      <c r="F361" t="s">
        <v>1743</v>
      </c>
      <c r="H361" t="s">
        <v>5514</v>
      </c>
      <c r="I361" t="str">
        <f t="shared" si="5"/>
        <v>update tbl_persona set apellido_paterno= 'MUÑICO',apellido_materno= 'ALEJO', nombre = 'ERICK JAIR' where dni = '73878073';</v>
      </c>
    </row>
    <row r="362" spans="1:9" x14ac:dyDescent="0.25">
      <c r="A362" t="s">
        <v>709</v>
      </c>
      <c r="B362" t="s">
        <v>2173</v>
      </c>
      <c r="C362" t="s">
        <v>2340</v>
      </c>
      <c r="D362" t="s">
        <v>3894</v>
      </c>
      <c r="E362" s="2" t="s">
        <v>3115</v>
      </c>
      <c r="F362" t="s">
        <v>1743</v>
      </c>
      <c r="H362" t="s">
        <v>5515</v>
      </c>
      <c r="I362" t="str">
        <f t="shared" si="5"/>
        <v>update tbl_persona set apellido_paterno= 'SILVA',apellido_materno= 'CORDOVA', nombre = 'DIEGO YAMIL' where dni = '71947894';</v>
      </c>
    </row>
    <row r="363" spans="1:9" x14ac:dyDescent="0.25">
      <c r="A363" t="s">
        <v>711</v>
      </c>
      <c r="B363" t="s">
        <v>2416</v>
      </c>
      <c r="C363" t="s">
        <v>2030</v>
      </c>
      <c r="D363" t="s">
        <v>3895</v>
      </c>
      <c r="E363" s="2" t="s">
        <v>3116</v>
      </c>
      <c r="F363" t="s">
        <v>1743</v>
      </c>
      <c r="H363" t="s">
        <v>5516</v>
      </c>
      <c r="I363" t="str">
        <f t="shared" si="5"/>
        <v>update tbl_persona set apellido_paterno= 'VALENTIN',apellido_materno= 'MEZA', nombre = 'ANGEL IVAN' where dni = '73902251';</v>
      </c>
    </row>
    <row r="364" spans="1:9" x14ac:dyDescent="0.25">
      <c r="A364" t="s">
        <v>713</v>
      </c>
      <c r="B364" t="s">
        <v>2417</v>
      </c>
      <c r="C364" t="s">
        <v>2341</v>
      </c>
      <c r="D364" t="s">
        <v>3896</v>
      </c>
      <c r="E364" s="2" t="s">
        <v>3117</v>
      </c>
      <c r="F364" t="s">
        <v>1744</v>
      </c>
      <c r="H364" t="s">
        <v>5517</v>
      </c>
      <c r="I364" t="str">
        <f t="shared" si="5"/>
        <v>update tbl_persona set apellido_paterno= 'ANAMPA',apellido_materno= 'MACHUCA', nombre = 'JEYSA ALEXANDRA' where dni = '75077177';</v>
      </c>
    </row>
    <row r="365" spans="1:9" x14ac:dyDescent="0.25">
      <c r="A365" t="s">
        <v>715</v>
      </c>
      <c r="B365" t="s">
        <v>2418</v>
      </c>
      <c r="C365" t="s">
        <v>1962</v>
      </c>
      <c r="D365" t="s">
        <v>3897</v>
      </c>
      <c r="E365" s="2" t="s">
        <v>3118</v>
      </c>
      <c r="F365" t="s">
        <v>1743</v>
      </c>
      <c r="H365" t="s">
        <v>5518</v>
      </c>
      <c r="I365" t="str">
        <f t="shared" si="5"/>
        <v>update tbl_persona set apellido_paterno= 'CHUMACERO',apellido_materno= 'ESPINOZA', nombre = 'MANUEL' where dni = '71559045';</v>
      </c>
    </row>
    <row r="366" spans="1:9" x14ac:dyDescent="0.25">
      <c r="A366" t="s">
        <v>717</v>
      </c>
      <c r="B366" t="s">
        <v>2074</v>
      </c>
      <c r="C366" t="s">
        <v>2221</v>
      </c>
      <c r="D366" t="s">
        <v>3898</v>
      </c>
      <c r="E366" s="2" t="s">
        <v>3119</v>
      </c>
      <c r="F366" t="s">
        <v>1743</v>
      </c>
      <c r="H366" t="s">
        <v>5519</v>
      </c>
      <c r="I366" t="str">
        <f t="shared" si="5"/>
        <v>update tbl_persona set apellido_paterno= 'TORRES',apellido_materno= 'SALAS', nombre = 'SEGUNDO PEDRO' where dni = '43953805';</v>
      </c>
    </row>
    <row r="367" spans="1:9" x14ac:dyDescent="0.25">
      <c r="A367" t="s">
        <v>719</v>
      </c>
      <c r="B367" t="s">
        <v>2419</v>
      </c>
      <c r="C367" t="s">
        <v>2259</v>
      </c>
      <c r="D367" t="s">
        <v>3899</v>
      </c>
      <c r="E367" s="2" t="s">
        <v>3120</v>
      </c>
      <c r="F367" t="s">
        <v>1743</v>
      </c>
      <c r="H367" t="s">
        <v>5520</v>
      </c>
      <c r="I367" t="str">
        <f t="shared" si="5"/>
        <v>update tbl_persona set apellido_paterno= 'PHACSI',apellido_materno= 'CRUZ', nombre = 'HERNAN' where dni = '74537175';</v>
      </c>
    </row>
    <row r="368" spans="1:9" x14ac:dyDescent="0.25">
      <c r="A368" t="s">
        <v>721</v>
      </c>
      <c r="B368" t="s">
        <v>1987</v>
      </c>
      <c r="C368" t="s">
        <v>2420</v>
      </c>
      <c r="D368" t="s">
        <v>3900</v>
      </c>
      <c r="E368" s="2" t="s">
        <v>3078</v>
      </c>
      <c r="F368" t="s">
        <v>1743</v>
      </c>
      <c r="H368" t="s">
        <v>5521</v>
      </c>
      <c r="I368" t="str">
        <f t="shared" si="5"/>
        <v>update tbl_persona set apellido_paterno= 'GONZALES',apellido_materno= 'REJAS', nombre = 'JHONATAN JOEL' where dni = '48472345';</v>
      </c>
    </row>
    <row r="369" spans="1:9" x14ac:dyDescent="0.25">
      <c r="A369" t="s">
        <v>723</v>
      </c>
      <c r="B369" t="s">
        <v>2018</v>
      </c>
      <c r="C369" t="s">
        <v>2421</v>
      </c>
      <c r="D369" t="s">
        <v>3901</v>
      </c>
      <c r="E369" s="2" t="s">
        <v>3121</v>
      </c>
      <c r="F369" t="s">
        <v>1743</v>
      </c>
      <c r="H369" t="s">
        <v>5522</v>
      </c>
      <c r="I369" t="str">
        <f t="shared" si="5"/>
        <v>update tbl_persona set apellido_paterno= 'GUZMAN',apellido_materno= 'TEJEDA', nombre = 'SAUL MOISES' where dni = '46863497';</v>
      </c>
    </row>
    <row r="370" spans="1:9" x14ac:dyDescent="0.25">
      <c r="A370" t="s">
        <v>725</v>
      </c>
      <c r="B370" t="s">
        <v>2184</v>
      </c>
      <c r="C370" t="s">
        <v>2422</v>
      </c>
      <c r="D370" t="s">
        <v>3902</v>
      </c>
      <c r="E370" s="2" t="s">
        <v>3122</v>
      </c>
      <c r="F370" t="s">
        <v>1743</v>
      </c>
      <c r="H370" t="s">
        <v>5523</v>
      </c>
      <c r="I370" t="str">
        <f t="shared" si="5"/>
        <v>update tbl_persona set apellido_paterno= 'NUÑEZ',apellido_materno= 'BREÑA', nombre = 'EDGAR' where dni = '70525631';</v>
      </c>
    </row>
    <row r="371" spans="1:9" x14ac:dyDescent="0.25">
      <c r="A371" t="s">
        <v>727</v>
      </c>
      <c r="B371" t="s">
        <v>2206</v>
      </c>
      <c r="C371" t="s">
        <v>2423</v>
      </c>
      <c r="D371" t="s">
        <v>3903</v>
      </c>
      <c r="E371" s="2" t="s">
        <v>3123</v>
      </c>
      <c r="F371" t="s">
        <v>1743</v>
      </c>
      <c r="H371" t="s">
        <v>5524</v>
      </c>
      <c r="I371" t="str">
        <f t="shared" si="5"/>
        <v>update tbl_persona set apellido_paterno= 'JIMENEZ',apellido_materno= 'MORALES', nombre = 'CELSO LUIS' where dni = '73023781';</v>
      </c>
    </row>
    <row r="372" spans="1:9" x14ac:dyDescent="0.25">
      <c r="A372" t="s">
        <v>729</v>
      </c>
      <c r="B372" t="s">
        <v>2424</v>
      </c>
      <c r="C372" t="s">
        <v>1986</v>
      </c>
      <c r="D372" t="s">
        <v>3904</v>
      </c>
      <c r="E372" s="2" t="s">
        <v>3124</v>
      </c>
      <c r="F372" t="s">
        <v>1743</v>
      </c>
      <c r="H372" t="s">
        <v>5525</v>
      </c>
      <c r="I372" t="str">
        <f t="shared" si="5"/>
        <v>update tbl_persona set apellido_paterno= 'USCAMAYTA',apellido_materno= 'RIVERA', nombre = 'JHONATAN MAURO' where dni = '70525602';</v>
      </c>
    </row>
    <row r="373" spans="1:9" x14ac:dyDescent="0.25">
      <c r="A373" t="s">
        <v>731</v>
      </c>
      <c r="B373" t="s">
        <v>2265</v>
      </c>
      <c r="C373" t="s">
        <v>2425</v>
      </c>
      <c r="D373" t="s">
        <v>3905</v>
      </c>
      <c r="E373" s="2" t="s">
        <v>3125</v>
      </c>
      <c r="F373" t="s">
        <v>1744</v>
      </c>
      <c r="H373" t="s">
        <v>5526</v>
      </c>
      <c r="I373" t="str">
        <f t="shared" si="5"/>
        <v>update tbl_persona set apellido_paterno= 'LEON',apellido_materno= 'PATIÑO', nombre = 'MARIA FERNANDA ROSA' where dni = '72190960';</v>
      </c>
    </row>
    <row r="374" spans="1:9" x14ac:dyDescent="0.25">
      <c r="A374" t="s">
        <v>733</v>
      </c>
      <c r="B374" t="s">
        <v>3557</v>
      </c>
      <c r="C374" t="s">
        <v>3558</v>
      </c>
      <c r="D374" t="s">
        <v>3906</v>
      </c>
      <c r="E374" s="2" t="s">
        <v>3126</v>
      </c>
      <c r="F374" t="s">
        <v>1743</v>
      </c>
      <c r="H374" t="s">
        <v>5527</v>
      </c>
      <c r="I374" t="str">
        <f t="shared" si="5"/>
        <v>update tbl_persona set apellido_paterno= 'CAVERO',apellido_materno= 'JUNGBLUTH', nombre = 'LUIS ERNETO GERMAN' where dni = '47805408';</v>
      </c>
    </row>
    <row r="375" spans="1:9" x14ac:dyDescent="0.25">
      <c r="A375" t="s">
        <v>734</v>
      </c>
      <c r="B375" t="s">
        <v>1958</v>
      </c>
      <c r="C375" t="s">
        <v>2426</v>
      </c>
      <c r="D375" t="s">
        <v>3907</v>
      </c>
      <c r="E375" s="2" t="s">
        <v>3127</v>
      </c>
      <c r="F375" t="s">
        <v>1744</v>
      </c>
      <c r="H375" t="s">
        <v>5528</v>
      </c>
      <c r="I375" t="str">
        <f t="shared" si="5"/>
        <v>update tbl_persona set apellido_paterno= 'BOZA',apellido_materno= 'PRATO', nombre = 'MICHELLE' where dni = '75603447';</v>
      </c>
    </row>
    <row r="376" spans="1:9" x14ac:dyDescent="0.25">
      <c r="A376" t="s">
        <v>736</v>
      </c>
      <c r="B376" t="s">
        <v>1975</v>
      </c>
      <c r="C376" t="s">
        <v>2011</v>
      </c>
      <c r="D376" t="s">
        <v>3908</v>
      </c>
      <c r="E376" s="2" t="s">
        <v>3128</v>
      </c>
      <c r="F376" t="s">
        <v>1744</v>
      </c>
      <c r="H376" t="s">
        <v>5529</v>
      </c>
      <c r="I376" t="str">
        <f t="shared" si="5"/>
        <v>update tbl_persona set apellido_paterno= 'DIAZ',apellido_materno= 'GUEVARA', nombre = 'FIORELLA' where dni = '46454427';</v>
      </c>
    </row>
    <row r="377" spans="1:9" x14ac:dyDescent="0.25">
      <c r="A377" t="s">
        <v>738</v>
      </c>
      <c r="B377" t="s">
        <v>2071</v>
      </c>
      <c r="C377" t="s">
        <v>2366</v>
      </c>
      <c r="D377" t="s">
        <v>3909</v>
      </c>
      <c r="E377" s="2" t="s">
        <v>3129</v>
      </c>
      <c r="F377" t="s">
        <v>1744</v>
      </c>
      <c r="H377" t="s">
        <v>5530</v>
      </c>
      <c r="I377" t="str">
        <f t="shared" si="5"/>
        <v>update tbl_persona set apellido_paterno= 'ALVARADO',apellido_materno= 'VERA', nombre = 'LISSET GERALDINE' where dni = '72972650';</v>
      </c>
    </row>
    <row r="378" spans="1:9" x14ac:dyDescent="0.25">
      <c r="A378" t="s">
        <v>740</v>
      </c>
      <c r="B378" t="s">
        <v>2020</v>
      </c>
      <c r="C378" t="s">
        <v>2074</v>
      </c>
      <c r="D378" t="s">
        <v>3910</v>
      </c>
      <c r="E378" s="2" t="s">
        <v>3130</v>
      </c>
      <c r="F378" t="s">
        <v>1744</v>
      </c>
      <c r="H378" t="s">
        <v>5531</v>
      </c>
      <c r="I378" t="str">
        <f t="shared" si="5"/>
        <v>update tbl_persona set apellido_paterno= 'HUAMANI',apellido_materno= 'TORRES', nombre = 'GERALDINE' where dni = '70089249';</v>
      </c>
    </row>
    <row r="379" spans="1:9" x14ac:dyDescent="0.25">
      <c r="A379" t="s">
        <v>742</v>
      </c>
      <c r="B379" t="s">
        <v>2427</v>
      </c>
      <c r="C379" t="s">
        <v>2428</v>
      </c>
      <c r="D379" t="s">
        <v>3673</v>
      </c>
      <c r="E379" s="2" t="s">
        <v>3131</v>
      </c>
      <c r="F379" t="s">
        <v>1743</v>
      </c>
      <c r="H379" t="s">
        <v>5532</v>
      </c>
      <c r="I379" t="str">
        <f t="shared" si="5"/>
        <v>update tbl_persona set apellido_paterno= 'SOSA',apellido_materno= 'LALUPU', nombre = 'JULIO CESAR' where dni = '46873623';</v>
      </c>
    </row>
    <row r="380" spans="1:9" x14ac:dyDescent="0.25">
      <c r="A380" t="s">
        <v>744</v>
      </c>
      <c r="B380" t="s">
        <v>2429</v>
      </c>
      <c r="C380" t="s">
        <v>1993</v>
      </c>
      <c r="D380" t="s">
        <v>3911</v>
      </c>
      <c r="E380" s="2" t="s">
        <v>3132</v>
      </c>
      <c r="F380" t="s">
        <v>1743</v>
      </c>
      <c r="H380" t="s">
        <v>5533</v>
      </c>
      <c r="I380" t="str">
        <f t="shared" si="5"/>
        <v>update tbl_persona set apellido_paterno= 'SIVINA',apellido_materno= 'AGUILAR', nombre = 'FABIAN' where dni = '47095769';</v>
      </c>
    </row>
    <row r="381" spans="1:9" x14ac:dyDescent="0.25">
      <c r="A381" t="s">
        <v>1030</v>
      </c>
      <c r="B381" t="s">
        <v>2595</v>
      </c>
      <c r="C381" t="s">
        <v>2596</v>
      </c>
      <c r="D381" t="s">
        <v>3912</v>
      </c>
      <c r="E381" s="2" t="s">
        <v>3272</v>
      </c>
      <c r="F381" t="s">
        <v>1743</v>
      </c>
      <c r="H381" t="s">
        <v>5534</v>
      </c>
      <c r="I381" t="str">
        <f t="shared" si="5"/>
        <v>update tbl_persona set apellido_paterno= 'CARMONA',apellido_materno= 'MOGOLLÓN', nombre = 'JOHAN ALDHAIR' where dni = '74741450';</v>
      </c>
    </row>
    <row r="382" spans="1:9" x14ac:dyDescent="0.25">
      <c r="A382" t="s">
        <v>746</v>
      </c>
      <c r="B382" t="s">
        <v>2430</v>
      </c>
      <c r="C382" t="s">
        <v>2012</v>
      </c>
      <c r="D382" t="s">
        <v>3913</v>
      </c>
      <c r="E382" s="2" t="s">
        <v>3134</v>
      </c>
      <c r="F382" t="s">
        <v>1743</v>
      </c>
      <c r="H382" t="s">
        <v>5535</v>
      </c>
      <c r="I382" t="str">
        <f t="shared" si="5"/>
        <v>update tbl_persona set apellido_paterno= 'PONCE',apellido_materno= 'GUTIERREZ', nombre = 'BRIAN BROWN' where dni = '41858920';</v>
      </c>
    </row>
    <row r="383" spans="1:9" x14ac:dyDescent="0.25">
      <c r="A383" t="s">
        <v>748</v>
      </c>
      <c r="B383" t="s">
        <v>2019</v>
      </c>
      <c r="C383" t="s">
        <v>2431</v>
      </c>
      <c r="D383" t="s">
        <v>3914</v>
      </c>
      <c r="E383" s="2" t="s">
        <v>3135</v>
      </c>
      <c r="F383" t="s">
        <v>1743</v>
      </c>
      <c r="H383" t="s">
        <v>5536</v>
      </c>
      <c r="I383" t="str">
        <f t="shared" si="5"/>
        <v>update tbl_persona set apellido_paterno= 'SANCHEZ',apellido_materno= 'CRUZADO', nombre = 'JOSE VIDAL' where dni = '70905553';</v>
      </c>
    </row>
    <row r="384" spans="1:9" x14ac:dyDescent="0.25">
      <c r="A384" t="s">
        <v>750</v>
      </c>
      <c r="B384" t="s">
        <v>2432</v>
      </c>
      <c r="C384" t="s">
        <v>2008</v>
      </c>
      <c r="D384" t="s">
        <v>3915</v>
      </c>
      <c r="E384" s="2" t="s">
        <v>3136</v>
      </c>
      <c r="F384" t="s">
        <v>1743</v>
      </c>
      <c r="H384" t="s">
        <v>5537</v>
      </c>
      <c r="I384" t="str">
        <f t="shared" si="5"/>
        <v>update tbl_persona set apellido_paterno= 'CATASI',apellido_materno= 'MIRANDA', nombre = 'WILBER RUBEN' where dni = '72249466';</v>
      </c>
    </row>
    <row r="385" spans="1:9" x14ac:dyDescent="0.25">
      <c r="A385" t="s">
        <v>752</v>
      </c>
      <c r="B385" t="s">
        <v>2433</v>
      </c>
      <c r="C385" t="s">
        <v>2434</v>
      </c>
      <c r="D385" t="s">
        <v>3916</v>
      </c>
      <c r="E385" s="2" t="s">
        <v>3137</v>
      </c>
      <c r="F385" t="s">
        <v>1744</v>
      </c>
      <c r="H385" t="s">
        <v>5538</v>
      </c>
      <c r="I385" t="str">
        <f t="shared" si="5"/>
        <v>update tbl_persona set apellido_paterno= 'GALVEZ',apellido_materno= 'CAJAS', nombre = 'JOSELYN ROBINSON' where dni = '75680792';</v>
      </c>
    </row>
    <row r="386" spans="1:9" x14ac:dyDescent="0.25">
      <c r="A386" t="s">
        <v>754</v>
      </c>
      <c r="B386" t="s">
        <v>2435</v>
      </c>
      <c r="C386" t="s">
        <v>2436</v>
      </c>
      <c r="D386" t="s">
        <v>3917</v>
      </c>
      <c r="E386" s="2" t="s">
        <v>3138</v>
      </c>
      <c r="F386" t="s">
        <v>1743</v>
      </c>
      <c r="H386" t="s">
        <v>5539</v>
      </c>
      <c r="I386" t="str">
        <f t="shared" si="5"/>
        <v>update tbl_persona set apellido_paterno= 'CHAPOÑAN',apellido_materno= 'FARROÑAN', nombre = 'MARIO JOEL' where dni = '47722161';</v>
      </c>
    </row>
    <row r="387" spans="1:9" x14ac:dyDescent="0.25">
      <c r="A387" t="s">
        <v>756</v>
      </c>
      <c r="B387" t="s">
        <v>2083</v>
      </c>
      <c r="C387" t="s">
        <v>2294</v>
      </c>
      <c r="D387" t="s">
        <v>3918</v>
      </c>
      <c r="E387" s="2" t="s">
        <v>3139</v>
      </c>
      <c r="F387" t="s">
        <v>1743</v>
      </c>
      <c r="H387" t="s">
        <v>5540</v>
      </c>
      <c r="I387" t="str">
        <f t="shared" ref="I387:I450" si="6">_xlfn.CONCAT("update tbl_persona set apellido_paterno= '",B387,"',apellido_materno= '",C387,"', nombre = '",D387,"' where dni = '",A387,"';")</f>
        <v>update tbl_persona set apellido_paterno= 'TEJADA',apellido_materno= 'CACERES', nombre = 'EDGARD LEONCIO' where dni = '80161226';</v>
      </c>
    </row>
    <row r="388" spans="1:9" x14ac:dyDescent="0.25">
      <c r="A388" t="s">
        <v>758</v>
      </c>
      <c r="B388" t="s">
        <v>2437</v>
      </c>
      <c r="C388" t="s">
        <v>2438</v>
      </c>
      <c r="D388" t="s">
        <v>3919</v>
      </c>
      <c r="E388" s="2" t="s">
        <v>3140</v>
      </c>
      <c r="F388" t="s">
        <v>1743</v>
      </c>
      <c r="G388" t="s">
        <v>1579</v>
      </c>
      <c r="H388" t="s">
        <v>5541</v>
      </c>
      <c r="I388" t="str">
        <f t="shared" si="6"/>
        <v>update tbl_persona set apellido_paterno= 'CABANA',apellido_materno= 'PAUCARA', nombre = 'LENYN' where dni = '74214593';</v>
      </c>
    </row>
    <row r="389" spans="1:9" x14ac:dyDescent="0.25">
      <c r="A389" t="s">
        <v>760</v>
      </c>
      <c r="B389" t="s">
        <v>2439</v>
      </c>
      <c r="C389" t="s">
        <v>2396</v>
      </c>
      <c r="D389" t="s">
        <v>3920</v>
      </c>
      <c r="E389" s="2" t="s">
        <v>3066</v>
      </c>
      <c r="F389" t="s">
        <v>1743</v>
      </c>
      <c r="H389" t="s">
        <v>5542</v>
      </c>
      <c r="I389" t="str">
        <f t="shared" si="6"/>
        <v>update tbl_persona set apellido_paterno= 'LAYME',apellido_materno= 'VALDIVIA', nombre = 'PABLO CESAR' where dni = '44997375';</v>
      </c>
    </row>
    <row r="390" spans="1:9" x14ac:dyDescent="0.25">
      <c r="A390" t="s">
        <v>762</v>
      </c>
      <c r="B390" t="s">
        <v>2361</v>
      </c>
      <c r="C390" t="s">
        <v>1964</v>
      </c>
      <c r="D390" t="s">
        <v>3921</v>
      </c>
      <c r="E390" s="2" t="s">
        <v>3141</v>
      </c>
      <c r="F390" t="s">
        <v>1743</v>
      </c>
      <c r="H390" t="s">
        <v>5543</v>
      </c>
      <c r="I390" t="str">
        <f t="shared" si="6"/>
        <v>update tbl_persona set apellido_paterno= 'SANTOS',apellido_materno= 'LAURA', nombre = 'FREDDY WALDIR' where dni = '74619575';</v>
      </c>
    </row>
    <row r="391" spans="1:9" x14ac:dyDescent="0.25">
      <c r="A391" t="s">
        <v>764</v>
      </c>
      <c r="B391" t="s">
        <v>2440</v>
      </c>
      <c r="C391" t="s">
        <v>2441</v>
      </c>
      <c r="D391" t="s">
        <v>3922</v>
      </c>
      <c r="E391" s="2" t="s">
        <v>3142</v>
      </c>
      <c r="F391" t="s">
        <v>1743</v>
      </c>
      <c r="H391" t="s">
        <v>5544</v>
      </c>
      <c r="I391" t="str">
        <f t="shared" si="6"/>
        <v>update tbl_persona set apellido_paterno= 'ATAMARI',apellido_materno= 'CHAHUARA', nombre = 'LUIS CARLOS' where dni = '43891635';</v>
      </c>
    </row>
    <row r="392" spans="1:9" x14ac:dyDescent="0.25">
      <c r="A392" t="s">
        <v>766</v>
      </c>
      <c r="B392" t="s">
        <v>2019</v>
      </c>
      <c r="C392" t="s">
        <v>2442</v>
      </c>
      <c r="D392" t="s">
        <v>3923</v>
      </c>
      <c r="E392" s="2" t="s">
        <v>3143</v>
      </c>
      <c r="F392" t="s">
        <v>1743</v>
      </c>
      <c r="H392" t="s">
        <v>5545</v>
      </c>
      <c r="I392" t="str">
        <f t="shared" si="6"/>
        <v>update tbl_persona set apellido_paterno= 'SANCHEZ',apellido_materno= 'ZUÑIGA', nombre = 'JESUS ERICK' where dni = '46644360';</v>
      </c>
    </row>
    <row r="393" spans="1:9" x14ac:dyDescent="0.25">
      <c r="A393" t="s">
        <v>768</v>
      </c>
      <c r="B393" t="s">
        <v>2443</v>
      </c>
      <c r="C393" t="s">
        <v>2444</v>
      </c>
      <c r="D393" t="s">
        <v>3924</v>
      </c>
      <c r="E393" s="2" t="s">
        <v>3144</v>
      </c>
      <c r="F393" t="s">
        <v>1743</v>
      </c>
      <c r="H393" t="s">
        <v>5546</v>
      </c>
      <c r="I393" t="str">
        <f t="shared" si="6"/>
        <v>update tbl_persona set apellido_paterno= 'HUAYTA',apellido_materno= 'ARNERO', nombre = 'CRISTHIAN CRISTOFER' where dni = '74709350';</v>
      </c>
    </row>
    <row r="394" spans="1:9" x14ac:dyDescent="0.25">
      <c r="A394" t="s">
        <v>770</v>
      </c>
      <c r="B394" t="s">
        <v>2445</v>
      </c>
      <c r="C394" t="s">
        <v>2203</v>
      </c>
      <c r="D394" t="s">
        <v>3925</v>
      </c>
      <c r="E394" s="2" t="s">
        <v>3145</v>
      </c>
      <c r="F394" t="s">
        <v>1743</v>
      </c>
      <c r="H394" t="s">
        <v>5547</v>
      </c>
      <c r="I394" t="str">
        <f t="shared" si="6"/>
        <v>update tbl_persona set apellido_paterno= 'BARRETO',apellido_materno= 'HUILLCA', nombre = 'STIVENSON JONATHAN' where dni = '46261892';</v>
      </c>
    </row>
    <row r="395" spans="1:9" x14ac:dyDescent="0.25">
      <c r="A395" t="s">
        <v>772</v>
      </c>
      <c r="B395" t="s">
        <v>2335</v>
      </c>
      <c r="C395" t="s">
        <v>2446</v>
      </c>
      <c r="D395" t="s">
        <v>3926</v>
      </c>
      <c r="E395" s="2" t="s">
        <v>3146</v>
      </c>
      <c r="F395" t="s">
        <v>1743</v>
      </c>
      <c r="H395" t="s">
        <v>5548</v>
      </c>
      <c r="I395" t="str">
        <f t="shared" si="6"/>
        <v>update tbl_persona set apellido_paterno= 'BARRIENTOS',apellido_materno= 'RAVINES', nombre = 'ALEJANDRO EUDOCIO' where dni = '71406710';</v>
      </c>
    </row>
    <row r="396" spans="1:9" x14ac:dyDescent="0.25">
      <c r="A396" t="s">
        <v>774</v>
      </c>
      <c r="B396" t="s">
        <v>2102</v>
      </c>
      <c r="C396" t="s">
        <v>2317</v>
      </c>
      <c r="D396" t="s">
        <v>3927</v>
      </c>
      <c r="E396" s="2" t="s">
        <v>3147</v>
      </c>
      <c r="F396" t="s">
        <v>1743</v>
      </c>
      <c r="H396" t="s">
        <v>5549</v>
      </c>
      <c r="I396" t="str">
        <f t="shared" si="6"/>
        <v>update tbl_persona set apellido_paterno= 'AVILA',apellido_materno= 'CANO', nombre = 'SEBASTIAN PIERO' where dni = '73674376';</v>
      </c>
    </row>
    <row r="397" spans="1:9" x14ac:dyDescent="0.25">
      <c r="A397" t="s">
        <v>776</v>
      </c>
      <c r="B397" t="s">
        <v>2447</v>
      </c>
      <c r="C397" t="s">
        <v>2448</v>
      </c>
      <c r="D397" t="s">
        <v>3928</v>
      </c>
      <c r="E397" s="2" t="s">
        <v>3148</v>
      </c>
      <c r="F397" t="s">
        <v>1743</v>
      </c>
      <c r="H397" t="s">
        <v>5550</v>
      </c>
      <c r="I397" t="str">
        <f t="shared" si="6"/>
        <v>update tbl_persona set apellido_paterno= 'ENRIQUEZ',apellido_materno= 'CUEVA', nombre = 'JEREMY HAROLD' where dni = '72028322';</v>
      </c>
    </row>
    <row r="398" spans="1:9" x14ac:dyDescent="0.25">
      <c r="A398" t="s">
        <v>778</v>
      </c>
      <c r="B398" t="s">
        <v>2449</v>
      </c>
      <c r="C398" t="s">
        <v>2450</v>
      </c>
      <c r="D398" t="s">
        <v>3929</v>
      </c>
      <c r="E398" s="2" t="s">
        <v>3149</v>
      </c>
      <c r="F398" t="s">
        <v>1743</v>
      </c>
      <c r="H398" t="s">
        <v>5551</v>
      </c>
      <c r="I398" t="str">
        <f t="shared" si="6"/>
        <v>update tbl_persona set apellido_paterno= 'ORTEGA',apellido_materno= 'MOLLO', nombre = 'OMAR' where dni = '41084310';</v>
      </c>
    </row>
    <row r="399" spans="1:9" x14ac:dyDescent="0.25">
      <c r="A399" t="s">
        <v>780</v>
      </c>
      <c r="B399" t="s">
        <v>2451</v>
      </c>
      <c r="C399" t="s">
        <v>2452</v>
      </c>
      <c r="D399" t="s">
        <v>3881</v>
      </c>
      <c r="E399" s="2" t="s">
        <v>3150</v>
      </c>
      <c r="F399" t="s">
        <v>1743</v>
      </c>
      <c r="G399" t="s">
        <v>1580</v>
      </c>
      <c r="H399" t="s">
        <v>5552</v>
      </c>
      <c r="I399" t="str">
        <f t="shared" si="6"/>
        <v>update tbl_persona set apellido_paterno= 'ACUÑA',apellido_materno= 'ESTELA', nombre = 'MIGUEL ANGEL' where dni = '76132838';</v>
      </c>
    </row>
    <row r="400" spans="1:9" x14ac:dyDescent="0.25">
      <c r="A400" t="s">
        <v>782</v>
      </c>
      <c r="B400" t="s">
        <v>2453</v>
      </c>
      <c r="C400" t="s">
        <v>1975</v>
      </c>
      <c r="D400" t="s">
        <v>3930</v>
      </c>
      <c r="E400" s="2" t="s">
        <v>3151</v>
      </c>
      <c r="F400" t="s">
        <v>1743</v>
      </c>
      <c r="H400" t="s">
        <v>5553</v>
      </c>
      <c r="I400" t="str">
        <f t="shared" si="6"/>
        <v>update tbl_persona set apellido_paterno= 'DONAYRE',apellido_materno= 'DIAZ', nombre = 'MAKINO MIJAIL' where dni = '10619388';</v>
      </c>
    </row>
    <row r="401" spans="1:9" x14ac:dyDescent="0.25">
      <c r="A401" t="s">
        <v>784</v>
      </c>
      <c r="B401" t="s">
        <v>2454</v>
      </c>
      <c r="C401" t="s">
        <v>2455</v>
      </c>
      <c r="D401" t="s">
        <v>3931</v>
      </c>
      <c r="E401" s="2" t="s">
        <v>3152</v>
      </c>
      <c r="F401" t="s">
        <v>1743</v>
      </c>
      <c r="H401" t="s">
        <v>5554</v>
      </c>
      <c r="I401" t="str">
        <f t="shared" si="6"/>
        <v>update tbl_persona set apellido_paterno= 'MORA',apellido_materno= 'PORTALATINO', nombre = 'BENJY ROCKY' where dni = '48360905';</v>
      </c>
    </row>
    <row r="402" spans="1:9" x14ac:dyDescent="0.25">
      <c r="A402" t="s">
        <v>786</v>
      </c>
      <c r="B402" t="s">
        <v>2456</v>
      </c>
      <c r="C402" t="s">
        <v>2062</v>
      </c>
      <c r="D402" t="s">
        <v>3932</v>
      </c>
      <c r="E402" s="2" t="s">
        <v>3153</v>
      </c>
      <c r="F402" t="s">
        <v>1744</v>
      </c>
      <c r="H402" t="s">
        <v>5555</v>
      </c>
      <c r="I402" t="str">
        <f t="shared" si="6"/>
        <v>update tbl_persona set apellido_paterno= 'NINA',apellido_materno= 'VARGAS', nombre = 'GERALDYNE JAZMYN' where dni = '47850866';</v>
      </c>
    </row>
    <row r="403" spans="1:9" x14ac:dyDescent="0.25">
      <c r="A403" t="s">
        <v>788</v>
      </c>
      <c r="B403" t="s">
        <v>1977</v>
      </c>
      <c r="C403" t="s">
        <v>3559</v>
      </c>
      <c r="D403" t="s">
        <v>3933</v>
      </c>
      <c r="E403" s="2" t="s">
        <v>3154</v>
      </c>
      <c r="F403" t="s">
        <v>1743</v>
      </c>
      <c r="H403" t="s">
        <v>5556</v>
      </c>
      <c r="I403" t="str">
        <f t="shared" si="6"/>
        <v>update tbl_persona set apellido_paterno= 'GARCÍA',apellido_materno= 'REGALADO', nombre = 'CESAR FERNANDO JUNNIOR' where dni = '71217170';</v>
      </c>
    </row>
    <row r="404" spans="1:9" x14ac:dyDescent="0.25">
      <c r="A404" t="s">
        <v>789</v>
      </c>
      <c r="B404" t="s">
        <v>2318</v>
      </c>
      <c r="C404" t="s">
        <v>2375</v>
      </c>
      <c r="D404" t="s">
        <v>3934</v>
      </c>
      <c r="E404" s="2" t="s">
        <v>3155</v>
      </c>
      <c r="F404" t="s">
        <v>1743</v>
      </c>
      <c r="H404" t="s">
        <v>5557</v>
      </c>
      <c r="I404" t="str">
        <f t="shared" si="6"/>
        <v>update tbl_persona set apellido_paterno= 'VELARDE',apellido_materno= 'PASAPERA', nombre = 'ANTONY BRANCO' where dni = '73591103';</v>
      </c>
    </row>
    <row r="405" spans="1:9" x14ac:dyDescent="0.25">
      <c r="A405" t="s">
        <v>791</v>
      </c>
      <c r="B405" t="s">
        <v>2457</v>
      </c>
      <c r="C405" t="s">
        <v>2458</v>
      </c>
      <c r="D405" t="s">
        <v>3935</v>
      </c>
      <c r="E405" s="2" t="s">
        <v>3118</v>
      </c>
      <c r="F405" t="s">
        <v>1743</v>
      </c>
      <c r="H405" t="s">
        <v>5558</v>
      </c>
      <c r="I405" t="str">
        <f t="shared" si="6"/>
        <v>update tbl_persona set apellido_paterno= 'BAUTISTA',apellido_materno= 'QUINTANILLA', nombre = 'URIEL AUGUSTO' where dni = '72930150';</v>
      </c>
    </row>
    <row r="406" spans="1:9" x14ac:dyDescent="0.25">
      <c r="A406" t="s">
        <v>793</v>
      </c>
      <c r="B406" t="s">
        <v>2459</v>
      </c>
      <c r="C406" t="s">
        <v>2296</v>
      </c>
      <c r="D406" t="s">
        <v>3936</v>
      </c>
      <c r="E406" s="2" t="s">
        <v>3156</v>
      </c>
      <c r="F406" t="s">
        <v>1743</v>
      </c>
      <c r="H406" t="s">
        <v>5559</v>
      </c>
      <c r="I406" t="str">
        <f t="shared" si="6"/>
        <v>update tbl_persona set apellido_paterno= 'CARDOZO',apellido_materno= 'JARA', nombre = 'LUIS GUSTAVO' where dni = '74204775';</v>
      </c>
    </row>
    <row r="407" spans="1:9" x14ac:dyDescent="0.25">
      <c r="A407" t="s">
        <v>795</v>
      </c>
      <c r="B407" t="s">
        <v>2460</v>
      </c>
      <c r="C407" t="s">
        <v>2014</v>
      </c>
      <c r="D407" t="s">
        <v>3542</v>
      </c>
      <c r="E407" s="2" t="s">
        <v>3157</v>
      </c>
      <c r="F407" t="s">
        <v>1743</v>
      </c>
      <c r="H407" t="s">
        <v>5560</v>
      </c>
      <c r="I407" t="str">
        <f t="shared" si="6"/>
        <v>update tbl_persona set apellido_paterno= 'HUAMANCAYO',apellido_materno= 'GARCIA', nombre = 'JUNIOR' where dni = '48353390';</v>
      </c>
    </row>
    <row r="408" spans="1:9" x14ac:dyDescent="0.25">
      <c r="A408" t="s">
        <v>797</v>
      </c>
      <c r="B408" t="s">
        <v>1987</v>
      </c>
      <c r="C408" t="s">
        <v>2461</v>
      </c>
      <c r="D408" t="s">
        <v>3937</v>
      </c>
      <c r="E408" s="2" t="s">
        <v>3158</v>
      </c>
      <c r="F408" t="s">
        <v>1743</v>
      </c>
      <c r="H408" t="s">
        <v>5561</v>
      </c>
      <c r="I408" t="str">
        <f t="shared" si="6"/>
        <v>update tbl_persona set apellido_paterno= 'GONZALES',apellido_materno= 'VICENTE', nombre = 'JACK FELIPE' where dni = '75822342';</v>
      </c>
    </row>
    <row r="409" spans="1:9" x14ac:dyDescent="0.25">
      <c r="A409" t="s">
        <v>799</v>
      </c>
      <c r="B409" t="s">
        <v>2383</v>
      </c>
      <c r="C409" t="s">
        <v>2462</v>
      </c>
      <c r="D409" t="s">
        <v>3938</v>
      </c>
      <c r="E409" s="2" t="s">
        <v>3159</v>
      </c>
      <c r="F409" t="s">
        <v>1744</v>
      </c>
      <c r="H409" t="s">
        <v>5562</v>
      </c>
      <c r="I409" t="str">
        <f t="shared" si="6"/>
        <v>update tbl_persona set apellido_paterno= 'LAZARTE',apellido_materno= 'ACOSTA', nombre = 'BELEN ALEXANDRA' where dni = '70374534';</v>
      </c>
    </row>
    <row r="410" spans="1:9" x14ac:dyDescent="0.25">
      <c r="A410" t="s">
        <v>801</v>
      </c>
      <c r="B410" t="s">
        <v>2041</v>
      </c>
      <c r="C410" t="s">
        <v>2463</v>
      </c>
      <c r="D410" t="s">
        <v>3939</v>
      </c>
      <c r="E410" s="2" t="s">
        <v>3160</v>
      </c>
      <c r="F410" t="s">
        <v>1743</v>
      </c>
      <c r="H410" t="s">
        <v>5563</v>
      </c>
      <c r="I410" t="str">
        <f t="shared" si="6"/>
        <v>update tbl_persona set apellido_paterno= 'VELASQUEZ',apellido_materno= 'PACHERRE', nombre = 'KEVIN GABRIEL' where dni = '72927180';</v>
      </c>
    </row>
    <row r="411" spans="1:9" x14ac:dyDescent="0.25">
      <c r="A411" t="s">
        <v>803</v>
      </c>
      <c r="B411" t="s">
        <v>2464</v>
      </c>
      <c r="C411" t="s">
        <v>2465</v>
      </c>
      <c r="D411" t="s">
        <v>3940</v>
      </c>
      <c r="E411" s="2" t="s">
        <v>3161</v>
      </c>
      <c r="F411" t="s">
        <v>1743</v>
      </c>
      <c r="H411" t="s">
        <v>5564</v>
      </c>
      <c r="I411" t="str">
        <f t="shared" si="6"/>
        <v>update tbl_persona set apellido_paterno= 'TRUJILLO',apellido_materno= 'JULCA', nombre = 'PABLO' where dni = '72324165';</v>
      </c>
    </row>
    <row r="412" spans="1:9" x14ac:dyDescent="0.25">
      <c r="A412" t="s">
        <v>805</v>
      </c>
      <c r="B412" t="s">
        <v>2466</v>
      </c>
      <c r="C412" t="s">
        <v>2467</v>
      </c>
      <c r="D412" t="s">
        <v>3941</v>
      </c>
      <c r="E412" s="2" t="s">
        <v>2869</v>
      </c>
      <c r="F412" t="s">
        <v>1743</v>
      </c>
      <c r="G412" t="s">
        <v>1581</v>
      </c>
      <c r="H412" t="s">
        <v>5565</v>
      </c>
      <c r="I412" t="str">
        <f t="shared" si="6"/>
        <v>update tbl_persona set apellido_paterno= 'MUCHA',apellido_materno= 'ESPIRITU', nombre = 'BLADIMIR' where dni = '77044901';</v>
      </c>
    </row>
    <row r="413" spans="1:9" x14ac:dyDescent="0.25">
      <c r="A413" t="s">
        <v>807</v>
      </c>
      <c r="B413" t="s">
        <v>2157</v>
      </c>
      <c r="C413" t="s">
        <v>2468</v>
      </c>
      <c r="D413" t="s">
        <v>3942</v>
      </c>
      <c r="E413" s="2" t="s">
        <v>3162</v>
      </c>
      <c r="F413" t="s">
        <v>1743</v>
      </c>
      <c r="H413" t="s">
        <v>5566</v>
      </c>
      <c r="I413" t="str">
        <f t="shared" si="6"/>
        <v>update tbl_persona set apellido_paterno= 'HUAMAN',apellido_materno= 'ALIAGA', nombre = 'JEAN PIERRE ALEJANDRO' where dni = '72458686';</v>
      </c>
    </row>
    <row r="414" spans="1:9" x14ac:dyDescent="0.25">
      <c r="A414" t="s">
        <v>809</v>
      </c>
      <c r="B414" t="s">
        <v>2469</v>
      </c>
      <c r="C414" t="s">
        <v>2060</v>
      </c>
      <c r="D414" t="s">
        <v>3943</v>
      </c>
      <c r="E414" s="2" t="s">
        <v>3163</v>
      </c>
      <c r="F414" t="s">
        <v>1743</v>
      </c>
      <c r="H414" t="s">
        <v>5567</v>
      </c>
      <c r="I414" t="str">
        <f t="shared" si="6"/>
        <v>update tbl_persona set apellido_paterno= 'PANDURO',apellido_materno= 'RAMOS', nombre = 'CHRISTIAN JESUS' where dni = '45097622';</v>
      </c>
    </row>
    <row r="415" spans="1:9" x14ac:dyDescent="0.25">
      <c r="A415" t="s">
        <v>811</v>
      </c>
      <c r="B415" t="s">
        <v>2470</v>
      </c>
      <c r="C415" t="s">
        <v>2384</v>
      </c>
      <c r="D415" t="s">
        <v>3944</v>
      </c>
      <c r="E415" s="2" t="s">
        <v>3164</v>
      </c>
      <c r="F415" t="s">
        <v>1743</v>
      </c>
      <c r="H415" t="s">
        <v>5568</v>
      </c>
      <c r="I415" t="str">
        <f t="shared" si="6"/>
        <v>update tbl_persona set apellido_paterno= 'CCALLO',apellido_materno= 'CHOQUEHUANCA', nombre = 'JESÚS ERASMO' where dni = '42581486';</v>
      </c>
    </row>
    <row r="416" spans="1:9" x14ac:dyDescent="0.25">
      <c r="A416" t="s">
        <v>813</v>
      </c>
      <c r="B416" t="s">
        <v>2471</v>
      </c>
      <c r="C416" t="s">
        <v>2472</v>
      </c>
      <c r="D416" t="s">
        <v>3945</v>
      </c>
      <c r="E416" s="2" t="s">
        <v>2923</v>
      </c>
      <c r="F416" t="s">
        <v>1743</v>
      </c>
      <c r="H416" t="s">
        <v>5569</v>
      </c>
      <c r="I416" t="str">
        <f t="shared" si="6"/>
        <v>update tbl_persona set apellido_paterno= 'VALENZUELA',apellido_materno= 'BARROSO', nombre = 'EDUARDO' where dni = '74150448';</v>
      </c>
    </row>
    <row r="417" spans="1:9" x14ac:dyDescent="0.25">
      <c r="A417" t="s">
        <v>815</v>
      </c>
      <c r="B417" t="s">
        <v>2004</v>
      </c>
      <c r="C417" t="s">
        <v>2473</v>
      </c>
      <c r="D417" t="s">
        <v>3946</v>
      </c>
      <c r="E417" s="2" t="s">
        <v>3165</v>
      </c>
      <c r="F417" t="s">
        <v>1743</v>
      </c>
      <c r="H417" t="s">
        <v>5570</v>
      </c>
      <c r="I417" t="str">
        <f t="shared" si="6"/>
        <v>update tbl_persona set apellido_paterno= 'ROJAS',apellido_materno= 'TUMBA', nombre = 'MARIO MANUEL' where dni = '42174914';</v>
      </c>
    </row>
    <row r="418" spans="1:9" x14ac:dyDescent="0.25">
      <c r="A418" t="s">
        <v>817</v>
      </c>
      <c r="B418" t="s">
        <v>2474</v>
      </c>
      <c r="C418" t="s">
        <v>2475</v>
      </c>
      <c r="D418" t="s">
        <v>3947</v>
      </c>
      <c r="E418" s="2" t="s">
        <v>3166</v>
      </c>
      <c r="F418" t="s">
        <v>1743</v>
      </c>
      <c r="H418" t="s">
        <v>5571</v>
      </c>
      <c r="I418" t="str">
        <f t="shared" si="6"/>
        <v>update tbl_persona set apellido_paterno= 'SANCHO',apellido_materno= 'HUARSAYA', nombre = 'YERSON FABRISIO' where dni = '70606772';</v>
      </c>
    </row>
    <row r="419" spans="1:9" x14ac:dyDescent="0.25">
      <c r="A419" t="s">
        <v>819</v>
      </c>
      <c r="B419" t="s">
        <v>2476</v>
      </c>
      <c r="C419" t="s">
        <v>2260</v>
      </c>
      <c r="D419" t="s">
        <v>3948</v>
      </c>
      <c r="E419" s="2" t="s">
        <v>3167</v>
      </c>
      <c r="F419" t="s">
        <v>1743</v>
      </c>
      <c r="H419" t="s">
        <v>5572</v>
      </c>
      <c r="I419" t="str">
        <f t="shared" si="6"/>
        <v>update tbl_persona set apellido_paterno= 'VICTORIO',apellido_materno= 'SERNA', nombre = 'JHONSON' where dni = '42961886';</v>
      </c>
    </row>
    <row r="420" spans="1:9" x14ac:dyDescent="0.25">
      <c r="A420" t="s">
        <v>821</v>
      </c>
      <c r="B420" t="s">
        <v>2349</v>
      </c>
      <c r="C420" t="s">
        <v>2477</v>
      </c>
      <c r="D420" t="s">
        <v>3949</v>
      </c>
      <c r="E420" s="2" t="s">
        <v>3168</v>
      </c>
      <c r="F420" t="s">
        <v>1743</v>
      </c>
      <c r="H420" t="s">
        <v>5573</v>
      </c>
      <c r="I420" t="str">
        <f t="shared" si="6"/>
        <v>update tbl_persona set apellido_paterno= 'VIDAL',apellido_materno= 'CARAZAS', nombre = 'XUAN ARMANDO' where dni = '46333334';</v>
      </c>
    </row>
    <row r="421" spans="1:9" x14ac:dyDescent="0.25">
      <c r="A421" t="s">
        <v>823</v>
      </c>
      <c r="B421" t="s">
        <v>2353</v>
      </c>
      <c r="C421" t="s">
        <v>1965</v>
      </c>
      <c r="D421" t="s">
        <v>3950</v>
      </c>
      <c r="E421" s="2" t="s">
        <v>3169</v>
      </c>
      <c r="F421" t="s">
        <v>1743</v>
      </c>
      <c r="H421" t="s">
        <v>5574</v>
      </c>
      <c r="I421" t="str">
        <f t="shared" si="6"/>
        <v>update tbl_persona set apellido_paterno= 'BALDEON',apellido_materno= 'SALAZAR', nombre = 'JESUS WALTER HUMBERTO' where dni = '74155632';</v>
      </c>
    </row>
    <row r="422" spans="1:9" x14ac:dyDescent="0.25">
      <c r="A422" t="s">
        <v>825</v>
      </c>
      <c r="B422" t="s">
        <v>2478</v>
      </c>
      <c r="C422" t="s">
        <v>2479</v>
      </c>
      <c r="D422" t="s">
        <v>3951</v>
      </c>
      <c r="E422" s="2" t="s">
        <v>3170</v>
      </c>
      <c r="F422" t="s">
        <v>1743</v>
      </c>
      <c r="H422" t="s">
        <v>5575</v>
      </c>
      <c r="I422" t="str">
        <f t="shared" si="6"/>
        <v>update tbl_persona set apellido_paterno= 'LLONTOP',apellido_materno= 'MONTES', nombre = 'LUIS ALFREDO' where dni = '43756480';</v>
      </c>
    </row>
    <row r="423" spans="1:9" x14ac:dyDescent="0.25">
      <c r="A423" t="s">
        <v>827</v>
      </c>
      <c r="B423" t="s">
        <v>2480</v>
      </c>
      <c r="C423" t="s">
        <v>2165</v>
      </c>
      <c r="D423" t="s">
        <v>3952</v>
      </c>
      <c r="E423" s="2" t="s">
        <v>3171</v>
      </c>
      <c r="F423" t="s">
        <v>1743</v>
      </c>
      <c r="H423" t="s">
        <v>5576</v>
      </c>
      <c r="I423" t="str">
        <f t="shared" si="6"/>
        <v>update tbl_persona set apellido_paterno= 'HENRIQUEZ',apellido_materno= 'CRISPIN', nombre = 'BRAD' where dni = '71551235';</v>
      </c>
    </row>
    <row r="424" spans="1:9" x14ac:dyDescent="0.25">
      <c r="A424" t="s">
        <v>829</v>
      </c>
      <c r="B424" t="s">
        <v>2481</v>
      </c>
      <c r="C424" t="s">
        <v>2482</v>
      </c>
      <c r="D424" t="s">
        <v>3953</v>
      </c>
      <c r="E424" s="2" t="s">
        <v>3172</v>
      </c>
      <c r="F424" t="s">
        <v>1743</v>
      </c>
      <c r="H424" t="s">
        <v>5577</v>
      </c>
      <c r="I424" t="str">
        <f t="shared" si="6"/>
        <v>update tbl_persona set apellido_paterno= 'ROBLEDILLO',apellido_materno= 'DEL CASTILLO', nombre = 'MARCELO' where dni = '74133626';</v>
      </c>
    </row>
    <row r="425" spans="1:9" x14ac:dyDescent="0.25">
      <c r="A425" t="s">
        <v>831</v>
      </c>
      <c r="B425" t="s">
        <v>2483</v>
      </c>
      <c r="C425" t="s">
        <v>2405</v>
      </c>
      <c r="D425" t="s">
        <v>3954</v>
      </c>
      <c r="E425" s="2" t="s">
        <v>3173</v>
      </c>
      <c r="F425" t="s">
        <v>1743</v>
      </c>
      <c r="H425" t="s">
        <v>5578</v>
      </c>
      <c r="I425" t="str">
        <f t="shared" si="6"/>
        <v>update tbl_persona set apellido_paterno= 'GUANILO',apellido_materno= 'GALLARDO', nombre = 'RAFAEL AUGUSTO' where dni = '72021462';</v>
      </c>
    </row>
    <row r="426" spans="1:9" x14ac:dyDescent="0.25">
      <c r="A426" t="s">
        <v>833</v>
      </c>
      <c r="B426" t="s">
        <v>2484</v>
      </c>
      <c r="C426" t="s">
        <v>2073</v>
      </c>
      <c r="D426" t="s">
        <v>3955</v>
      </c>
      <c r="E426" s="2" t="s">
        <v>3174</v>
      </c>
      <c r="F426" t="s">
        <v>1743</v>
      </c>
      <c r="H426" t="s">
        <v>5579</v>
      </c>
      <c r="I426" t="str">
        <f t="shared" si="6"/>
        <v>update tbl_persona set apellido_paterno= 'SALDAÑA',apellido_materno= 'COSTA', nombre = 'KEVIN JOSEPH' where dni = '71555418';</v>
      </c>
    </row>
    <row r="427" spans="1:9" x14ac:dyDescent="0.25">
      <c r="A427" t="s">
        <v>837</v>
      </c>
      <c r="B427" t="s">
        <v>2486</v>
      </c>
      <c r="C427" t="s">
        <v>2486</v>
      </c>
      <c r="D427" t="s">
        <v>3956</v>
      </c>
      <c r="E427" s="2" t="s">
        <v>3176</v>
      </c>
      <c r="F427" t="s">
        <v>1743</v>
      </c>
      <c r="H427" t="s">
        <v>5580</v>
      </c>
      <c r="I427" t="str">
        <f t="shared" si="6"/>
        <v>update tbl_persona set apellido_paterno= 'CASTILLO',apellido_materno= 'CASTILLO', nombre = 'MANUEL ZEUXIS VICTOR JOHN' where dni = '71466703';</v>
      </c>
    </row>
    <row r="428" spans="1:9" x14ac:dyDescent="0.25">
      <c r="A428" t="s">
        <v>839</v>
      </c>
      <c r="B428" t="s">
        <v>2487</v>
      </c>
      <c r="C428" t="s">
        <v>2488</v>
      </c>
      <c r="D428" t="s">
        <v>3957</v>
      </c>
      <c r="E428" s="2" t="s">
        <v>3177</v>
      </c>
      <c r="F428" t="s">
        <v>1743</v>
      </c>
      <c r="H428" t="s">
        <v>5581</v>
      </c>
      <c r="I428" t="str">
        <f t="shared" si="6"/>
        <v>update tbl_persona set apellido_paterno= 'ESTRELLA',apellido_materno= 'SALOMÉ', nombre = 'JEAN MANUEL' where dni = '73343818';</v>
      </c>
    </row>
    <row r="429" spans="1:9" x14ac:dyDescent="0.25">
      <c r="A429" t="s">
        <v>841</v>
      </c>
      <c r="B429" t="s">
        <v>2489</v>
      </c>
      <c r="C429" t="s">
        <v>2041</v>
      </c>
      <c r="D429" t="s">
        <v>3958</v>
      </c>
      <c r="E429" s="2" t="s">
        <v>3178</v>
      </c>
      <c r="F429" t="s">
        <v>1744</v>
      </c>
      <c r="H429" t="s">
        <v>5582</v>
      </c>
      <c r="I429" t="str">
        <f t="shared" si="6"/>
        <v>update tbl_persona set apellido_paterno= 'MENDIZABAL',apellido_materno= 'VELASQUEZ', nombre = 'KARLA ESTHER' where dni = '72311204';</v>
      </c>
    </row>
    <row r="430" spans="1:9" x14ac:dyDescent="0.25">
      <c r="A430" t="s">
        <v>843</v>
      </c>
      <c r="B430" t="s">
        <v>2085</v>
      </c>
      <c r="C430" t="s">
        <v>2490</v>
      </c>
      <c r="D430" t="s">
        <v>3959</v>
      </c>
      <c r="E430" s="2" t="s">
        <v>3179</v>
      </c>
      <c r="F430" t="s">
        <v>1743</v>
      </c>
      <c r="H430" t="s">
        <v>5583</v>
      </c>
      <c r="I430" t="str">
        <f t="shared" si="6"/>
        <v>update tbl_persona set apellido_paterno= 'PAREDES',apellido_materno= 'TELLO', nombre = 'OWIN RENATO' where dni = '77170643';</v>
      </c>
    </row>
    <row r="431" spans="1:9" x14ac:dyDescent="0.25">
      <c r="A431" t="s">
        <v>845</v>
      </c>
      <c r="B431" t="s">
        <v>2088</v>
      </c>
      <c r="C431" t="s">
        <v>2285</v>
      </c>
      <c r="D431" t="s">
        <v>3960</v>
      </c>
      <c r="E431" s="2" t="s">
        <v>3180</v>
      </c>
      <c r="F431" t="s">
        <v>1743</v>
      </c>
      <c r="H431" t="s">
        <v>5584</v>
      </c>
      <c r="I431" t="str">
        <f t="shared" si="6"/>
        <v>update tbl_persona set apellido_paterno= 'VASQUEZ',apellido_materno= 'SANDOVAL', nombre = 'JUNIOR EDINSON' where dni = '46108489';</v>
      </c>
    </row>
    <row r="432" spans="1:9" x14ac:dyDescent="0.25">
      <c r="A432" t="s">
        <v>847</v>
      </c>
      <c r="B432" t="s">
        <v>2125</v>
      </c>
      <c r="C432" t="s">
        <v>2330</v>
      </c>
      <c r="D432" t="s">
        <v>3961</v>
      </c>
      <c r="E432" s="2" t="s">
        <v>3181</v>
      </c>
      <c r="F432" t="s">
        <v>1743</v>
      </c>
      <c r="H432" t="s">
        <v>5585</v>
      </c>
      <c r="I432" t="str">
        <f t="shared" si="6"/>
        <v>update tbl_persona set apellido_paterno= 'RUIZ',apellido_materno= 'CALDERÓN', nombre = 'JACK LEANDRO' where dni = '76416791';</v>
      </c>
    </row>
    <row r="433" spans="1:9" x14ac:dyDescent="0.25">
      <c r="A433" t="s">
        <v>849</v>
      </c>
      <c r="B433" t="s">
        <v>2085</v>
      </c>
      <c r="C433" t="s">
        <v>2004</v>
      </c>
      <c r="D433" t="s">
        <v>3962</v>
      </c>
      <c r="E433" s="2" t="s">
        <v>3182</v>
      </c>
      <c r="F433" t="s">
        <v>1743</v>
      </c>
      <c r="H433" t="s">
        <v>5586</v>
      </c>
      <c r="I433" t="str">
        <f t="shared" si="6"/>
        <v>update tbl_persona set apellido_paterno= 'PAREDES',apellido_materno= 'ROJAS', nombre = 'PIERO ANTONIO' where dni = '46114690';</v>
      </c>
    </row>
    <row r="434" spans="1:9" x14ac:dyDescent="0.25">
      <c r="A434" t="s">
        <v>851</v>
      </c>
      <c r="B434" t="s">
        <v>2491</v>
      </c>
      <c r="C434" t="s">
        <v>2492</v>
      </c>
      <c r="D434" t="s">
        <v>3963</v>
      </c>
      <c r="E434" s="2" t="s">
        <v>3183</v>
      </c>
      <c r="F434" t="s">
        <v>1743</v>
      </c>
      <c r="H434" t="s">
        <v>5587</v>
      </c>
      <c r="I434" t="str">
        <f t="shared" si="6"/>
        <v>update tbl_persona set apellido_paterno= 'BARDALES',apellido_materno= 'AGUILA', nombre = 'JULIO CARLOS' where dni = '42561414';</v>
      </c>
    </row>
    <row r="435" spans="1:9" x14ac:dyDescent="0.25">
      <c r="A435" t="s">
        <v>853</v>
      </c>
      <c r="B435" t="s">
        <v>2493</v>
      </c>
      <c r="C435" t="s">
        <v>2014</v>
      </c>
      <c r="D435" t="s">
        <v>3964</v>
      </c>
      <c r="E435" s="2" t="s">
        <v>3184</v>
      </c>
      <c r="F435" t="s">
        <v>1743</v>
      </c>
      <c r="G435" t="s">
        <v>1582</v>
      </c>
      <c r="H435" t="s">
        <v>5588</v>
      </c>
      <c r="I435" t="str">
        <f t="shared" si="6"/>
        <v>update tbl_persona set apellido_paterno= 'CASQUI',apellido_materno= 'GARCIA', nombre = 'ALEXANDER JHON' where dni = '70076081';</v>
      </c>
    </row>
    <row r="436" spans="1:9" x14ac:dyDescent="0.25">
      <c r="A436" t="s">
        <v>855</v>
      </c>
      <c r="B436" t="s">
        <v>2004</v>
      </c>
      <c r="C436" t="s">
        <v>2494</v>
      </c>
      <c r="D436" t="s">
        <v>3965</v>
      </c>
      <c r="E436" s="2" t="s">
        <v>3185</v>
      </c>
      <c r="F436" t="s">
        <v>1743</v>
      </c>
      <c r="H436" t="s">
        <v>5589</v>
      </c>
      <c r="I436" t="str">
        <f t="shared" si="6"/>
        <v>update tbl_persona set apellido_paterno= 'ROJAS',apellido_materno= 'IPANAQUE', nombre = 'LUIS MIGUEL' where dni = '73330984';</v>
      </c>
    </row>
    <row r="437" spans="1:9" x14ac:dyDescent="0.25">
      <c r="A437" t="s">
        <v>857</v>
      </c>
      <c r="B437" t="s">
        <v>2495</v>
      </c>
      <c r="C437" t="s">
        <v>2053</v>
      </c>
      <c r="D437" t="s">
        <v>3966</v>
      </c>
      <c r="E437" s="2" t="s">
        <v>3186</v>
      </c>
      <c r="F437" t="s">
        <v>1743</v>
      </c>
      <c r="H437" t="s">
        <v>5590</v>
      </c>
      <c r="I437" t="str">
        <f t="shared" si="6"/>
        <v>update tbl_persona set apellido_paterno= 'QUIÑONES',apellido_materno= 'ALEJO', nombre = 'MIGUEL SANTOS' where dni = '42718142';</v>
      </c>
    </row>
    <row r="438" spans="1:9" x14ac:dyDescent="0.25">
      <c r="A438" t="s">
        <v>859</v>
      </c>
      <c r="B438" t="s">
        <v>1966</v>
      </c>
      <c r="C438" t="s">
        <v>2423</v>
      </c>
      <c r="D438" t="s">
        <v>3629</v>
      </c>
      <c r="E438" s="2" t="s">
        <v>3187</v>
      </c>
      <c r="F438" t="s">
        <v>1743</v>
      </c>
      <c r="H438" t="s">
        <v>5591</v>
      </c>
      <c r="I438" t="str">
        <f t="shared" si="6"/>
        <v>update tbl_persona set apellido_paterno= 'CAMPOS',apellido_materno= 'MORALES', nombre = 'JUAN CARLOS' where dni = '45479131';</v>
      </c>
    </row>
    <row r="439" spans="1:9" x14ac:dyDescent="0.25">
      <c r="A439" t="s">
        <v>861</v>
      </c>
      <c r="B439" t="s">
        <v>2496</v>
      </c>
      <c r="C439" t="s">
        <v>2497</v>
      </c>
      <c r="D439" t="s">
        <v>3967</v>
      </c>
      <c r="E439" s="2" t="s">
        <v>3188</v>
      </c>
      <c r="F439" t="s">
        <v>1743</v>
      </c>
      <c r="H439" t="s">
        <v>5592</v>
      </c>
      <c r="I439" t="str">
        <f t="shared" si="6"/>
        <v>update tbl_persona set apellido_paterno= 'HERNANDEZ',apellido_materno= 'CONDE', nombre = 'ANTONIO JESUS' where dni = '72232022';</v>
      </c>
    </row>
    <row r="440" spans="1:9" x14ac:dyDescent="0.25">
      <c r="A440" t="s">
        <v>863</v>
      </c>
      <c r="B440" t="s">
        <v>2498</v>
      </c>
      <c r="C440" t="s">
        <v>2499</v>
      </c>
      <c r="D440" t="s">
        <v>3968</v>
      </c>
      <c r="E440" s="2" t="s">
        <v>3189</v>
      </c>
      <c r="F440" t="s">
        <v>1743</v>
      </c>
      <c r="H440" t="s">
        <v>5593</v>
      </c>
      <c r="I440" t="str">
        <f t="shared" si="6"/>
        <v>update tbl_persona set apellido_paterno= 'DONAIRES',apellido_materno= 'GABRIEL', nombre = 'ERICK VLADIMIR' where dni = '71784328';</v>
      </c>
    </row>
    <row r="441" spans="1:9" x14ac:dyDescent="0.25">
      <c r="A441" t="s">
        <v>865</v>
      </c>
      <c r="B441" t="s">
        <v>2043</v>
      </c>
      <c r="C441" t="s">
        <v>2500</v>
      </c>
      <c r="D441" t="s">
        <v>3969</v>
      </c>
      <c r="E441" s="2" t="s">
        <v>3190</v>
      </c>
      <c r="F441" t="s">
        <v>1743</v>
      </c>
      <c r="H441" t="s">
        <v>5594</v>
      </c>
      <c r="I441" t="str">
        <f t="shared" si="6"/>
        <v>update tbl_persona set apellido_paterno= 'RAMIREZ',apellido_materno= 'PAUCAR', nombre = 'ALVARO DANIEL' where dni = '74921567';</v>
      </c>
    </row>
    <row r="442" spans="1:9" x14ac:dyDescent="0.25">
      <c r="A442" t="s">
        <v>867</v>
      </c>
      <c r="B442" t="s">
        <v>2343</v>
      </c>
      <c r="C442" t="s">
        <v>2501</v>
      </c>
      <c r="D442" t="s">
        <v>3970</v>
      </c>
      <c r="E442" s="2" t="s">
        <v>3191</v>
      </c>
      <c r="F442" t="s">
        <v>1743</v>
      </c>
      <c r="H442" t="s">
        <v>5595</v>
      </c>
      <c r="I442" t="str">
        <f t="shared" si="6"/>
        <v>update tbl_persona set apellido_paterno= 'RIVAS',apellido_materno= 'CINCE', nombre = 'MAYCOLT JORDI' where dni = '76227097';</v>
      </c>
    </row>
    <row r="443" spans="1:9" x14ac:dyDescent="0.25">
      <c r="A443" t="s">
        <v>869</v>
      </c>
      <c r="B443" t="s">
        <v>2502</v>
      </c>
      <c r="C443" t="s">
        <v>2503</v>
      </c>
      <c r="D443" t="s">
        <v>3971</v>
      </c>
      <c r="E443" s="2" t="s">
        <v>3192</v>
      </c>
      <c r="F443" t="s">
        <v>1743</v>
      </c>
      <c r="H443" t="s">
        <v>5596</v>
      </c>
      <c r="I443" t="str">
        <f t="shared" si="6"/>
        <v>update tbl_persona set apellido_paterno= 'VALENCIA',apellido_materno= 'ASPILCUETA', nombre = 'JOSE MAURICIO' where dni = '74760141';</v>
      </c>
    </row>
    <row r="444" spans="1:9" x14ac:dyDescent="0.25">
      <c r="A444" t="s">
        <v>871</v>
      </c>
      <c r="B444" t="s">
        <v>2504</v>
      </c>
      <c r="C444" t="s">
        <v>2505</v>
      </c>
      <c r="D444" t="s">
        <v>3972</v>
      </c>
      <c r="E444" s="2" t="s">
        <v>3193</v>
      </c>
      <c r="F444" t="s">
        <v>1744</v>
      </c>
      <c r="H444" t="s">
        <v>5597</v>
      </c>
      <c r="I444" t="str">
        <f t="shared" si="6"/>
        <v>update tbl_persona set apellido_paterno= 'IDONE',apellido_materno= 'YUPANQUI', nombre = 'BRIGITT EMPERATRIZ' where dni = '75378291';</v>
      </c>
    </row>
    <row r="445" spans="1:9" x14ac:dyDescent="0.25">
      <c r="A445" t="s">
        <v>873</v>
      </c>
      <c r="B445" t="s">
        <v>2506</v>
      </c>
      <c r="C445" t="s">
        <v>2507</v>
      </c>
      <c r="D445" t="s">
        <v>3973</v>
      </c>
      <c r="E445" s="2" t="s">
        <v>3194</v>
      </c>
      <c r="F445" t="s">
        <v>1743</v>
      </c>
      <c r="H445" t="s">
        <v>5598</v>
      </c>
      <c r="I445" t="str">
        <f t="shared" si="6"/>
        <v>update tbl_persona set apellido_paterno= 'CUBA',apellido_materno= 'HUACCACHI', nombre = 'MARCOS UBER' where dni = '72648353';</v>
      </c>
    </row>
    <row r="446" spans="1:9" x14ac:dyDescent="0.25">
      <c r="A446" t="s">
        <v>875</v>
      </c>
      <c r="B446" t="s">
        <v>2508</v>
      </c>
      <c r="C446" t="s">
        <v>2509</v>
      </c>
      <c r="D446" t="s">
        <v>3974</v>
      </c>
      <c r="E446" s="2" t="s">
        <v>3195</v>
      </c>
      <c r="F446" t="s">
        <v>1743</v>
      </c>
      <c r="G446" t="s">
        <v>1583</v>
      </c>
      <c r="H446" t="s">
        <v>5599</v>
      </c>
      <c r="I446" t="str">
        <f t="shared" si="6"/>
        <v>update tbl_persona set apellido_paterno= 'YLLAHUAMAN',apellido_materno= 'CHIPANA', nombre = 'JAN CARLOS' where dni = '74548781';</v>
      </c>
    </row>
    <row r="447" spans="1:9" x14ac:dyDescent="0.25">
      <c r="A447" t="s">
        <v>877</v>
      </c>
      <c r="B447" t="s">
        <v>2014</v>
      </c>
      <c r="C447" t="s">
        <v>1962</v>
      </c>
      <c r="D447" t="s">
        <v>3975</v>
      </c>
      <c r="E447" s="2" t="s">
        <v>3196</v>
      </c>
      <c r="F447" t="s">
        <v>1743</v>
      </c>
      <c r="H447" t="s">
        <v>5600</v>
      </c>
      <c r="I447" t="str">
        <f t="shared" si="6"/>
        <v>update tbl_persona set apellido_paterno= 'GARCIA',apellido_materno= 'ESPINOZA', nombre = 'LUIS ENRIQUE' where dni = '43619384';</v>
      </c>
    </row>
    <row r="448" spans="1:9" x14ac:dyDescent="0.25">
      <c r="A448" t="s">
        <v>879</v>
      </c>
      <c r="B448" t="s">
        <v>2510</v>
      </c>
      <c r="C448" t="s">
        <v>2511</v>
      </c>
      <c r="D448" t="s">
        <v>3673</v>
      </c>
      <c r="E448" s="2" t="s">
        <v>3197</v>
      </c>
      <c r="F448" t="s">
        <v>1743</v>
      </c>
      <c r="H448" t="s">
        <v>5601</v>
      </c>
      <c r="I448" t="str">
        <f t="shared" si="6"/>
        <v>update tbl_persona set apellido_paterno= 'RAYME',apellido_materno= 'LIMA', nombre = 'JULIO CESAR' where dni = '77247478';</v>
      </c>
    </row>
    <row r="449" spans="1:9" x14ac:dyDescent="0.25">
      <c r="A449" t="s">
        <v>881</v>
      </c>
      <c r="B449" t="s">
        <v>2512</v>
      </c>
      <c r="C449" t="s">
        <v>2513</v>
      </c>
      <c r="D449" t="s">
        <v>3976</v>
      </c>
      <c r="E449" s="2" t="s">
        <v>3198</v>
      </c>
      <c r="F449" t="s">
        <v>1743</v>
      </c>
      <c r="H449" t="s">
        <v>5602</v>
      </c>
      <c r="I449" t="str">
        <f t="shared" si="6"/>
        <v>update tbl_persona set apellido_paterno= 'VIVEROS',apellido_materno= 'ESTEVEZ', nombre = 'RONALD' where dni = '43712021';</v>
      </c>
    </row>
    <row r="450" spans="1:9" x14ac:dyDescent="0.25">
      <c r="A450" t="s">
        <v>883</v>
      </c>
      <c r="B450" t="s">
        <v>2514</v>
      </c>
      <c r="C450" t="s">
        <v>2242</v>
      </c>
      <c r="D450" t="s">
        <v>3636</v>
      </c>
      <c r="E450" s="2" t="s">
        <v>3199</v>
      </c>
      <c r="F450" t="s">
        <v>1743</v>
      </c>
      <c r="H450" t="s">
        <v>5603</v>
      </c>
      <c r="I450" t="str">
        <f t="shared" si="6"/>
        <v>update tbl_persona set apellido_paterno= 'HUIMAN',apellido_materno= 'VALVERDE', nombre = 'JEAN CARLO' where dni = '47773923';</v>
      </c>
    </row>
    <row r="451" spans="1:9" x14ac:dyDescent="0.25">
      <c r="A451" t="s">
        <v>885</v>
      </c>
      <c r="B451" t="s">
        <v>2515</v>
      </c>
      <c r="C451" t="s">
        <v>2516</v>
      </c>
      <c r="D451" t="s">
        <v>3977</v>
      </c>
      <c r="E451" s="2" t="s">
        <v>3200</v>
      </c>
      <c r="F451" t="s">
        <v>1743</v>
      </c>
      <c r="H451" t="s">
        <v>5604</v>
      </c>
      <c r="I451" t="str">
        <f t="shared" ref="I451:I514" si="7">_xlfn.CONCAT("update tbl_persona set apellido_paterno= '",B451,"',apellido_materno= '",C451,"', nombre = '",D451,"' where dni = '",A451,"';")</f>
        <v>update tbl_persona set apellido_paterno= 'GASTELU',apellido_materno= 'ZAVALA', nombre = 'JHONATAN DOUGLAS' where dni = '47582930';</v>
      </c>
    </row>
    <row r="452" spans="1:9" x14ac:dyDescent="0.25">
      <c r="A452" t="s">
        <v>887</v>
      </c>
      <c r="B452" t="s">
        <v>2029</v>
      </c>
      <c r="C452" t="s">
        <v>2517</v>
      </c>
      <c r="D452" t="s">
        <v>3978</v>
      </c>
      <c r="E452" s="2" t="s">
        <v>3201</v>
      </c>
      <c r="F452" t="s">
        <v>1743</v>
      </c>
      <c r="G452" t="s">
        <v>1584</v>
      </c>
      <c r="H452" t="s">
        <v>5605</v>
      </c>
      <c r="I452" t="str">
        <f t="shared" si="7"/>
        <v>update tbl_persona set apellido_paterno= 'ORTIZ',apellido_materno= 'FIGUERAS', nombre = 'JARVIN RAFAEL' where dni = '002722297';</v>
      </c>
    </row>
    <row r="453" spans="1:9" x14ac:dyDescent="0.25">
      <c r="A453" t="s">
        <v>889</v>
      </c>
      <c r="B453" t="s">
        <v>2028</v>
      </c>
      <c r="C453" t="s">
        <v>2267</v>
      </c>
      <c r="D453" t="s">
        <v>3979</v>
      </c>
      <c r="E453" s="2" t="s">
        <v>3202</v>
      </c>
      <c r="F453" t="s">
        <v>1743</v>
      </c>
      <c r="H453" t="s">
        <v>5606</v>
      </c>
      <c r="I453" t="str">
        <f t="shared" si="7"/>
        <v>update tbl_persona set apellido_paterno= 'RODRIGUEZ',apellido_materno= 'RISCO', nombre = 'CARLOS YAIR' where dni = '74918492';</v>
      </c>
    </row>
    <row r="454" spans="1:9" x14ac:dyDescent="0.25">
      <c r="A454" t="s">
        <v>890</v>
      </c>
      <c r="B454" t="s">
        <v>2518</v>
      </c>
      <c r="C454" t="s">
        <v>2506</v>
      </c>
      <c r="D454" t="s">
        <v>3980</v>
      </c>
      <c r="E454" s="2" t="s">
        <v>3203</v>
      </c>
      <c r="F454" t="s">
        <v>1743</v>
      </c>
      <c r="H454" t="s">
        <v>5607</v>
      </c>
      <c r="I454" t="str">
        <f t="shared" si="7"/>
        <v>update tbl_persona set apellido_paterno= 'PARIONA',apellido_materno= 'CUBA', nombre = 'WALTER' where dni = '40915333';</v>
      </c>
    </row>
    <row r="455" spans="1:9" x14ac:dyDescent="0.25">
      <c r="A455" t="s">
        <v>892</v>
      </c>
      <c r="B455" t="s">
        <v>2519</v>
      </c>
      <c r="C455" t="s">
        <v>2520</v>
      </c>
      <c r="D455" t="s">
        <v>3981</v>
      </c>
      <c r="E455" s="2" t="s">
        <v>3204</v>
      </c>
      <c r="F455" t="s">
        <v>1743</v>
      </c>
      <c r="H455" t="s">
        <v>5608</v>
      </c>
      <c r="I455" t="str">
        <f t="shared" si="7"/>
        <v>update tbl_persona set apellido_paterno= 'CERVERA',apellido_materno= 'ANDRADE', nombre = 'JAIR JOSUE' where dni = '71130640';</v>
      </c>
    </row>
    <row r="456" spans="1:9" x14ac:dyDescent="0.25">
      <c r="A456" t="s">
        <v>894</v>
      </c>
      <c r="B456" t="s">
        <v>2521</v>
      </c>
      <c r="C456" t="s">
        <v>2522</v>
      </c>
      <c r="D456" t="s">
        <v>3982</v>
      </c>
      <c r="E456" s="2" t="s">
        <v>3205</v>
      </c>
      <c r="F456" t="s">
        <v>1743</v>
      </c>
      <c r="H456" t="s">
        <v>5609</v>
      </c>
      <c r="I456" t="str">
        <f t="shared" si="7"/>
        <v>update tbl_persona set apellido_paterno= 'MALDONADO',apellido_materno= 'YAULI', nombre = 'JOEL FRANKLIN' where dni = '45623052';</v>
      </c>
    </row>
    <row r="457" spans="1:9" x14ac:dyDescent="0.25">
      <c r="A457" t="s">
        <v>896</v>
      </c>
      <c r="B457" t="s">
        <v>2201</v>
      </c>
      <c r="C457" t="s">
        <v>1987</v>
      </c>
      <c r="D457" t="s">
        <v>3983</v>
      </c>
      <c r="E457" s="2" t="s">
        <v>3206</v>
      </c>
      <c r="F457" t="s">
        <v>1743</v>
      </c>
      <c r="H457" t="s">
        <v>5610</v>
      </c>
      <c r="I457" t="str">
        <f t="shared" si="7"/>
        <v>update tbl_persona set apellido_paterno= 'CAMACHO',apellido_materno= 'GONZALES', nombre = 'JONATHA SMITH' where dni = '76020998';</v>
      </c>
    </row>
    <row r="458" spans="1:9" x14ac:dyDescent="0.25">
      <c r="A458" t="s">
        <v>898</v>
      </c>
      <c r="B458" t="s">
        <v>2095</v>
      </c>
      <c r="C458" t="s">
        <v>2014</v>
      </c>
      <c r="D458" t="s">
        <v>3984</v>
      </c>
      <c r="E458" s="2" t="s">
        <v>3207</v>
      </c>
      <c r="F458" t="s">
        <v>1743</v>
      </c>
      <c r="H458" t="s">
        <v>5611</v>
      </c>
      <c r="I458" t="str">
        <f t="shared" si="7"/>
        <v>update tbl_persona set apellido_paterno= 'CONTRERAS',apellido_materno= 'GARCIA', nombre = 'PIERO ALESSANDRO' where dni = '46395171';</v>
      </c>
    </row>
    <row r="459" spans="1:9" x14ac:dyDescent="0.25">
      <c r="A459" t="s">
        <v>900</v>
      </c>
      <c r="B459" t="s">
        <v>2389</v>
      </c>
      <c r="C459" t="s">
        <v>2523</v>
      </c>
      <c r="D459" t="s">
        <v>3730</v>
      </c>
      <c r="E459" s="2" t="s">
        <v>3208</v>
      </c>
      <c r="F459" t="s">
        <v>1743</v>
      </c>
      <c r="H459" t="s">
        <v>5612</v>
      </c>
      <c r="I459" t="str">
        <f t="shared" si="7"/>
        <v>update tbl_persona set apellido_paterno= 'BERNAL',apellido_materno= 'RONDINEL', nombre = 'JUAN JOSE' where dni = '71408090';</v>
      </c>
    </row>
    <row r="460" spans="1:9" x14ac:dyDescent="0.25">
      <c r="A460" t="s">
        <v>902</v>
      </c>
      <c r="B460" t="s">
        <v>2020</v>
      </c>
      <c r="C460" t="s">
        <v>2524</v>
      </c>
      <c r="D460" t="s">
        <v>3985</v>
      </c>
      <c r="E460" s="2" t="s">
        <v>3209</v>
      </c>
      <c r="F460" t="s">
        <v>1743</v>
      </c>
      <c r="G460" t="s">
        <v>1585</v>
      </c>
      <c r="H460" t="s">
        <v>5613</v>
      </c>
      <c r="I460" t="str">
        <f t="shared" si="7"/>
        <v>update tbl_persona set apellido_paterno= 'HUAMANI',apellido_materno= 'ZAA', nombre = 'LUCIO RIVALDO' where dni = '74454102';</v>
      </c>
    </row>
    <row r="461" spans="1:9" x14ac:dyDescent="0.25">
      <c r="A461" t="s">
        <v>904</v>
      </c>
      <c r="B461" t="s">
        <v>2525</v>
      </c>
      <c r="C461" t="s">
        <v>2526</v>
      </c>
      <c r="D461" t="s">
        <v>3986</v>
      </c>
      <c r="E461" s="2" t="s">
        <v>3210</v>
      </c>
      <c r="F461" t="s">
        <v>1743</v>
      </c>
      <c r="H461" t="s">
        <v>5614</v>
      </c>
      <c r="I461" t="str">
        <f t="shared" si="7"/>
        <v>update tbl_persona set apellido_paterno= 'ÑAUPA',apellido_materno= 'CALLA', nombre = 'LUIYI' where dni = '76188829';</v>
      </c>
    </row>
    <row r="462" spans="1:9" x14ac:dyDescent="0.25">
      <c r="A462" t="s">
        <v>906</v>
      </c>
      <c r="B462" t="s">
        <v>2527</v>
      </c>
      <c r="C462" t="s">
        <v>2528</v>
      </c>
      <c r="D462" t="s">
        <v>3987</v>
      </c>
      <c r="E462" s="2" t="s">
        <v>3211</v>
      </c>
      <c r="F462" t="s">
        <v>1743</v>
      </c>
      <c r="H462" t="s">
        <v>5615</v>
      </c>
      <c r="I462" t="str">
        <f t="shared" si="7"/>
        <v>update tbl_persona set apellido_paterno= 'ARANDA',apellido_materno= 'DAZA', nombre = 'GEREMIAS' where dni = '60366107';</v>
      </c>
    </row>
    <row r="463" spans="1:9" x14ac:dyDescent="0.25">
      <c r="A463" t="s">
        <v>908</v>
      </c>
      <c r="B463" t="s">
        <v>2529</v>
      </c>
      <c r="C463" t="s">
        <v>2530</v>
      </c>
      <c r="D463" t="s">
        <v>3988</v>
      </c>
      <c r="E463" s="2" t="s">
        <v>3212</v>
      </c>
      <c r="F463" t="s">
        <v>1743</v>
      </c>
      <c r="H463" t="s">
        <v>5616</v>
      </c>
      <c r="I463" t="str">
        <f t="shared" si="7"/>
        <v>update tbl_persona set apellido_paterno= 'CHINGUEL',apellido_materno= 'LANDIVAR', nombre = 'CESAR EYNNER' where dni = '71609476';</v>
      </c>
    </row>
    <row r="464" spans="1:9" x14ac:dyDescent="0.25">
      <c r="A464" t="s">
        <v>910</v>
      </c>
      <c r="B464" t="s">
        <v>2233</v>
      </c>
      <c r="C464" t="s">
        <v>2531</v>
      </c>
      <c r="D464" t="s">
        <v>3827</v>
      </c>
      <c r="E464" s="2" t="s">
        <v>3213</v>
      </c>
      <c r="F464" t="s">
        <v>1743</v>
      </c>
      <c r="H464" t="s">
        <v>5617</v>
      </c>
      <c r="I464" t="str">
        <f t="shared" si="7"/>
        <v>update tbl_persona set apellido_paterno= 'NORIEGA',apellido_materno= 'CORNEJO', nombre = 'JORGE ANTONIO' where dni = '45378459';</v>
      </c>
    </row>
    <row r="465" spans="1:9" x14ac:dyDescent="0.25">
      <c r="A465" t="s">
        <v>912</v>
      </c>
      <c r="B465" t="s">
        <v>2532</v>
      </c>
      <c r="C465" t="s">
        <v>2490</v>
      </c>
      <c r="D465" t="s">
        <v>3989</v>
      </c>
      <c r="E465" s="2" t="s">
        <v>3214</v>
      </c>
      <c r="F465" t="s">
        <v>1743</v>
      </c>
      <c r="H465" t="s">
        <v>5618</v>
      </c>
      <c r="I465" t="str">
        <f t="shared" si="7"/>
        <v>update tbl_persona set apellido_paterno= 'OLLAGUEZ',apellido_materno= 'TELLO', nombre = 'HEYSEN' where dni = '45604218';</v>
      </c>
    </row>
    <row r="466" spans="1:9" x14ac:dyDescent="0.25">
      <c r="A466" t="s">
        <v>914</v>
      </c>
      <c r="B466" t="s">
        <v>2405</v>
      </c>
      <c r="C466" t="s">
        <v>2533</v>
      </c>
      <c r="D466" t="s">
        <v>3990</v>
      </c>
      <c r="E466" s="2" t="s">
        <v>3028</v>
      </c>
      <c r="F466" t="s">
        <v>1743</v>
      </c>
      <c r="H466" t="s">
        <v>5619</v>
      </c>
      <c r="I466" t="str">
        <f t="shared" si="7"/>
        <v>update tbl_persona set apellido_paterno= 'GALLARDO',apellido_materno= 'NOVOA', nombre = 'RUBÉN' where dni = '45852647';</v>
      </c>
    </row>
    <row r="467" spans="1:9" x14ac:dyDescent="0.25">
      <c r="A467" t="s">
        <v>916</v>
      </c>
      <c r="B467" t="s">
        <v>1977</v>
      </c>
      <c r="C467" t="s">
        <v>2534</v>
      </c>
      <c r="D467" t="s">
        <v>3991</v>
      </c>
      <c r="E467" s="2" t="s">
        <v>3215</v>
      </c>
      <c r="F467" t="s">
        <v>1743</v>
      </c>
      <c r="H467" t="s">
        <v>5620</v>
      </c>
      <c r="I467" t="str">
        <f t="shared" si="7"/>
        <v>update tbl_persona set apellido_paterno= 'GARCÍA',apellido_materno= 'CABRERA', nombre = 'SEBASTIÁN DAVID' where dni = '72798525';</v>
      </c>
    </row>
    <row r="468" spans="1:9" x14ac:dyDescent="0.25">
      <c r="A468" t="s">
        <v>918</v>
      </c>
      <c r="B468" t="s">
        <v>2370</v>
      </c>
      <c r="C468" t="s">
        <v>2125</v>
      </c>
      <c r="D468" t="s">
        <v>3992</v>
      </c>
      <c r="E468" s="2" t="s">
        <v>3216</v>
      </c>
      <c r="F468" t="s">
        <v>1743</v>
      </c>
      <c r="H468" t="s">
        <v>5621</v>
      </c>
      <c r="I468" t="str">
        <f t="shared" si="7"/>
        <v>update tbl_persona set apellido_paterno= 'AYALA',apellido_materno= 'RUIZ', nombre = 'OSCAR DANIEL' where dni = '71454271';</v>
      </c>
    </row>
    <row r="469" spans="1:9" x14ac:dyDescent="0.25">
      <c r="A469" t="s">
        <v>920</v>
      </c>
      <c r="B469" t="s">
        <v>2535</v>
      </c>
      <c r="C469" t="s">
        <v>2536</v>
      </c>
      <c r="D469" t="s">
        <v>3993</v>
      </c>
      <c r="E469" s="2" t="s">
        <v>3122</v>
      </c>
      <c r="F469" t="s">
        <v>1743</v>
      </c>
      <c r="H469" t="s">
        <v>5622</v>
      </c>
      <c r="I469" t="str">
        <f t="shared" si="7"/>
        <v>update tbl_persona set apellido_paterno= 'ARPITA',apellido_materno= 'AGUILERA', nombre = 'JOSE MANUEL' where dni = '70128963';</v>
      </c>
    </row>
    <row r="470" spans="1:9" x14ac:dyDescent="0.25">
      <c r="A470" t="s">
        <v>922</v>
      </c>
      <c r="B470" t="s">
        <v>2537</v>
      </c>
      <c r="C470" t="s">
        <v>2538</v>
      </c>
      <c r="D470" t="s">
        <v>3994</v>
      </c>
      <c r="E470" s="2" t="s">
        <v>3217</v>
      </c>
      <c r="F470" t="s">
        <v>1743</v>
      </c>
      <c r="H470" t="s">
        <v>5623</v>
      </c>
      <c r="I470" t="str">
        <f t="shared" si="7"/>
        <v>update tbl_persona set apellido_paterno= 'ALEGRE',apellido_materno= 'GRANADOS', nombre = 'ARMANDO RAFAEL' where dni = '41806439';</v>
      </c>
    </row>
    <row r="471" spans="1:9" x14ac:dyDescent="0.25">
      <c r="A471" t="s">
        <v>924</v>
      </c>
      <c r="B471" t="s">
        <v>2539</v>
      </c>
      <c r="C471" t="s">
        <v>2014</v>
      </c>
      <c r="D471" t="s">
        <v>3995</v>
      </c>
      <c r="E471" s="2" t="s">
        <v>3218</v>
      </c>
      <c r="F471" t="s">
        <v>1743</v>
      </c>
      <c r="H471" t="s">
        <v>5624</v>
      </c>
      <c r="I471" t="str">
        <f t="shared" si="7"/>
        <v>update tbl_persona set apellido_paterno= 'CHIHUAN',apellido_materno= 'GARCIA', nombre = 'LUIS KENEDY' where dni = '73356261';</v>
      </c>
    </row>
    <row r="472" spans="1:9" x14ac:dyDescent="0.25">
      <c r="A472" t="s">
        <v>926</v>
      </c>
      <c r="B472" t="s">
        <v>2540</v>
      </c>
      <c r="C472" t="s">
        <v>2541</v>
      </c>
      <c r="D472" t="s">
        <v>3996</v>
      </c>
      <c r="E472" s="2" t="s">
        <v>3219</v>
      </c>
      <c r="F472" t="s">
        <v>1743</v>
      </c>
      <c r="H472" t="s">
        <v>5625</v>
      </c>
      <c r="I472" t="str">
        <f t="shared" si="7"/>
        <v>update tbl_persona set apellido_paterno= 'CHUMBILE',apellido_materno= 'COTRINA', nombre = 'WILLIAM' where dni = '46307581';</v>
      </c>
    </row>
    <row r="473" spans="1:9" x14ac:dyDescent="0.25">
      <c r="A473" t="s">
        <v>928</v>
      </c>
      <c r="B473" t="s">
        <v>1963</v>
      </c>
      <c r="C473" t="s">
        <v>2134</v>
      </c>
      <c r="D473" t="s">
        <v>3997</v>
      </c>
      <c r="E473" s="2" t="s">
        <v>3220</v>
      </c>
      <c r="F473" t="s">
        <v>1743</v>
      </c>
      <c r="H473" t="s">
        <v>5626</v>
      </c>
      <c r="I473" t="str">
        <f t="shared" si="7"/>
        <v>update tbl_persona set apellido_paterno= 'HERRERA',apellido_materno= 'ZAPATA', nombre = 'ALEXIS ROLANDI' where dni = '42518856';</v>
      </c>
    </row>
    <row r="474" spans="1:9" x14ac:dyDescent="0.25">
      <c r="A474" t="s">
        <v>930</v>
      </c>
      <c r="B474" t="s">
        <v>2048</v>
      </c>
      <c r="C474" t="s">
        <v>2009</v>
      </c>
      <c r="D474" t="s">
        <v>3998</v>
      </c>
      <c r="E474" s="2" t="s">
        <v>3221</v>
      </c>
      <c r="F474" t="s">
        <v>1743</v>
      </c>
      <c r="H474" t="s">
        <v>5627</v>
      </c>
      <c r="I474" t="str">
        <f t="shared" si="7"/>
        <v>update tbl_persona set apellido_paterno= 'VILLANUEVA',apellido_materno= 'LIÑAN', nombre = 'AMNER JESUS' where dni = '71998375';</v>
      </c>
    </row>
    <row r="475" spans="1:9" x14ac:dyDescent="0.25">
      <c r="A475" t="s">
        <v>932</v>
      </c>
      <c r="B475" t="s">
        <v>2542</v>
      </c>
      <c r="C475" t="s">
        <v>2043</v>
      </c>
      <c r="D475" t="s">
        <v>3999</v>
      </c>
      <c r="E475" s="2" t="s">
        <v>3222</v>
      </c>
      <c r="F475" t="s">
        <v>1743</v>
      </c>
      <c r="H475" t="s">
        <v>5628</v>
      </c>
      <c r="I475" t="str">
        <f t="shared" si="7"/>
        <v>update tbl_persona set apellido_paterno= 'JAVIER',apellido_materno= 'RAMIREZ', nombre = 'BRENNER' where dni = '73276626';</v>
      </c>
    </row>
    <row r="476" spans="1:9" x14ac:dyDescent="0.25">
      <c r="A476" t="s">
        <v>934</v>
      </c>
      <c r="B476" t="s">
        <v>2543</v>
      </c>
      <c r="C476" t="s">
        <v>2487</v>
      </c>
      <c r="D476" t="s">
        <v>4000</v>
      </c>
      <c r="E476" s="2" t="s">
        <v>3223</v>
      </c>
      <c r="F476" t="s">
        <v>1743</v>
      </c>
      <c r="H476" t="s">
        <v>5629</v>
      </c>
      <c r="I476" t="str">
        <f t="shared" si="7"/>
        <v>update tbl_persona set apellido_paterno= 'PALPA',apellido_materno= 'ESTRELLA', nombre = 'CARLOS DAVID' where dni = '46289372';</v>
      </c>
    </row>
    <row r="477" spans="1:9" x14ac:dyDescent="0.25">
      <c r="A477" t="s">
        <v>936</v>
      </c>
      <c r="B477" t="s">
        <v>2544</v>
      </c>
      <c r="C477" t="s">
        <v>2545</v>
      </c>
      <c r="D477" t="s">
        <v>4001</v>
      </c>
      <c r="E477" s="2" t="s">
        <v>3224</v>
      </c>
      <c r="F477" t="s">
        <v>1743</v>
      </c>
      <c r="H477" t="s">
        <v>5630</v>
      </c>
      <c r="I477" t="str">
        <f t="shared" si="7"/>
        <v>update tbl_persona set apellido_paterno= 'BRICEÑO',apellido_materno= 'ALVA', nombre = 'JOE JUNIOR' where dni = '76288697';</v>
      </c>
    </row>
    <row r="478" spans="1:9" x14ac:dyDescent="0.25">
      <c r="A478" t="s">
        <v>938</v>
      </c>
      <c r="B478" t="s">
        <v>2546</v>
      </c>
      <c r="C478" t="s">
        <v>1966</v>
      </c>
      <c r="D478" t="s">
        <v>4002</v>
      </c>
      <c r="E478" s="2" t="s">
        <v>3225</v>
      </c>
      <c r="F478" t="s">
        <v>1743</v>
      </c>
      <c r="H478" t="s">
        <v>5631</v>
      </c>
      <c r="I478" t="str">
        <f t="shared" si="7"/>
        <v>update tbl_persona set apellido_paterno= 'SEDANO',apellido_materno= 'CAMPOS', nombre = 'MILLER CARLOS' where dni = '47611633';</v>
      </c>
    </row>
    <row r="479" spans="1:9" x14ac:dyDescent="0.25">
      <c r="A479" t="s">
        <v>940</v>
      </c>
      <c r="B479" t="s">
        <v>2547</v>
      </c>
      <c r="C479" t="s">
        <v>2548</v>
      </c>
      <c r="D479" t="s">
        <v>4003</v>
      </c>
      <c r="E479" s="2" t="s">
        <v>3226</v>
      </c>
      <c r="F479" t="s">
        <v>1743</v>
      </c>
      <c r="H479" t="s">
        <v>5632</v>
      </c>
      <c r="I479" t="str">
        <f t="shared" si="7"/>
        <v>update tbl_persona set apellido_paterno= 'ESPARZA',apellido_materno= 'GALLO', nombre = 'MANFREDO' where dni = '73950968';</v>
      </c>
    </row>
    <row r="480" spans="1:9" x14ac:dyDescent="0.25">
      <c r="A480" t="s">
        <v>942</v>
      </c>
      <c r="B480" t="s">
        <v>2212</v>
      </c>
      <c r="C480" t="s">
        <v>2549</v>
      </c>
      <c r="D480" t="s">
        <v>4004</v>
      </c>
      <c r="E480" s="2" t="s">
        <v>3227</v>
      </c>
      <c r="F480" t="s">
        <v>1743</v>
      </c>
      <c r="H480" t="s">
        <v>5633</v>
      </c>
      <c r="I480" t="str">
        <f t="shared" si="7"/>
        <v>update tbl_persona set apellido_paterno= 'SEQUEIROS',apellido_materno= 'CANCAPA', nombre = 'GONZALO NADIM' where dni = '72658018';</v>
      </c>
    </row>
    <row r="481" spans="1:9" x14ac:dyDescent="0.25">
      <c r="A481" t="s">
        <v>944</v>
      </c>
      <c r="B481" t="s">
        <v>2038</v>
      </c>
      <c r="C481" t="s">
        <v>2550</v>
      </c>
      <c r="D481" t="s">
        <v>4005</v>
      </c>
      <c r="E481" s="2" t="s">
        <v>3228</v>
      </c>
      <c r="F481" t="s">
        <v>1743</v>
      </c>
      <c r="H481" t="s">
        <v>5634</v>
      </c>
      <c r="I481" t="str">
        <f t="shared" si="7"/>
        <v>update tbl_persona set apellido_paterno= 'MENDOZA',apellido_materno= 'YANA', nombre = 'DANIEL JOSTIN' where dni = '74890052';</v>
      </c>
    </row>
    <row r="482" spans="1:9" x14ac:dyDescent="0.25">
      <c r="A482" t="s">
        <v>946</v>
      </c>
      <c r="B482" t="s">
        <v>1973</v>
      </c>
      <c r="C482" t="s">
        <v>2551</v>
      </c>
      <c r="D482" t="s">
        <v>4006</v>
      </c>
      <c r="E482" s="2" t="s">
        <v>3229</v>
      </c>
      <c r="F482" t="s">
        <v>1743</v>
      </c>
      <c r="G482" t="s">
        <v>1587</v>
      </c>
      <c r="H482" t="s">
        <v>5635</v>
      </c>
      <c r="I482" t="str">
        <f t="shared" si="7"/>
        <v>update tbl_persona set apellido_paterno= 'LOPEZ',apellido_materno= 'VALERA', nombre = 'DAVID MARTIN' where dni = '48296768';</v>
      </c>
    </row>
    <row r="483" spans="1:9" x14ac:dyDescent="0.25">
      <c r="A483" t="s">
        <v>948</v>
      </c>
      <c r="B483" t="s">
        <v>2552</v>
      </c>
      <c r="C483" t="s">
        <v>2060</v>
      </c>
      <c r="D483" t="s">
        <v>4007</v>
      </c>
      <c r="E483" s="2" t="s">
        <v>3230</v>
      </c>
      <c r="F483" t="s">
        <v>1743</v>
      </c>
      <c r="H483" t="s">
        <v>5636</v>
      </c>
      <c r="I483" t="str">
        <f t="shared" si="7"/>
        <v>update tbl_persona set apellido_paterno= 'MANRIQUE',apellido_materno= 'RAMOS', nombre = 'HERMES PIERO' where dni = '46517298';</v>
      </c>
    </row>
    <row r="484" spans="1:9" x14ac:dyDescent="0.25">
      <c r="A484" t="s">
        <v>514</v>
      </c>
      <c r="B484" t="s">
        <v>2305</v>
      </c>
      <c r="C484" t="s">
        <v>1989</v>
      </c>
      <c r="D484" t="s">
        <v>4008</v>
      </c>
      <c r="E484" s="2" t="s">
        <v>3042</v>
      </c>
      <c r="F484" t="s">
        <v>1743</v>
      </c>
      <c r="H484" t="s">
        <v>5637</v>
      </c>
      <c r="I484" t="str">
        <f t="shared" si="7"/>
        <v>update tbl_persona set apellido_paterno= 'ATAUCHI',apellido_materno= 'PALOMINO', nombre = 'WILLY ALEXANDER' where dni = '75372788';</v>
      </c>
    </row>
    <row r="485" spans="1:9" x14ac:dyDescent="0.25">
      <c r="A485" t="s">
        <v>952</v>
      </c>
      <c r="B485" t="s">
        <v>2350</v>
      </c>
      <c r="C485" t="s">
        <v>1962</v>
      </c>
      <c r="D485" t="s">
        <v>4009</v>
      </c>
      <c r="E485" s="2" t="s">
        <v>3232</v>
      </c>
      <c r="F485" t="s">
        <v>1743</v>
      </c>
      <c r="H485" t="s">
        <v>5638</v>
      </c>
      <c r="I485" t="str">
        <f t="shared" si="7"/>
        <v>update tbl_persona set apellido_paterno= 'PÉREZ',apellido_materno= 'ESPINOZA', nombre = 'CIRO MAURICIO' where dni = '70872060';</v>
      </c>
    </row>
    <row r="486" spans="1:9" x14ac:dyDescent="0.25">
      <c r="A486" t="s">
        <v>954</v>
      </c>
      <c r="B486" t="s">
        <v>2052</v>
      </c>
      <c r="C486" t="s">
        <v>2554</v>
      </c>
      <c r="D486" t="s">
        <v>4010</v>
      </c>
      <c r="E486" s="2" t="s">
        <v>3233</v>
      </c>
      <c r="F486" t="s">
        <v>1743</v>
      </c>
      <c r="H486" t="s">
        <v>5639</v>
      </c>
      <c r="I486" t="str">
        <f t="shared" si="7"/>
        <v>update tbl_persona set apellido_paterno= 'RIOS',apellido_materno= 'YLUQUIS', nombre = 'JHONY GRABIEL' where dni = '74076555';</v>
      </c>
    </row>
    <row r="487" spans="1:9" x14ac:dyDescent="0.25">
      <c r="A487" t="s">
        <v>956</v>
      </c>
      <c r="B487" t="s">
        <v>2555</v>
      </c>
      <c r="C487" t="s">
        <v>2556</v>
      </c>
      <c r="D487" t="s">
        <v>4011</v>
      </c>
      <c r="E487" s="2" t="s">
        <v>3234</v>
      </c>
      <c r="F487" t="s">
        <v>1743</v>
      </c>
      <c r="H487" t="s">
        <v>5640</v>
      </c>
      <c r="I487" t="str">
        <f t="shared" si="7"/>
        <v>update tbl_persona set apellido_paterno= 'SONCO',apellido_materno= 'TOLEDO', nombre = 'CHRISTIAN JAIME' where dni = '70672081';</v>
      </c>
    </row>
    <row r="488" spans="1:9" x14ac:dyDescent="0.25">
      <c r="A488" t="s">
        <v>958</v>
      </c>
      <c r="B488" t="s">
        <v>2118</v>
      </c>
      <c r="C488" t="s">
        <v>2557</v>
      </c>
      <c r="D488" t="s">
        <v>4012</v>
      </c>
      <c r="E488" s="2" t="s">
        <v>3235</v>
      </c>
      <c r="F488" t="s">
        <v>1743</v>
      </c>
      <c r="H488" t="s">
        <v>5641</v>
      </c>
      <c r="I488" t="str">
        <f t="shared" si="7"/>
        <v>update tbl_persona set apellido_paterno= 'VILCHEZ',apellido_materno= 'PAICO', nombre = 'CRISTHIAN JESUS' where dni = '48199133';</v>
      </c>
    </row>
    <row r="489" spans="1:9" x14ac:dyDescent="0.25">
      <c r="A489" t="s">
        <v>960</v>
      </c>
      <c r="B489" t="s">
        <v>2558</v>
      </c>
      <c r="C489" t="s">
        <v>2559</v>
      </c>
      <c r="D489" t="s">
        <v>3646</v>
      </c>
      <c r="E489" s="2" t="s">
        <v>3236</v>
      </c>
      <c r="F489" t="s">
        <v>1743</v>
      </c>
      <c r="H489" t="s">
        <v>5642</v>
      </c>
      <c r="I489" t="str">
        <f t="shared" si="7"/>
        <v>update tbl_persona set apellido_paterno= 'ROSALES',apellido_materno= 'CCOICCA', nombre = 'MARCO ANTONIO' where dni = '47523374';</v>
      </c>
    </row>
    <row r="490" spans="1:9" x14ac:dyDescent="0.25">
      <c r="A490" t="s">
        <v>962</v>
      </c>
      <c r="B490" t="s">
        <v>2560</v>
      </c>
      <c r="C490" t="s">
        <v>1997</v>
      </c>
      <c r="D490" t="s">
        <v>4013</v>
      </c>
      <c r="E490" s="2" t="s">
        <v>3238</v>
      </c>
      <c r="F490" t="s">
        <v>1743</v>
      </c>
      <c r="H490" t="s">
        <v>5643</v>
      </c>
      <c r="I490" t="str">
        <f t="shared" si="7"/>
        <v>update tbl_persona set apellido_paterno= 'ZELADA',apellido_materno= 'ABANTO', nombre = 'LELIXS JANDER' where dni = '72003917';</v>
      </c>
    </row>
    <row r="491" spans="1:9" x14ac:dyDescent="0.25">
      <c r="A491" t="s">
        <v>964</v>
      </c>
      <c r="B491" t="s">
        <v>1997</v>
      </c>
      <c r="C491" t="s">
        <v>1965</v>
      </c>
      <c r="D491" t="s">
        <v>4014</v>
      </c>
      <c r="E491" s="2" t="s">
        <v>3239</v>
      </c>
      <c r="F491" t="s">
        <v>1743</v>
      </c>
      <c r="H491" t="s">
        <v>5644</v>
      </c>
      <c r="I491" t="str">
        <f t="shared" si="7"/>
        <v>update tbl_persona set apellido_paterno= 'ABANTO',apellido_materno= 'SALAZAR', nombre = 'OSCAR HENRY' where dni = '10658461';</v>
      </c>
    </row>
    <row r="492" spans="1:9" x14ac:dyDescent="0.25">
      <c r="A492" t="s">
        <v>966</v>
      </c>
      <c r="B492" t="s">
        <v>2561</v>
      </c>
      <c r="C492" t="s">
        <v>2336</v>
      </c>
      <c r="D492" t="s">
        <v>4015</v>
      </c>
      <c r="E492" s="2" t="s">
        <v>3240</v>
      </c>
      <c r="F492" t="s">
        <v>1743</v>
      </c>
      <c r="H492" t="s">
        <v>5645</v>
      </c>
      <c r="I492" t="str">
        <f t="shared" si="7"/>
        <v>update tbl_persona set apellido_paterno= 'MENDEZ',apellido_materno= 'CHINCHAY', nombre = 'ERIC RAFAEL' where dni = '46408032';</v>
      </c>
    </row>
    <row r="493" spans="1:9" x14ac:dyDescent="0.25">
      <c r="A493" t="s">
        <v>968</v>
      </c>
      <c r="B493" t="s">
        <v>2562</v>
      </c>
      <c r="C493" t="s">
        <v>2552</v>
      </c>
      <c r="D493" t="s">
        <v>3569</v>
      </c>
      <c r="E493" s="2" t="s">
        <v>3241</v>
      </c>
      <c r="F493" t="s">
        <v>1743</v>
      </c>
      <c r="G493" t="s">
        <v>1588</v>
      </c>
      <c r="H493" t="s">
        <v>5646</v>
      </c>
      <c r="I493" t="str">
        <f t="shared" si="7"/>
        <v>update tbl_persona set apellido_paterno= 'CUETO',apellido_materno= 'MANRIQUE', nombre = 'JAIRO' where dni = '76071088';</v>
      </c>
    </row>
    <row r="494" spans="1:9" x14ac:dyDescent="0.25">
      <c r="A494" t="s">
        <v>970</v>
      </c>
      <c r="B494" t="s">
        <v>1987</v>
      </c>
      <c r="C494" t="s">
        <v>2563</v>
      </c>
      <c r="D494" t="s">
        <v>4016</v>
      </c>
      <c r="E494" s="2" t="s">
        <v>3242</v>
      </c>
      <c r="F494" t="s">
        <v>1743</v>
      </c>
      <c r="H494" t="s">
        <v>5647</v>
      </c>
      <c r="I494" t="str">
        <f t="shared" si="7"/>
        <v>update tbl_persona set apellido_paterno= 'GONZALES',apellido_materno= 'MAZA', nombre = 'MARCIO SANTOS' where dni = '76325541';</v>
      </c>
    </row>
    <row r="495" spans="1:9" x14ac:dyDescent="0.25">
      <c r="A495" t="s">
        <v>972</v>
      </c>
      <c r="B495" t="s">
        <v>2564</v>
      </c>
      <c r="C495" t="s">
        <v>2565</v>
      </c>
      <c r="D495" t="s">
        <v>4017</v>
      </c>
      <c r="E495" s="2" t="s">
        <v>3243</v>
      </c>
      <c r="F495" t="s">
        <v>1743</v>
      </c>
      <c r="H495" t="s">
        <v>5648</v>
      </c>
      <c r="I495" t="str">
        <f t="shared" si="7"/>
        <v>update tbl_persona set apellido_paterno= 'LLACSAHUACHE',apellido_materno= 'CRISANTO', nombre = 'DARWIN EUDOCIO' where dni = '46132586';</v>
      </c>
    </row>
    <row r="496" spans="1:9" x14ac:dyDescent="0.25">
      <c r="A496" t="s">
        <v>974</v>
      </c>
      <c r="B496" t="s">
        <v>2566</v>
      </c>
      <c r="C496" t="s">
        <v>2012</v>
      </c>
      <c r="D496" t="s">
        <v>4018</v>
      </c>
      <c r="E496" s="2" t="s">
        <v>3244</v>
      </c>
      <c r="F496" t="s">
        <v>1743</v>
      </c>
      <c r="G496" t="s">
        <v>1589</v>
      </c>
      <c r="H496" t="s">
        <v>5649</v>
      </c>
      <c r="I496" t="str">
        <f t="shared" si="7"/>
        <v>update tbl_persona set apellido_paterno= 'LOAIZA',apellido_materno= 'GUTIERREZ', nombre = 'GILMAR' where dni = '71829619';</v>
      </c>
    </row>
    <row r="497" spans="1:9" x14ac:dyDescent="0.25">
      <c r="A497" t="s">
        <v>976</v>
      </c>
      <c r="B497" t="s">
        <v>1989</v>
      </c>
      <c r="C497" t="s">
        <v>2203</v>
      </c>
      <c r="D497" t="s">
        <v>4019</v>
      </c>
      <c r="E497" s="2" t="s">
        <v>3245</v>
      </c>
      <c r="F497" t="s">
        <v>1743</v>
      </c>
      <c r="G497" t="s">
        <v>1590</v>
      </c>
      <c r="H497" t="s">
        <v>5650</v>
      </c>
      <c r="I497" t="str">
        <f t="shared" si="7"/>
        <v>update tbl_persona set apellido_paterno= 'PALOMINO',apellido_materno= 'HUILLCA', nombre = 'JHAN CARLOS' where dni = '76358177';</v>
      </c>
    </row>
    <row r="498" spans="1:9" x14ac:dyDescent="0.25">
      <c r="A498" t="s">
        <v>978</v>
      </c>
      <c r="B498" t="s">
        <v>2567</v>
      </c>
      <c r="C498" t="s">
        <v>2568</v>
      </c>
      <c r="D498" t="s">
        <v>4020</v>
      </c>
      <c r="E498" s="2" t="s">
        <v>3246</v>
      </c>
      <c r="F498" t="s">
        <v>1743</v>
      </c>
      <c r="G498" t="s">
        <v>1591</v>
      </c>
      <c r="H498" t="s">
        <v>5651</v>
      </c>
      <c r="I498" t="str">
        <f t="shared" si="7"/>
        <v>update tbl_persona set apellido_paterno= 'CONDOR',apellido_materno= 'MURRUGARRA', nombre = 'ROYER MIGUEL' where dni = '48815828';</v>
      </c>
    </row>
    <row r="499" spans="1:9" x14ac:dyDescent="0.25">
      <c r="A499" t="s">
        <v>980</v>
      </c>
      <c r="B499" t="s">
        <v>2569</v>
      </c>
      <c r="C499" t="s">
        <v>2074</v>
      </c>
      <c r="D499" t="s">
        <v>4021</v>
      </c>
      <c r="E499" s="2" t="s">
        <v>2934</v>
      </c>
      <c r="F499" t="s">
        <v>1743</v>
      </c>
      <c r="H499" t="s">
        <v>5652</v>
      </c>
      <c r="I499" t="str">
        <f t="shared" si="7"/>
        <v>update tbl_persona set apellido_paterno= 'PUMAHUALCCA',apellido_materno= 'TORRES', nombre = 'NAZARIO' where dni = '73951423';</v>
      </c>
    </row>
    <row r="500" spans="1:9" x14ac:dyDescent="0.25">
      <c r="A500" t="s">
        <v>982</v>
      </c>
      <c r="B500" t="s">
        <v>2570</v>
      </c>
      <c r="C500" t="s">
        <v>2255</v>
      </c>
      <c r="D500" t="s">
        <v>4022</v>
      </c>
      <c r="E500" s="2" t="s">
        <v>3247</v>
      </c>
      <c r="F500" t="s">
        <v>1744</v>
      </c>
      <c r="H500" t="s">
        <v>5653</v>
      </c>
      <c r="I500" t="str">
        <f t="shared" si="7"/>
        <v>update tbl_persona set apellido_paterno= 'ALCANTARA',apellido_materno= 'NAVARRO', nombre = 'MIRIAM' where dni = '41626088';</v>
      </c>
    </row>
    <row r="501" spans="1:9" x14ac:dyDescent="0.25">
      <c r="A501" t="s">
        <v>984</v>
      </c>
      <c r="B501" t="s">
        <v>2541</v>
      </c>
      <c r="C501" t="s">
        <v>2571</v>
      </c>
      <c r="D501" t="s">
        <v>3831</v>
      </c>
      <c r="E501" s="2" t="s">
        <v>3248</v>
      </c>
      <c r="F501" t="s">
        <v>1743</v>
      </c>
      <c r="H501" t="s">
        <v>5654</v>
      </c>
      <c r="I501" t="str">
        <f t="shared" si="7"/>
        <v>update tbl_persona set apellido_paterno= 'COTRINA',apellido_materno= 'GAITAN', nombre = 'JOSE FRANCISCO' where dni = '74353371';</v>
      </c>
    </row>
    <row r="502" spans="1:9" x14ac:dyDescent="0.25">
      <c r="A502" t="s">
        <v>986</v>
      </c>
      <c r="B502" t="s">
        <v>2210</v>
      </c>
      <c r="C502" t="s">
        <v>2572</v>
      </c>
      <c r="D502" t="s">
        <v>4023</v>
      </c>
      <c r="E502" s="2" t="s">
        <v>3249</v>
      </c>
      <c r="F502" t="s">
        <v>1743</v>
      </c>
      <c r="H502" t="s">
        <v>5655</v>
      </c>
      <c r="I502" t="str">
        <f t="shared" si="7"/>
        <v>update tbl_persona set apellido_paterno= 'ZAMBRANO',apellido_materno= 'PAREJA', nombre = 'CLAUDIO ANDRES' where dni = '70424598';</v>
      </c>
    </row>
    <row r="503" spans="1:9" x14ac:dyDescent="0.25">
      <c r="A503" t="s">
        <v>988</v>
      </c>
      <c r="B503" t="s">
        <v>2573</v>
      </c>
      <c r="C503" t="s">
        <v>2574</v>
      </c>
      <c r="D503" t="s">
        <v>4024</v>
      </c>
      <c r="E503" s="2" t="s">
        <v>3250</v>
      </c>
      <c r="F503" t="s">
        <v>1743</v>
      </c>
      <c r="H503" t="s">
        <v>5656</v>
      </c>
      <c r="I503" t="str">
        <f t="shared" si="7"/>
        <v>update tbl_persona set apellido_paterno= 'AMARU',apellido_materno= 'MAQUERA', nombre = 'JHON DONNY' where dni = '75376042';</v>
      </c>
    </row>
    <row r="504" spans="1:9" x14ac:dyDescent="0.25">
      <c r="A504" t="s">
        <v>990</v>
      </c>
      <c r="B504" t="s">
        <v>2575</v>
      </c>
      <c r="C504" t="s">
        <v>1987</v>
      </c>
      <c r="D504" t="s">
        <v>4025</v>
      </c>
      <c r="E504" s="2" t="s">
        <v>3251</v>
      </c>
      <c r="F504" t="s">
        <v>1743</v>
      </c>
      <c r="H504" t="s">
        <v>5657</v>
      </c>
      <c r="I504" t="str">
        <f t="shared" si="7"/>
        <v>update tbl_persona set apellido_paterno= 'AMES',apellido_materno= 'GONZALES', nombre = 'JHON CLINTON' where dni = '73611035';</v>
      </c>
    </row>
    <row r="505" spans="1:9" x14ac:dyDescent="0.25">
      <c r="A505" t="s">
        <v>992</v>
      </c>
      <c r="B505" t="s">
        <v>1975</v>
      </c>
      <c r="C505" t="s">
        <v>2265</v>
      </c>
      <c r="D505" t="s">
        <v>4026</v>
      </c>
      <c r="E505" s="2" t="s">
        <v>3252</v>
      </c>
      <c r="F505" t="s">
        <v>1743</v>
      </c>
      <c r="G505" t="s">
        <v>1592</v>
      </c>
      <c r="H505" t="s">
        <v>5658</v>
      </c>
      <c r="I505" t="str">
        <f t="shared" si="7"/>
        <v>update tbl_persona set apellido_paterno= 'DIAZ',apellido_materno= 'LEON', nombre = 'JOSE ENRIQUE' where dni = '72787702';</v>
      </c>
    </row>
    <row r="506" spans="1:9" x14ac:dyDescent="0.25">
      <c r="A506" t="s">
        <v>994</v>
      </c>
      <c r="B506" t="s">
        <v>2576</v>
      </c>
      <c r="C506" t="s">
        <v>2060</v>
      </c>
      <c r="D506" t="s">
        <v>3881</v>
      </c>
      <c r="E506" s="2" t="s">
        <v>3253</v>
      </c>
      <c r="F506" t="s">
        <v>1743</v>
      </c>
      <c r="G506" t="s">
        <v>1593</v>
      </c>
      <c r="H506" t="s">
        <v>5659</v>
      </c>
      <c r="I506" t="str">
        <f t="shared" si="7"/>
        <v>update tbl_persona set apellido_paterno= 'CARRASCO',apellido_materno= 'RAMOS', nombre = 'MIGUEL ANGEL' where dni = '75356666';</v>
      </c>
    </row>
    <row r="507" spans="1:9" x14ac:dyDescent="0.25">
      <c r="A507" t="s">
        <v>996</v>
      </c>
      <c r="B507" t="s">
        <v>2577</v>
      </c>
      <c r="C507" t="s">
        <v>2578</v>
      </c>
      <c r="D507" t="s">
        <v>3761</v>
      </c>
      <c r="E507" s="2" t="s">
        <v>3254</v>
      </c>
      <c r="F507" t="s">
        <v>1743</v>
      </c>
      <c r="H507" t="s">
        <v>5660</v>
      </c>
      <c r="I507" t="str">
        <f t="shared" si="7"/>
        <v>update tbl_persona set apellido_paterno= 'MACHACUAY',apellido_materno= 'TOCTO', nombre = 'WILMER' where dni = '48272761';</v>
      </c>
    </row>
    <row r="508" spans="1:9" x14ac:dyDescent="0.25">
      <c r="A508" t="s">
        <v>998</v>
      </c>
      <c r="B508" t="s">
        <v>2579</v>
      </c>
      <c r="C508" t="s">
        <v>1962</v>
      </c>
      <c r="D508" t="s">
        <v>4027</v>
      </c>
      <c r="E508" s="2" t="s">
        <v>3255</v>
      </c>
      <c r="F508" t="s">
        <v>1743</v>
      </c>
      <c r="H508" t="s">
        <v>5661</v>
      </c>
      <c r="I508" t="str">
        <f t="shared" si="7"/>
        <v>update tbl_persona set apellido_paterno= 'PISFIL',apellido_materno= 'ESPINOZA', nombre = 'SEGUNDO TEOFILO' where dni = '43178070';</v>
      </c>
    </row>
    <row r="509" spans="1:9" x14ac:dyDescent="0.25">
      <c r="A509" t="s">
        <v>1000</v>
      </c>
      <c r="B509" t="s">
        <v>2041</v>
      </c>
      <c r="C509" t="s">
        <v>2580</v>
      </c>
      <c r="D509" t="s">
        <v>4028</v>
      </c>
      <c r="E509" s="2" t="s">
        <v>3256</v>
      </c>
      <c r="F509" t="s">
        <v>1743</v>
      </c>
      <c r="G509" t="s">
        <v>1594</v>
      </c>
      <c r="H509" t="s">
        <v>5662</v>
      </c>
      <c r="I509" t="str">
        <f t="shared" si="7"/>
        <v>update tbl_persona set apellido_paterno= 'VELASQUEZ',apellido_materno= 'CHICHIPE', nombre = 'RENZO DAVID' where dni = '73827830';</v>
      </c>
    </row>
    <row r="510" spans="1:9" x14ac:dyDescent="0.25">
      <c r="A510" t="s">
        <v>1002</v>
      </c>
      <c r="B510" t="s">
        <v>2125</v>
      </c>
      <c r="C510" t="s">
        <v>2581</v>
      </c>
      <c r="D510" t="s">
        <v>4029</v>
      </c>
      <c r="E510" s="2" t="s">
        <v>3257</v>
      </c>
      <c r="F510" t="s">
        <v>1743</v>
      </c>
      <c r="H510" t="s">
        <v>5663</v>
      </c>
      <c r="I510" t="str">
        <f t="shared" si="7"/>
        <v>update tbl_persona set apellido_paterno= 'RUIZ',apellido_materno= 'MORI', nombre = 'VICENTE ADRIAN' where dni = '75906040';</v>
      </c>
    </row>
    <row r="511" spans="1:9" x14ac:dyDescent="0.25">
      <c r="A511" t="s">
        <v>1004</v>
      </c>
      <c r="B511" t="s">
        <v>2572</v>
      </c>
      <c r="C511" t="s">
        <v>2173</v>
      </c>
      <c r="D511" t="s">
        <v>4030</v>
      </c>
      <c r="E511" s="2" t="s">
        <v>3258</v>
      </c>
      <c r="F511" t="s">
        <v>1743</v>
      </c>
      <c r="H511" t="s">
        <v>5664</v>
      </c>
      <c r="I511" t="str">
        <f t="shared" si="7"/>
        <v>update tbl_persona set apellido_paterno= 'PAREJA',apellido_materno= 'SILVA', nombre = 'CARLOS LUIS' where dni = '72521136';</v>
      </c>
    </row>
    <row r="512" spans="1:9" x14ac:dyDescent="0.25">
      <c r="A512" t="s">
        <v>1006</v>
      </c>
      <c r="B512" t="s">
        <v>2582</v>
      </c>
      <c r="C512" t="s">
        <v>2583</v>
      </c>
      <c r="D512" t="s">
        <v>4031</v>
      </c>
      <c r="E512" s="2" t="s">
        <v>3259</v>
      </c>
      <c r="F512" t="s">
        <v>1743</v>
      </c>
      <c r="H512" t="s">
        <v>5665</v>
      </c>
      <c r="I512" t="str">
        <f t="shared" si="7"/>
        <v>update tbl_persona set apellido_paterno= 'CABANILLAS',apellido_materno= 'TUCTO', nombre = 'JOSE RONALDO' where dni = '72890158';</v>
      </c>
    </row>
    <row r="513" spans="1:9" x14ac:dyDescent="0.25">
      <c r="A513" t="s">
        <v>1008</v>
      </c>
      <c r="B513" t="s">
        <v>2584</v>
      </c>
      <c r="C513" t="s">
        <v>2585</v>
      </c>
      <c r="D513" t="s">
        <v>4032</v>
      </c>
      <c r="E513" s="2" t="s">
        <v>3260</v>
      </c>
      <c r="F513" t="s">
        <v>1743</v>
      </c>
      <c r="G513" t="s">
        <v>1595</v>
      </c>
      <c r="H513" t="s">
        <v>5666</v>
      </c>
      <c r="I513" t="str">
        <f t="shared" si="7"/>
        <v>update tbl_persona set apellido_paterno= 'CUADROS',apellido_materno= 'PARRA', nombre = 'LUIS FERNANDO' where dni = '76094299';</v>
      </c>
    </row>
    <row r="514" spans="1:9" x14ac:dyDescent="0.25">
      <c r="A514" t="s">
        <v>1010</v>
      </c>
      <c r="B514" t="s">
        <v>2586</v>
      </c>
      <c r="C514" t="s">
        <v>2586</v>
      </c>
      <c r="D514" t="s">
        <v>4033</v>
      </c>
      <c r="E514" s="2" t="s">
        <v>3261</v>
      </c>
      <c r="F514" t="s">
        <v>1743</v>
      </c>
      <c r="H514" t="s">
        <v>5667</v>
      </c>
      <c r="I514" t="str">
        <f t="shared" si="7"/>
        <v>update tbl_persona set apellido_paterno= 'ARCE',apellido_materno= 'ARCE', nombre = 'ERICK HANSEL' where dni = '71422135';</v>
      </c>
    </row>
    <row r="515" spans="1:9" x14ac:dyDescent="0.25">
      <c r="A515" t="s">
        <v>1012</v>
      </c>
      <c r="B515" t="s">
        <v>2587</v>
      </c>
      <c r="C515" t="s">
        <v>2588</v>
      </c>
      <c r="D515" t="s">
        <v>4034</v>
      </c>
      <c r="E515" s="2" t="s">
        <v>3262</v>
      </c>
      <c r="F515" t="s">
        <v>1743</v>
      </c>
      <c r="H515" t="s">
        <v>5668</v>
      </c>
      <c r="I515" t="str">
        <f t="shared" ref="I515:I578" si="8">_xlfn.CONCAT("update tbl_persona set apellido_paterno= '",B515,"',apellido_materno= '",C515,"', nombre = '",D515,"' where dni = '",A515,"';")</f>
        <v>update tbl_persona set apellido_paterno= 'TABOADA',apellido_materno= 'SARAVIA', nombre = 'ONEIL DEL PIERO' where dni = '75194230';</v>
      </c>
    </row>
    <row r="516" spans="1:9" x14ac:dyDescent="0.25">
      <c r="A516" t="s">
        <v>1014</v>
      </c>
      <c r="B516" t="s">
        <v>2589</v>
      </c>
      <c r="C516" t="s">
        <v>2590</v>
      </c>
      <c r="D516" t="s">
        <v>4035</v>
      </c>
      <c r="E516" s="2" t="s">
        <v>3263</v>
      </c>
      <c r="F516" t="s">
        <v>1743</v>
      </c>
      <c r="H516" t="s">
        <v>5669</v>
      </c>
      <c r="I516" t="str">
        <f t="shared" si="8"/>
        <v>update tbl_persona set apellido_paterno= 'MORAN',apellido_materno= 'CHAMORRO', nombre = 'JOSEIN' where dni = '75624024';</v>
      </c>
    </row>
    <row r="517" spans="1:9" x14ac:dyDescent="0.25">
      <c r="A517" t="s">
        <v>1016</v>
      </c>
      <c r="B517" t="s">
        <v>2014</v>
      </c>
      <c r="C517" t="s">
        <v>2012</v>
      </c>
      <c r="D517" t="s">
        <v>4036</v>
      </c>
      <c r="E517" s="2" t="s">
        <v>3264</v>
      </c>
      <c r="F517" t="s">
        <v>1743</v>
      </c>
      <c r="H517" t="s">
        <v>5670</v>
      </c>
      <c r="I517" t="str">
        <f t="shared" si="8"/>
        <v>update tbl_persona set apellido_paterno= 'GARCIA',apellido_materno= 'GUTIERREZ', nombre = 'CARLOS' where dni = '09352258';</v>
      </c>
    </row>
    <row r="518" spans="1:9" x14ac:dyDescent="0.25">
      <c r="A518" t="s">
        <v>1018</v>
      </c>
      <c r="B518" t="s">
        <v>2353</v>
      </c>
      <c r="C518" t="s">
        <v>1981</v>
      </c>
      <c r="D518" t="s">
        <v>4037</v>
      </c>
      <c r="E518" s="2" t="s">
        <v>3265</v>
      </c>
      <c r="F518" t="s">
        <v>1744</v>
      </c>
      <c r="H518" t="s">
        <v>5671</v>
      </c>
      <c r="I518" t="str">
        <f t="shared" si="8"/>
        <v>update tbl_persona set apellido_paterno= 'BALDEON',apellido_materno= 'PACHECO', nombre = 'KELLY' where dni = '71562449';</v>
      </c>
    </row>
    <row r="519" spans="1:9" x14ac:dyDescent="0.25">
      <c r="A519" t="s">
        <v>1020</v>
      </c>
      <c r="B519" t="s">
        <v>2591</v>
      </c>
      <c r="C519" t="s">
        <v>2220</v>
      </c>
      <c r="D519" t="s">
        <v>4038</v>
      </c>
      <c r="E519" s="2" t="s">
        <v>3266</v>
      </c>
      <c r="F519" t="s">
        <v>1744</v>
      </c>
      <c r="H519" t="s">
        <v>5672</v>
      </c>
      <c r="I519" t="str">
        <f t="shared" si="8"/>
        <v>update tbl_persona set apellido_paterno= 'TIRADO',apellido_materno= 'CELIS', nombre = 'MERCI ANGEL ROSA' where dni = '75157389';</v>
      </c>
    </row>
    <row r="520" spans="1:9" x14ac:dyDescent="0.25">
      <c r="A520" t="s">
        <v>1022</v>
      </c>
      <c r="B520" t="s">
        <v>2486</v>
      </c>
      <c r="C520" t="s">
        <v>2592</v>
      </c>
      <c r="D520" t="s">
        <v>4039</v>
      </c>
      <c r="E520" s="2" t="s">
        <v>3267</v>
      </c>
      <c r="F520" t="s">
        <v>1743</v>
      </c>
      <c r="H520" t="s">
        <v>5673</v>
      </c>
      <c r="I520" t="str">
        <f t="shared" si="8"/>
        <v>update tbl_persona set apellido_paterno= 'CASTILLO',apellido_materno= 'YESQUEN', nombre = 'WILSON ALFREDO' where dni = '75786199';</v>
      </c>
    </row>
    <row r="521" spans="1:9" x14ac:dyDescent="0.25">
      <c r="A521" t="s">
        <v>1024</v>
      </c>
      <c r="B521" t="s">
        <v>2004</v>
      </c>
      <c r="C521" t="s">
        <v>2028</v>
      </c>
      <c r="D521" t="s">
        <v>4040</v>
      </c>
      <c r="E521" s="2" t="s">
        <v>3268</v>
      </c>
      <c r="F521" t="s">
        <v>1743</v>
      </c>
      <c r="H521" t="s">
        <v>5674</v>
      </c>
      <c r="I521" t="str">
        <f t="shared" si="8"/>
        <v>update tbl_persona set apellido_paterno= 'ROJAS',apellido_materno= 'RODRIGUEZ', nombre = 'IVAN FRANCISCO' where dni = '72679808';</v>
      </c>
    </row>
    <row r="522" spans="1:9" x14ac:dyDescent="0.25">
      <c r="A522" t="s">
        <v>433</v>
      </c>
      <c r="B522" t="s">
        <v>2259</v>
      </c>
      <c r="C522" t="s">
        <v>2038</v>
      </c>
      <c r="D522" t="s">
        <v>4041</v>
      </c>
      <c r="E522" s="2" t="s">
        <v>3043</v>
      </c>
      <c r="F522" t="s">
        <v>1743</v>
      </c>
      <c r="H522" t="s">
        <v>5675</v>
      </c>
      <c r="I522" t="str">
        <f t="shared" si="8"/>
        <v>update tbl_persona set apellido_paterno= 'CRUZ',apellido_materno= 'MENDOZA', nombre = 'FRANCISCO GEANNPAUL' where dni = '75457966';</v>
      </c>
    </row>
    <row r="523" spans="1:9" x14ac:dyDescent="0.25">
      <c r="A523" t="s">
        <v>1026</v>
      </c>
      <c r="B523" t="s">
        <v>1989</v>
      </c>
      <c r="C523" t="s">
        <v>2038</v>
      </c>
      <c r="D523" t="s">
        <v>4042</v>
      </c>
      <c r="E523" s="2" t="s">
        <v>3270</v>
      </c>
      <c r="F523" t="s">
        <v>1743</v>
      </c>
      <c r="H523" t="s">
        <v>5676</v>
      </c>
      <c r="I523" t="str">
        <f t="shared" si="8"/>
        <v>update tbl_persona set apellido_paterno= 'PALOMINO',apellido_materno= 'MENDOZA', nombre = 'DIEGO THOMAS' where dni = '74399395';</v>
      </c>
    </row>
    <row r="524" spans="1:9" x14ac:dyDescent="0.25">
      <c r="A524" t="s">
        <v>1028</v>
      </c>
      <c r="B524" t="s">
        <v>2593</v>
      </c>
      <c r="C524" t="s">
        <v>2594</v>
      </c>
      <c r="D524" t="s">
        <v>4043</v>
      </c>
      <c r="E524" s="2" t="s">
        <v>3271</v>
      </c>
      <c r="F524" t="s">
        <v>1743</v>
      </c>
      <c r="H524" t="s">
        <v>5677</v>
      </c>
      <c r="I524" t="str">
        <f t="shared" si="8"/>
        <v>update tbl_persona set apellido_paterno= 'TURPO',apellido_materno= 'TAYPE', nombre = 'OMAR ALFREDO' where dni = '74916186';</v>
      </c>
    </row>
    <row r="525" spans="1:9" x14ac:dyDescent="0.25">
      <c r="A525" t="s">
        <v>1032</v>
      </c>
      <c r="B525" t="s">
        <v>2259</v>
      </c>
      <c r="C525" t="s">
        <v>2142</v>
      </c>
      <c r="D525" t="s">
        <v>4044</v>
      </c>
      <c r="E525" s="2" t="s">
        <v>3273</v>
      </c>
      <c r="F525" t="s">
        <v>1743</v>
      </c>
      <c r="H525" t="s">
        <v>5678</v>
      </c>
      <c r="I525" t="str">
        <f t="shared" si="8"/>
        <v>update tbl_persona set apellido_paterno= 'CRUZ',apellido_materno= 'VARAS', nombre = 'IVAN JAVIER' where dni = '70223136';</v>
      </c>
    </row>
    <row r="526" spans="1:9" x14ac:dyDescent="0.25">
      <c r="A526" t="s">
        <v>1034</v>
      </c>
      <c r="B526" t="s">
        <v>2004</v>
      </c>
      <c r="C526" t="s">
        <v>1993</v>
      </c>
      <c r="D526" t="s">
        <v>4045</v>
      </c>
      <c r="E526" s="2" t="s">
        <v>3274</v>
      </c>
      <c r="F526" t="s">
        <v>1743</v>
      </c>
      <c r="H526" t="s">
        <v>5679</v>
      </c>
      <c r="I526" t="str">
        <f t="shared" si="8"/>
        <v>update tbl_persona set apellido_paterno= 'ROJAS',apellido_materno= 'AGUILAR', nombre = 'SAMUEL LEONARDO' where dni = '72713189';</v>
      </c>
    </row>
    <row r="527" spans="1:9" x14ac:dyDescent="0.25">
      <c r="A527" t="s">
        <v>1036</v>
      </c>
      <c r="B527" t="s">
        <v>2597</v>
      </c>
      <c r="C527" t="s">
        <v>2442</v>
      </c>
      <c r="D527" t="s">
        <v>3831</v>
      </c>
      <c r="E527" s="2" t="s">
        <v>3275</v>
      </c>
      <c r="F527" t="s">
        <v>1743</v>
      </c>
      <c r="H527" t="s">
        <v>5680</v>
      </c>
      <c r="I527" t="str">
        <f t="shared" si="8"/>
        <v>update tbl_persona set apellido_paterno= 'TUDELANO',apellido_materno= 'ZUÑIGA', nombre = 'JOSE FRANCISCO' where dni = '77379199';</v>
      </c>
    </row>
    <row r="528" spans="1:9" x14ac:dyDescent="0.25">
      <c r="A528" t="s">
        <v>1038</v>
      </c>
      <c r="B528" t="s">
        <v>2272</v>
      </c>
      <c r="C528" t="s">
        <v>2598</v>
      </c>
      <c r="D528" t="s">
        <v>4046</v>
      </c>
      <c r="E528" s="2" t="s">
        <v>3276</v>
      </c>
      <c r="F528" t="s">
        <v>1743</v>
      </c>
      <c r="H528" t="s">
        <v>5681</v>
      </c>
      <c r="I528" t="str">
        <f t="shared" si="8"/>
        <v>update tbl_persona set apellido_paterno= 'ZEVALLOS',apellido_materno= 'ROQUE', nombre = 'ONESIMO NEHEMIAS' where dni = '46175611';</v>
      </c>
    </row>
    <row r="529" spans="1:9" x14ac:dyDescent="0.25">
      <c r="A529" t="s">
        <v>1040</v>
      </c>
      <c r="B529" t="s">
        <v>2599</v>
      </c>
      <c r="C529" t="s">
        <v>2074</v>
      </c>
      <c r="D529" t="s">
        <v>4047</v>
      </c>
      <c r="E529" s="2" t="s">
        <v>3277</v>
      </c>
      <c r="F529" t="s">
        <v>1743</v>
      </c>
      <c r="G529" t="s">
        <v>1597</v>
      </c>
      <c r="H529" t="s">
        <v>5682</v>
      </c>
      <c r="I529" t="str">
        <f t="shared" si="8"/>
        <v>update tbl_persona set apellido_paterno= 'MESTANZA',apellido_materno= 'TORRES', nombre = 'CESÁR AUGUSTO' where dni = '40597264';</v>
      </c>
    </row>
    <row r="530" spans="1:9" x14ac:dyDescent="0.25">
      <c r="A530" t="s">
        <v>1042</v>
      </c>
      <c r="B530" t="s">
        <v>2600</v>
      </c>
      <c r="C530" t="s">
        <v>2601</v>
      </c>
      <c r="D530" t="s">
        <v>4048</v>
      </c>
      <c r="E530" s="2" t="s">
        <v>3278</v>
      </c>
      <c r="F530" t="s">
        <v>1743</v>
      </c>
      <c r="H530" t="s">
        <v>5683</v>
      </c>
      <c r="I530" t="str">
        <f t="shared" si="8"/>
        <v>update tbl_persona set apellido_paterno= 'KUTUCALLA',apellido_materno= 'AUCCA', nombre = 'ROLANDO' where dni = '73241393';</v>
      </c>
    </row>
    <row r="531" spans="1:9" x14ac:dyDescent="0.25">
      <c r="A531" t="s">
        <v>1044</v>
      </c>
      <c r="B531" t="s">
        <v>2602</v>
      </c>
      <c r="C531" t="s">
        <v>2486</v>
      </c>
      <c r="D531" t="s">
        <v>4049</v>
      </c>
      <c r="E531" s="2" t="s">
        <v>3279</v>
      </c>
      <c r="F531" t="s">
        <v>1743</v>
      </c>
      <c r="H531" t="s">
        <v>5684</v>
      </c>
      <c r="I531" t="str">
        <f t="shared" si="8"/>
        <v>update tbl_persona set apellido_paterno= 'CAMIZÁN',apellido_materno= 'CASTILLO', nombre = 'ISRAEL ALEJANDRO' where dni = '76394474';</v>
      </c>
    </row>
    <row r="532" spans="1:9" x14ac:dyDescent="0.25">
      <c r="A532" t="s">
        <v>1046</v>
      </c>
      <c r="B532" t="s">
        <v>2587</v>
      </c>
      <c r="C532" t="s">
        <v>1989</v>
      </c>
      <c r="D532" t="s">
        <v>4050</v>
      </c>
      <c r="E532" s="2" t="s">
        <v>3280</v>
      </c>
      <c r="F532" t="s">
        <v>1743</v>
      </c>
      <c r="H532" t="s">
        <v>5685</v>
      </c>
      <c r="I532" t="str">
        <f t="shared" si="8"/>
        <v>update tbl_persona set apellido_paterno= 'TABOADA',apellido_materno= 'PALOMINO', nombre = 'ANGIELO DE JESUS' where dni = '46990198';</v>
      </c>
    </row>
    <row r="533" spans="1:9" x14ac:dyDescent="0.25">
      <c r="A533" t="s">
        <v>1048</v>
      </c>
      <c r="B533" t="s">
        <v>2603</v>
      </c>
      <c r="C533" t="s">
        <v>2604</v>
      </c>
      <c r="D533" t="s">
        <v>3640</v>
      </c>
      <c r="E533" s="2" t="s">
        <v>3281</v>
      </c>
      <c r="F533" t="s">
        <v>1743</v>
      </c>
      <c r="H533" t="s">
        <v>5686</v>
      </c>
      <c r="I533" t="str">
        <f t="shared" si="8"/>
        <v>update tbl_persona set apellido_paterno= 'CURITIMA',apellido_materno= 'TINOCO', nombre = 'CARLOS ALBERTO' where dni = '71852973';</v>
      </c>
    </row>
    <row r="534" spans="1:9" x14ac:dyDescent="0.25">
      <c r="A534" t="s">
        <v>1050</v>
      </c>
      <c r="B534" t="s">
        <v>1996</v>
      </c>
      <c r="C534" t="s">
        <v>2299</v>
      </c>
      <c r="D534" t="s">
        <v>4051</v>
      </c>
      <c r="E534" s="2" t="s">
        <v>3282</v>
      </c>
      <c r="F534" t="s">
        <v>1743</v>
      </c>
      <c r="H534" t="s">
        <v>5687</v>
      </c>
      <c r="I534" t="str">
        <f t="shared" si="8"/>
        <v>update tbl_persona set apellido_paterno= 'HORNA',apellido_materno= 'BENITES', nombre = 'VARI' where dni = '44776015';</v>
      </c>
    </row>
    <row r="535" spans="1:9" x14ac:dyDescent="0.25">
      <c r="A535" t="s">
        <v>1052</v>
      </c>
      <c r="B535" t="s">
        <v>2134</v>
      </c>
      <c r="C535" t="s">
        <v>2558</v>
      </c>
      <c r="D535" t="s">
        <v>4052</v>
      </c>
      <c r="E535" s="2" t="s">
        <v>3283</v>
      </c>
      <c r="F535" t="s">
        <v>1743</v>
      </c>
      <c r="H535" t="s">
        <v>5688</v>
      </c>
      <c r="I535" t="str">
        <f t="shared" si="8"/>
        <v>update tbl_persona set apellido_paterno= 'ZAPATA',apellido_materno= 'ROSALES', nombre = 'LUIS ANGEL DEL CARMEN' where dni = '72210650';</v>
      </c>
    </row>
    <row r="536" spans="1:9" x14ac:dyDescent="0.25">
      <c r="A536" t="s">
        <v>1054</v>
      </c>
      <c r="B536" t="s">
        <v>2605</v>
      </c>
      <c r="C536" t="s">
        <v>2606</v>
      </c>
      <c r="D536" t="s">
        <v>4053</v>
      </c>
      <c r="E536" s="2" t="s">
        <v>3284</v>
      </c>
      <c r="F536" t="s">
        <v>1743</v>
      </c>
      <c r="H536" t="s">
        <v>5689</v>
      </c>
      <c r="I536" t="str">
        <f t="shared" si="8"/>
        <v>update tbl_persona set apellido_paterno= 'HUILLCARIMAY',apellido_materno= 'MAQUE', nombre = 'ELMER' where dni = '48087431';</v>
      </c>
    </row>
    <row r="537" spans="1:9" x14ac:dyDescent="0.25">
      <c r="A537" t="s">
        <v>1056</v>
      </c>
      <c r="B537" t="s">
        <v>2430</v>
      </c>
      <c r="C537" t="s">
        <v>2607</v>
      </c>
      <c r="D537" t="s">
        <v>4054</v>
      </c>
      <c r="E537" s="2" t="s">
        <v>3285</v>
      </c>
      <c r="F537" t="s">
        <v>1743</v>
      </c>
      <c r="H537" t="s">
        <v>5690</v>
      </c>
      <c r="I537" t="str">
        <f t="shared" si="8"/>
        <v>update tbl_persona set apellido_paterno= 'PONCE',apellido_materno= 'PORRAS', nombre = 'ROBERTH' where dni = '44588683';</v>
      </c>
    </row>
    <row r="538" spans="1:9" x14ac:dyDescent="0.25">
      <c r="A538" t="s">
        <v>1058</v>
      </c>
      <c r="B538" t="s">
        <v>2389</v>
      </c>
      <c r="C538" t="s">
        <v>2552</v>
      </c>
      <c r="D538" t="s">
        <v>3897</v>
      </c>
      <c r="E538" s="2" t="s">
        <v>3286</v>
      </c>
      <c r="F538" t="s">
        <v>1743</v>
      </c>
      <c r="H538" t="s">
        <v>5691</v>
      </c>
      <c r="I538" t="str">
        <f t="shared" si="8"/>
        <v>update tbl_persona set apellido_paterno= 'BERNAL',apellido_materno= 'MANRIQUE', nombre = 'MANUEL' where dni = '01132879';</v>
      </c>
    </row>
    <row r="539" spans="1:9" x14ac:dyDescent="0.25">
      <c r="A539" t="s">
        <v>1060</v>
      </c>
      <c r="B539" t="s">
        <v>2608</v>
      </c>
      <c r="C539" t="s">
        <v>2609</v>
      </c>
      <c r="D539" t="s">
        <v>4055</v>
      </c>
      <c r="E539" s="2" t="s">
        <v>3287</v>
      </c>
      <c r="F539" t="s">
        <v>1743</v>
      </c>
      <c r="H539" t="s">
        <v>5692</v>
      </c>
      <c r="I539" t="str">
        <f t="shared" si="8"/>
        <v>update tbl_persona set apellido_paterno= 'CHICLLA',apellido_materno= 'ABARCA', nombre = 'OSCAR POOL' where dni = '75416965';</v>
      </c>
    </row>
    <row r="540" spans="1:9" x14ac:dyDescent="0.25">
      <c r="A540" t="s">
        <v>1062</v>
      </c>
      <c r="B540" t="s">
        <v>2610</v>
      </c>
      <c r="C540" t="s">
        <v>2611</v>
      </c>
      <c r="D540" t="s">
        <v>4056</v>
      </c>
      <c r="E540" s="2" t="s">
        <v>3288</v>
      </c>
      <c r="F540" t="s">
        <v>1743</v>
      </c>
      <c r="H540" t="s">
        <v>5693</v>
      </c>
      <c r="I540" t="str">
        <f t="shared" si="8"/>
        <v>update tbl_persona set apellido_paterno= 'GANVINE',apellido_materno= 'ELIAS', nombre = 'ERNESTO ALONSO' where dni = '45985777';</v>
      </c>
    </row>
    <row r="541" spans="1:9" x14ac:dyDescent="0.25">
      <c r="A541" t="s">
        <v>1064</v>
      </c>
      <c r="B541" t="s">
        <v>2612</v>
      </c>
      <c r="C541" t="s">
        <v>2613</v>
      </c>
      <c r="D541" t="s">
        <v>4057</v>
      </c>
      <c r="E541" s="2" t="s">
        <v>3289</v>
      </c>
      <c r="F541" t="s">
        <v>1744</v>
      </c>
      <c r="H541" t="s">
        <v>5694</v>
      </c>
      <c r="I541" t="str">
        <f t="shared" si="8"/>
        <v>update tbl_persona set apellido_paterno= 'CONGA',apellido_materno= 'CUICAPUZA', nombre = 'JHANDERI KEYLI' where dni = '75014226';</v>
      </c>
    </row>
    <row r="542" spans="1:9" x14ac:dyDescent="0.25">
      <c r="A542" t="s">
        <v>1066</v>
      </c>
      <c r="B542" t="s">
        <v>2614</v>
      </c>
      <c r="C542" t="s">
        <v>2615</v>
      </c>
      <c r="D542" t="s">
        <v>4058</v>
      </c>
      <c r="E542" s="2" t="s">
        <v>3290</v>
      </c>
      <c r="F542" t="s">
        <v>1743</v>
      </c>
      <c r="H542" t="s">
        <v>5695</v>
      </c>
      <c r="I542" t="str">
        <f t="shared" si="8"/>
        <v>update tbl_persona set apellido_paterno= 'DÁVILA',apellido_materno= 'CHIGUALA', nombre = 'ROLLING ANDREI' where dni = '76324526';</v>
      </c>
    </row>
    <row r="543" spans="1:9" x14ac:dyDescent="0.25">
      <c r="A543" t="s">
        <v>466</v>
      </c>
      <c r="B543" t="s">
        <v>2156</v>
      </c>
      <c r="C543" t="s">
        <v>2153</v>
      </c>
      <c r="D543" t="s">
        <v>4059</v>
      </c>
      <c r="E543" s="2" t="s">
        <v>3002</v>
      </c>
      <c r="F543" t="s">
        <v>1743</v>
      </c>
      <c r="H543" t="s">
        <v>5696</v>
      </c>
      <c r="I543" t="str">
        <f t="shared" si="8"/>
        <v>update tbl_persona set apellido_paterno= 'POMAYA',apellido_materno= 'PEÑALOZA', nombre = 'ALEJANDRO JESUS' where dni = '75723787';</v>
      </c>
    </row>
    <row r="544" spans="1:9" x14ac:dyDescent="0.25">
      <c r="A544" t="s">
        <v>1069</v>
      </c>
      <c r="B544" t="s">
        <v>2340</v>
      </c>
      <c r="C544" t="s">
        <v>1973</v>
      </c>
      <c r="D544" t="s">
        <v>4060</v>
      </c>
      <c r="E544" s="2" t="s">
        <v>3291</v>
      </c>
      <c r="F544" t="s">
        <v>1743</v>
      </c>
      <c r="H544" t="s">
        <v>5697</v>
      </c>
      <c r="I544" t="str">
        <f t="shared" si="8"/>
        <v>update tbl_persona set apellido_paterno= 'CORDOVA',apellido_materno= 'LOPEZ', nombre = 'ABIMEL' where dni = '75780201';</v>
      </c>
    </row>
    <row r="545" spans="1:9" x14ac:dyDescent="0.25">
      <c r="A545" t="s">
        <v>1071</v>
      </c>
      <c r="B545" t="s">
        <v>1969</v>
      </c>
      <c r="C545" t="s">
        <v>1969</v>
      </c>
      <c r="D545" t="s">
        <v>4061</v>
      </c>
      <c r="E545" s="2" t="s">
        <v>3292</v>
      </c>
      <c r="F545" t="s">
        <v>1743</v>
      </c>
      <c r="H545" t="s">
        <v>5698</v>
      </c>
      <c r="I545" t="str">
        <f t="shared" si="8"/>
        <v>update tbl_persona set apellido_paterno= 'QUISPE',apellido_materno= 'QUISPE', nombre = 'WILBER FERNANDO' where dni = '76281026';</v>
      </c>
    </row>
    <row r="546" spans="1:9" x14ac:dyDescent="0.25">
      <c r="A546" t="s">
        <v>1073</v>
      </c>
      <c r="B546" t="s">
        <v>2616</v>
      </c>
      <c r="C546" t="s">
        <v>2617</v>
      </c>
      <c r="D546" t="s">
        <v>4062</v>
      </c>
      <c r="E546" s="2" t="s">
        <v>3293</v>
      </c>
      <c r="F546" t="s">
        <v>1743</v>
      </c>
      <c r="G546" t="s">
        <v>1600</v>
      </c>
      <c r="H546" t="s">
        <v>5699</v>
      </c>
      <c r="I546" t="str">
        <f t="shared" si="8"/>
        <v>update tbl_persona set apellido_paterno= 'GONZALEZ',apellido_materno= 'ANTEZANA', nombre = 'ELMER JUAN' where dni = '45138057';</v>
      </c>
    </row>
    <row r="547" spans="1:9" x14ac:dyDescent="0.25">
      <c r="A547" t="s">
        <v>1075</v>
      </c>
      <c r="B547" t="s">
        <v>2048</v>
      </c>
      <c r="C547" t="s">
        <v>2014</v>
      </c>
      <c r="D547" t="s">
        <v>4063</v>
      </c>
      <c r="E547" s="2" t="s">
        <v>3294</v>
      </c>
      <c r="F547" t="s">
        <v>1743</v>
      </c>
      <c r="H547" t="s">
        <v>5700</v>
      </c>
      <c r="I547" t="str">
        <f t="shared" si="8"/>
        <v>update tbl_persona set apellido_paterno= 'VILLANUEVA',apellido_materno= 'GARCIA', nombre = 'MARLINDO FELICISIMO' where dni = '73545571';</v>
      </c>
    </row>
    <row r="548" spans="1:9" x14ac:dyDescent="0.25">
      <c r="A548" t="s">
        <v>1077</v>
      </c>
      <c r="B548" t="s">
        <v>2618</v>
      </c>
      <c r="C548" t="s">
        <v>2101</v>
      </c>
      <c r="D548" t="s">
        <v>3975</v>
      </c>
      <c r="E548" s="2" t="s">
        <v>3295</v>
      </c>
      <c r="F548" t="s">
        <v>1743</v>
      </c>
      <c r="H548" t="s">
        <v>5701</v>
      </c>
      <c r="I548" t="str">
        <f t="shared" si="8"/>
        <v>update tbl_persona set apellido_paterno= 'BUENDÍA',apellido_materno= 'PEREZ', nombre = 'LUIS ENRIQUE' where dni = '74933703';</v>
      </c>
    </row>
    <row r="549" spans="1:9" x14ac:dyDescent="0.25">
      <c r="A549" t="s">
        <v>1079</v>
      </c>
      <c r="B549" t="s">
        <v>2619</v>
      </c>
      <c r="C549" t="s">
        <v>2310</v>
      </c>
      <c r="D549" t="s">
        <v>4064</v>
      </c>
      <c r="E549" s="2" t="s">
        <v>3296</v>
      </c>
      <c r="F549" t="s">
        <v>1743</v>
      </c>
      <c r="H549" t="s">
        <v>5702</v>
      </c>
      <c r="I549" t="str">
        <f t="shared" si="8"/>
        <v>update tbl_persona set apellido_paterno= 'MAURI',apellido_materno= 'GUERRERO', nombre = 'TOMAS IVAN' where dni = '47131869';</v>
      </c>
    </row>
    <row r="550" spans="1:9" x14ac:dyDescent="0.25">
      <c r="A550" t="s">
        <v>1081</v>
      </c>
      <c r="B550" t="s">
        <v>2028</v>
      </c>
      <c r="C550" t="s">
        <v>2134</v>
      </c>
      <c r="D550" t="s">
        <v>4065</v>
      </c>
      <c r="E550" s="2" t="s">
        <v>3297</v>
      </c>
      <c r="F550" t="s">
        <v>1743</v>
      </c>
      <c r="H550" t="s">
        <v>5703</v>
      </c>
      <c r="I550" t="str">
        <f t="shared" si="8"/>
        <v>update tbl_persona set apellido_paterno= 'RODRIGUEZ',apellido_materno= 'ZAPATA', nombre = 'YOSHUA ALEXANDER' where dni = '46540933';</v>
      </c>
    </row>
    <row r="551" spans="1:9" x14ac:dyDescent="0.25">
      <c r="A551" t="s">
        <v>1083</v>
      </c>
      <c r="B551" t="s">
        <v>2085</v>
      </c>
      <c r="C551" t="s">
        <v>2620</v>
      </c>
      <c r="D551" t="s">
        <v>4066</v>
      </c>
      <c r="E551" s="2" t="s">
        <v>3298</v>
      </c>
      <c r="F551" t="s">
        <v>1743</v>
      </c>
      <c r="H551" t="s">
        <v>5704</v>
      </c>
      <c r="I551" t="str">
        <f t="shared" si="8"/>
        <v>update tbl_persona set apellido_paterno= 'PAREDES',apellido_materno= 'URIARTE', nombre = 'YORDAN SAMIR' where dni = '76458055';</v>
      </c>
    </row>
    <row r="552" spans="1:9" x14ac:dyDescent="0.25">
      <c r="A552" t="s">
        <v>1085</v>
      </c>
      <c r="B552" t="s">
        <v>2094</v>
      </c>
      <c r="C552" t="s">
        <v>2621</v>
      </c>
      <c r="D552" t="s">
        <v>4067</v>
      </c>
      <c r="E552" s="2" t="s">
        <v>3268</v>
      </c>
      <c r="F552" t="s">
        <v>1743</v>
      </c>
      <c r="G552" t="s">
        <v>1601</v>
      </c>
      <c r="H552" t="s">
        <v>5705</v>
      </c>
      <c r="I552" t="str">
        <f t="shared" si="8"/>
        <v>update tbl_persona set apellido_paterno= 'PINO',apellido_materno= 'ESPINAL', nombre = 'BRAAM ALEXANDER' where dni = '72444272';</v>
      </c>
    </row>
    <row r="553" spans="1:9" x14ac:dyDescent="0.25">
      <c r="A553" t="s">
        <v>1087</v>
      </c>
      <c r="B553" t="s">
        <v>2622</v>
      </c>
      <c r="C553" t="s">
        <v>2623</v>
      </c>
      <c r="D553" t="s">
        <v>4068</v>
      </c>
      <c r="E553" s="2" t="s">
        <v>3299</v>
      </c>
      <c r="F553" t="s">
        <v>1743</v>
      </c>
      <c r="H553" t="s">
        <v>5706</v>
      </c>
      <c r="I553" t="str">
        <f t="shared" si="8"/>
        <v>update tbl_persona set apellido_paterno= 'ORCCOTOMA',apellido_materno= 'MEJÍA', nombre = 'ALVARO NEICER' where dni = '75371915';</v>
      </c>
    </row>
    <row r="554" spans="1:9" x14ac:dyDescent="0.25">
      <c r="A554" t="s">
        <v>1089</v>
      </c>
      <c r="B554" t="s">
        <v>2624</v>
      </c>
      <c r="C554" t="s">
        <v>2625</v>
      </c>
      <c r="D554" t="s">
        <v>4069</v>
      </c>
      <c r="E554" s="2" t="s">
        <v>3300</v>
      </c>
      <c r="F554" t="s">
        <v>1743</v>
      </c>
      <c r="G554" t="s">
        <v>1602</v>
      </c>
      <c r="H554" t="s">
        <v>5707</v>
      </c>
      <c r="I554" t="str">
        <f t="shared" si="8"/>
        <v>update tbl_persona set apellido_paterno= 'MAYTA',apellido_materno= 'GASPAR', nombre = 'WILMER JAVIER' where dni = '71968683';</v>
      </c>
    </row>
    <row r="555" spans="1:9" x14ac:dyDescent="0.25">
      <c r="A555" t="s">
        <v>1091</v>
      </c>
      <c r="B555" t="s">
        <v>2626</v>
      </c>
      <c r="C555" t="s">
        <v>2486</v>
      </c>
      <c r="D555" t="s">
        <v>4070</v>
      </c>
      <c r="E555" s="2" t="s">
        <v>3301</v>
      </c>
      <c r="F555" t="s">
        <v>1743</v>
      </c>
      <c r="H555" t="s">
        <v>5708</v>
      </c>
      <c r="I555" t="str">
        <f t="shared" si="8"/>
        <v>update tbl_persona set apellido_paterno= 'ARCA',apellido_materno= 'CASTILLO', nombre = 'JUAN ALEJANDRO' where dni = '40449816';</v>
      </c>
    </row>
    <row r="556" spans="1:9" x14ac:dyDescent="0.25">
      <c r="A556" t="s">
        <v>1093</v>
      </c>
      <c r="B556" t="s">
        <v>1969</v>
      </c>
      <c r="C556" t="s">
        <v>2627</v>
      </c>
      <c r="D556" t="s">
        <v>4071</v>
      </c>
      <c r="E556" s="2" t="s">
        <v>3302</v>
      </c>
      <c r="F556" t="s">
        <v>1743</v>
      </c>
      <c r="H556" t="s">
        <v>5709</v>
      </c>
      <c r="I556" t="str">
        <f t="shared" si="8"/>
        <v>update tbl_persona set apellido_paterno= 'QUISPE',apellido_materno= 'LOZANO', nombre = 'RAUL SAMMER' where dni = '72573580';</v>
      </c>
    </row>
    <row r="557" spans="1:9" x14ac:dyDescent="0.25">
      <c r="A557" t="s">
        <v>1095</v>
      </c>
      <c r="B557" t="s">
        <v>2521</v>
      </c>
      <c r="C557" t="s">
        <v>2183</v>
      </c>
      <c r="D557" t="s">
        <v>4072</v>
      </c>
      <c r="E557" s="2" t="s">
        <v>3303</v>
      </c>
      <c r="F557" t="s">
        <v>1744</v>
      </c>
      <c r="H557" t="s">
        <v>5710</v>
      </c>
      <c r="I557" t="str">
        <f t="shared" si="8"/>
        <v>update tbl_persona set apellido_paterno= 'MALDONADO',apellido_materno= 'BARJA', nombre = 'NICOL STEFANY' where dni = '76298366';</v>
      </c>
    </row>
    <row r="558" spans="1:9" x14ac:dyDescent="0.25">
      <c r="A558" t="s">
        <v>1097</v>
      </c>
      <c r="B558" t="s">
        <v>2071</v>
      </c>
      <c r="C558" t="s">
        <v>2411</v>
      </c>
      <c r="D558" t="s">
        <v>4073</v>
      </c>
      <c r="E558" s="2" t="s">
        <v>3304</v>
      </c>
      <c r="F558" t="s">
        <v>1743</v>
      </c>
      <c r="H558" t="s">
        <v>5711</v>
      </c>
      <c r="I558" t="str">
        <f t="shared" si="8"/>
        <v>update tbl_persona set apellido_paterno= 'ALVARADO',apellido_materno= 'CHUQUIPOMA', nombre = 'O'BRIAN DONOVAN' where dni = '46829935';</v>
      </c>
    </row>
    <row r="559" spans="1:9" x14ac:dyDescent="0.25">
      <c r="A559" t="s">
        <v>1099</v>
      </c>
      <c r="B559" t="s">
        <v>2628</v>
      </c>
      <c r="C559" t="s">
        <v>2629</v>
      </c>
      <c r="D559" t="s">
        <v>4074</v>
      </c>
      <c r="E559" s="2" t="s">
        <v>3263</v>
      </c>
      <c r="F559" t="s">
        <v>1743</v>
      </c>
      <c r="H559" t="s">
        <v>5712</v>
      </c>
      <c r="I559" t="str">
        <f t="shared" si="8"/>
        <v>update tbl_persona set apellido_paterno= 'QUINTANA',apellido_materno= 'LORENZO', nombre = 'ALFREDO GONZALO' where dni = '72439744';</v>
      </c>
    </row>
    <row r="560" spans="1:9" x14ac:dyDescent="0.25">
      <c r="A560" t="s">
        <v>1101</v>
      </c>
      <c r="B560" t="s">
        <v>2630</v>
      </c>
      <c r="C560" t="s">
        <v>2631</v>
      </c>
      <c r="D560" t="s">
        <v>4075</v>
      </c>
      <c r="E560" s="2" t="s">
        <v>3305</v>
      </c>
      <c r="F560" t="s">
        <v>1743</v>
      </c>
      <c r="H560" t="s">
        <v>5713</v>
      </c>
      <c r="I560" t="str">
        <f t="shared" si="8"/>
        <v>update tbl_persona set apellido_paterno= 'PARDO',apellido_materno= 'INFANTE', nombre = 'JOHNNY MARTIN' where dni = '03504701';</v>
      </c>
    </row>
    <row r="561" spans="1:9" x14ac:dyDescent="0.25">
      <c r="A561" t="s">
        <v>1103</v>
      </c>
      <c r="B561" t="s">
        <v>2632</v>
      </c>
      <c r="C561" t="s">
        <v>2633</v>
      </c>
      <c r="D561" t="s">
        <v>4076</v>
      </c>
      <c r="E561" s="2" t="s">
        <v>3306</v>
      </c>
      <c r="F561" t="s">
        <v>1743</v>
      </c>
      <c r="H561" t="s">
        <v>5714</v>
      </c>
      <c r="I561" t="str">
        <f t="shared" si="8"/>
        <v>update tbl_persona set apellido_paterno= 'IZAGUIRRE',apellido_materno= 'BENDEZU', nombre = 'PABLO BENJAMIN' where dni = '75851927';</v>
      </c>
    </row>
    <row r="562" spans="1:9" x14ac:dyDescent="0.25">
      <c r="A562" t="s">
        <v>1105</v>
      </c>
      <c r="B562" t="s">
        <v>2007</v>
      </c>
      <c r="C562" t="s">
        <v>2634</v>
      </c>
      <c r="D562" t="s">
        <v>4077</v>
      </c>
      <c r="E562" s="2" t="s">
        <v>3307</v>
      </c>
      <c r="F562" t="s">
        <v>1743</v>
      </c>
      <c r="H562" t="s">
        <v>5715</v>
      </c>
      <c r="I562" t="str">
        <f t="shared" si="8"/>
        <v>update tbl_persona set apellido_paterno= 'SUAREZ',apellido_materno= 'MURILLO', nombre = 'JAIRO LENNYN' where dni = '72623787';</v>
      </c>
    </row>
    <row r="563" spans="1:9" x14ac:dyDescent="0.25">
      <c r="A563" t="s">
        <v>1107</v>
      </c>
      <c r="B563" t="s">
        <v>2635</v>
      </c>
      <c r="C563" t="s">
        <v>2636</v>
      </c>
      <c r="D563" t="s">
        <v>3629</v>
      </c>
      <c r="E563" s="2" t="s">
        <v>3308</v>
      </c>
      <c r="F563" t="s">
        <v>1743</v>
      </c>
      <c r="H563" t="s">
        <v>5716</v>
      </c>
      <c r="I563" t="str">
        <f t="shared" si="8"/>
        <v>update tbl_persona set apellido_paterno= 'YPANAQUE',apellido_materno= 'DIOSES', nombre = 'JUAN CARLOS' where dni = '03691915';</v>
      </c>
    </row>
    <row r="564" spans="1:9" x14ac:dyDescent="0.25">
      <c r="A564" t="s">
        <v>1109</v>
      </c>
      <c r="B564" t="s">
        <v>2204</v>
      </c>
      <c r="C564" t="s">
        <v>2637</v>
      </c>
      <c r="D564" t="s">
        <v>4078</v>
      </c>
      <c r="E564" s="2" t="s">
        <v>3309</v>
      </c>
      <c r="F564" t="s">
        <v>1743</v>
      </c>
      <c r="H564" t="s">
        <v>5717</v>
      </c>
      <c r="I564" t="str">
        <f t="shared" si="8"/>
        <v>update tbl_persona set apellido_paterno= 'MOGOLLON',apellido_materno= 'RONDOY', nombre = 'EDDY XAVIER' where dni = '70059143';</v>
      </c>
    </row>
    <row r="565" spans="1:9" x14ac:dyDescent="0.25">
      <c r="A565" t="s">
        <v>1111</v>
      </c>
      <c r="B565" t="s">
        <v>2074</v>
      </c>
      <c r="C565" t="s">
        <v>2342</v>
      </c>
      <c r="D565" t="s">
        <v>3619</v>
      </c>
      <c r="E565" s="2" t="s">
        <v>3310</v>
      </c>
      <c r="F565" t="s">
        <v>1743</v>
      </c>
      <c r="H565" t="s">
        <v>5718</v>
      </c>
      <c r="I565" t="str">
        <f t="shared" si="8"/>
        <v>update tbl_persona set apellido_paterno= 'TORRES',apellido_materno= 'DE LA CRUZ', nombre = 'VLADIMIR' where dni = '71283419';</v>
      </c>
    </row>
    <row r="566" spans="1:9" x14ac:dyDescent="0.25">
      <c r="A566" t="s">
        <v>1113</v>
      </c>
      <c r="B566" t="s">
        <v>2638</v>
      </c>
      <c r="C566" t="s">
        <v>2502</v>
      </c>
      <c r="D566" t="s">
        <v>4079</v>
      </c>
      <c r="E566" s="2" t="s">
        <v>3311</v>
      </c>
      <c r="F566" t="s">
        <v>1743</v>
      </c>
      <c r="H566" t="s">
        <v>5719</v>
      </c>
      <c r="I566" t="str">
        <f t="shared" si="8"/>
        <v>update tbl_persona set apellido_paterno= 'CHIPANI',apellido_materno= 'VALENCIA', nombre = 'NICOLAS ALONSO' where dni = '76024497';</v>
      </c>
    </row>
    <row r="567" spans="1:9" x14ac:dyDescent="0.25">
      <c r="A567" t="s">
        <v>1115</v>
      </c>
      <c r="B567" t="s">
        <v>2259</v>
      </c>
      <c r="C567" t="s">
        <v>2639</v>
      </c>
      <c r="D567" t="s">
        <v>4080</v>
      </c>
      <c r="E567" s="2" t="s">
        <v>3312</v>
      </c>
      <c r="F567" t="s">
        <v>1743</v>
      </c>
      <c r="H567" t="s">
        <v>5720</v>
      </c>
      <c r="I567" t="str">
        <f t="shared" si="8"/>
        <v>update tbl_persona set apellido_paterno= 'CRUZ',apellido_materno= 'BALLARDO', nombre = 'BRAULI YEFER' where dni = '72171923';</v>
      </c>
    </row>
    <row r="568" spans="1:9" x14ac:dyDescent="0.25">
      <c r="A568" t="s">
        <v>1117</v>
      </c>
      <c r="B568" t="s">
        <v>2640</v>
      </c>
      <c r="C568" t="s">
        <v>2101</v>
      </c>
      <c r="D568" t="s">
        <v>4081</v>
      </c>
      <c r="E568" s="2" t="s">
        <v>3313</v>
      </c>
      <c r="F568" t="s">
        <v>1743</v>
      </c>
      <c r="H568" t="s">
        <v>5721</v>
      </c>
      <c r="I568" t="str">
        <f t="shared" si="8"/>
        <v>update tbl_persona set apellido_paterno= 'URRESTTY',apellido_materno= 'PEREZ', nombre = 'CHRISTIAN' where dni = '76064516';</v>
      </c>
    </row>
    <row r="569" spans="1:9" x14ac:dyDescent="0.25">
      <c r="A569" t="s">
        <v>1119</v>
      </c>
      <c r="B569" t="s">
        <v>2019</v>
      </c>
      <c r="C569" t="s">
        <v>2101</v>
      </c>
      <c r="D569" t="s">
        <v>4082</v>
      </c>
      <c r="E569" s="2" t="s">
        <v>3314</v>
      </c>
      <c r="F569" t="s">
        <v>1743</v>
      </c>
      <c r="H569" t="s">
        <v>5722</v>
      </c>
      <c r="I569" t="str">
        <f t="shared" si="8"/>
        <v>update tbl_persona set apellido_paterno= 'SANCHEZ',apellido_materno= 'PEREZ', nombre = 'EVERLIN MILTON' where dni = '80629335';</v>
      </c>
    </row>
    <row r="570" spans="1:9" x14ac:dyDescent="0.25">
      <c r="A570" t="s">
        <v>1121</v>
      </c>
      <c r="B570" t="s">
        <v>2641</v>
      </c>
      <c r="C570" t="s">
        <v>2642</v>
      </c>
      <c r="D570" t="s">
        <v>4083</v>
      </c>
      <c r="E570" s="2" t="s">
        <v>3315</v>
      </c>
      <c r="F570" t="s">
        <v>1743</v>
      </c>
      <c r="H570" t="s">
        <v>5723</v>
      </c>
      <c r="I570" t="str">
        <f t="shared" si="8"/>
        <v>update tbl_persona set apellido_paterno= 'MONTERO',apellido_materno= 'SAUCEDO', nombre = 'OCLANDER' where dni = '46373209';</v>
      </c>
    </row>
    <row r="571" spans="1:9" x14ac:dyDescent="0.25">
      <c r="A571" t="s">
        <v>1123</v>
      </c>
      <c r="B571" t="s">
        <v>2643</v>
      </c>
      <c r="C571" t="s">
        <v>2644</v>
      </c>
      <c r="D571" t="s">
        <v>4084</v>
      </c>
      <c r="E571" s="2" t="s">
        <v>3316</v>
      </c>
      <c r="F571" t="s">
        <v>1743</v>
      </c>
      <c r="H571" t="s">
        <v>5724</v>
      </c>
      <c r="I571" t="str">
        <f t="shared" si="8"/>
        <v>update tbl_persona set apellido_paterno= 'CAMARENA',apellido_materno= 'PARCO', nombre = 'JHON HEINZ' where dni = '72239673';</v>
      </c>
    </row>
    <row r="572" spans="1:9" x14ac:dyDescent="0.25">
      <c r="A572" t="s">
        <v>1125</v>
      </c>
      <c r="B572" t="s">
        <v>2645</v>
      </c>
      <c r="C572" t="s">
        <v>2443</v>
      </c>
      <c r="D572" t="s">
        <v>4085</v>
      </c>
      <c r="E572" s="2" t="s">
        <v>3317</v>
      </c>
      <c r="F572" t="s">
        <v>1743</v>
      </c>
      <c r="G572" t="s">
        <v>1604</v>
      </c>
      <c r="H572" t="s">
        <v>5725</v>
      </c>
      <c r="I572" t="str">
        <f t="shared" si="8"/>
        <v>update tbl_persona set apellido_paterno= 'HUAYPAR',apellido_materno= 'HUAYTA', nombre = 'RAÚL' where dni = '10437468';</v>
      </c>
    </row>
    <row r="573" spans="1:9" x14ac:dyDescent="0.25">
      <c r="A573" t="s">
        <v>1127</v>
      </c>
      <c r="B573" t="s">
        <v>1993</v>
      </c>
      <c r="C573" t="s">
        <v>2646</v>
      </c>
      <c r="D573" t="s">
        <v>4086</v>
      </c>
      <c r="E573" s="2" t="s">
        <v>3318</v>
      </c>
      <c r="F573" t="s">
        <v>1743</v>
      </c>
      <c r="H573" t="s">
        <v>5726</v>
      </c>
      <c r="I573" t="str">
        <f t="shared" si="8"/>
        <v>update tbl_persona set apellido_paterno= 'AGUILAR',apellido_materno= 'GUAYAC', nombre = 'JUAN ANTONIO' where dni = '46813942';</v>
      </c>
    </row>
    <row r="574" spans="1:9" x14ac:dyDescent="0.25">
      <c r="A574" t="s">
        <v>1129</v>
      </c>
      <c r="B574" t="s">
        <v>2647</v>
      </c>
      <c r="C574" t="s">
        <v>2177</v>
      </c>
      <c r="D574" t="s">
        <v>4087</v>
      </c>
      <c r="E574" s="2" t="s">
        <v>3319</v>
      </c>
      <c r="F574" t="s">
        <v>1743</v>
      </c>
      <c r="H574" t="s">
        <v>5727</v>
      </c>
      <c r="I574" t="str">
        <f t="shared" si="8"/>
        <v>update tbl_persona set apellido_paterno= 'ANCHANTE',apellido_materno= 'FIGUEROA', nombre = 'MÁXIMO JUNIOR' where dni = '48847196';</v>
      </c>
    </row>
    <row r="575" spans="1:9" x14ac:dyDescent="0.25">
      <c r="A575" t="s">
        <v>1131</v>
      </c>
      <c r="B575" t="s">
        <v>2648</v>
      </c>
      <c r="C575" t="s">
        <v>2401</v>
      </c>
      <c r="D575" t="s">
        <v>4088</v>
      </c>
      <c r="E575" s="2" t="s">
        <v>3320</v>
      </c>
      <c r="F575" t="s">
        <v>1743</v>
      </c>
      <c r="H575" t="s">
        <v>5728</v>
      </c>
      <c r="I575" t="str">
        <f t="shared" si="8"/>
        <v>update tbl_persona set apellido_paterno= 'HUARI',apellido_materno= 'DURAND', nombre = 'CRISTHIAN RUBER' where dni = '76520327';</v>
      </c>
    </row>
    <row r="576" spans="1:9" x14ac:dyDescent="0.25">
      <c r="A576" t="s">
        <v>1133</v>
      </c>
      <c r="B576" t="s">
        <v>2649</v>
      </c>
      <c r="C576" t="s">
        <v>2650</v>
      </c>
      <c r="D576" t="s">
        <v>4089</v>
      </c>
      <c r="E576" s="2" t="s">
        <v>3321</v>
      </c>
      <c r="F576" t="s">
        <v>1743</v>
      </c>
      <c r="H576" t="s">
        <v>5729</v>
      </c>
      <c r="I576" t="str">
        <f t="shared" si="8"/>
        <v>update tbl_persona set apellido_paterno= 'IPURRE',apellido_materno= 'CRISANTE', nombre = 'MANUEL ALBERTO' where dni = '48625968';</v>
      </c>
    </row>
    <row r="577" spans="1:9" x14ac:dyDescent="0.25">
      <c r="A577" t="s">
        <v>1135</v>
      </c>
      <c r="B577" t="s">
        <v>2196</v>
      </c>
      <c r="C577" t="s">
        <v>2404</v>
      </c>
      <c r="D577" t="s">
        <v>4090</v>
      </c>
      <c r="E577" s="2" t="s">
        <v>3322</v>
      </c>
      <c r="F577" t="s">
        <v>1743</v>
      </c>
      <c r="H577" t="s">
        <v>5730</v>
      </c>
      <c r="I577" t="str">
        <f t="shared" si="8"/>
        <v>update tbl_persona set apellido_paterno= 'PALMA',apellido_materno= 'BARRENECHEA', nombre = 'LINCOLN JHON' where dni = '75463985';</v>
      </c>
    </row>
    <row r="578" spans="1:9" x14ac:dyDescent="0.25">
      <c r="A578" t="s">
        <v>1137</v>
      </c>
      <c r="B578" t="s">
        <v>2368</v>
      </c>
      <c r="C578" t="s">
        <v>2651</v>
      </c>
      <c r="D578" t="s">
        <v>4091</v>
      </c>
      <c r="E578" s="2" t="s">
        <v>3323</v>
      </c>
      <c r="F578" t="s">
        <v>1743</v>
      </c>
      <c r="H578" t="s">
        <v>5731</v>
      </c>
      <c r="I578" t="str">
        <f t="shared" si="8"/>
        <v>update tbl_persona set apellido_paterno= 'SIERRA',apellido_materno= 'SAMILLAN', nombre = 'JOHAN PIERO' where dni = '72077777';</v>
      </c>
    </row>
    <row r="579" spans="1:9" x14ac:dyDescent="0.25">
      <c r="A579" t="s">
        <v>1139</v>
      </c>
      <c r="B579" t="s">
        <v>1962</v>
      </c>
      <c r="C579" t="s">
        <v>2652</v>
      </c>
      <c r="D579" t="s">
        <v>4092</v>
      </c>
      <c r="E579" s="2" t="s">
        <v>3324</v>
      </c>
      <c r="F579" t="s">
        <v>1743</v>
      </c>
      <c r="G579" t="s">
        <v>1605</v>
      </c>
      <c r="H579" t="s">
        <v>5732</v>
      </c>
      <c r="I579" t="str">
        <f t="shared" ref="I579:I642" si="9">_xlfn.CONCAT("update tbl_persona set apellido_paterno= '",B579,"',apellido_materno= '",C579,"', nombre = '",D579,"' where dni = '",A579,"';")</f>
        <v>update tbl_persona set apellido_paterno= 'ESPINOZA',apellido_materno= 'MATEO', nombre = 'JUAN DE DIOS' where dni = '74906452';</v>
      </c>
    </row>
    <row r="580" spans="1:9" x14ac:dyDescent="0.25">
      <c r="A580" t="s">
        <v>1141</v>
      </c>
      <c r="B580" t="s">
        <v>2653</v>
      </c>
      <c r="C580" t="s">
        <v>2190</v>
      </c>
      <c r="D580" t="s">
        <v>4093</v>
      </c>
      <c r="E580" s="2" t="s">
        <v>3325</v>
      </c>
      <c r="F580" t="s">
        <v>1743</v>
      </c>
      <c r="H580" t="s">
        <v>5733</v>
      </c>
      <c r="I580" t="str">
        <f t="shared" si="9"/>
        <v>update tbl_persona set apellido_paterno= 'ANDIA',apellido_materno= 'ROMERO', nombre = 'EDUARDO AGUSTIN' where dni = '48106585';</v>
      </c>
    </row>
    <row r="581" spans="1:9" x14ac:dyDescent="0.25">
      <c r="A581" t="s">
        <v>1143</v>
      </c>
      <c r="B581" t="s">
        <v>2654</v>
      </c>
      <c r="C581" t="s">
        <v>2655</v>
      </c>
      <c r="D581" t="s">
        <v>4094</v>
      </c>
      <c r="E581" s="2" t="s">
        <v>3326</v>
      </c>
      <c r="F581" t="s">
        <v>1743</v>
      </c>
      <c r="H581" t="s">
        <v>5734</v>
      </c>
      <c r="I581" t="str">
        <f t="shared" si="9"/>
        <v>update tbl_persona set apellido_paterno= 'MANYARI',apellido_materno= 'MALLMA', nombre = 'PAUL JHANCARLOS' where dni = '70150642';</v>
      </c>
    </row>
    <row r="582" spans="1:9" x14ac:dyDescent="0.25">
      <c r="A582" t="s">
        <v>1145</v>
      </c>
      <c r="B582" t="s">
        <v>2363</v>
      </c>
      <c r="C582" t="s">
        <v>1965</v>
      </c>
      <c r="D582" t="s">
        <v>4095</v>
      </c>
      <c r="E582" s="2" t="s">
        <v>3327</v>
      </c>
      <c r="F582" t="s">
        <v>1743</v>
      </c>
      <c r="H582" t="s">
        <v>5735</v>
      </c>
      <c r="I582" t="str">
        <f t="shared" si="9"/>
        <v>update tbl_persona set apellido_paterno= 'RODRÍGUEZ',apellido_materno= 'SALAZAR', nombre = 'VÍCTOR ANTONIO' where dni = '42082774';</v>
      </c>
    </row>
    <row r="583" spans="1:9" x14ac:dyDescent="0.25">
      <c r="A583" t="s">
        <v>1147</v>
      </c>
      <c r="B583" t="s">
        <v>2656</v>
      </c>
      <c r="C583" t="s">
        <v>2657</v>
      </c>
      <c r="D583" t="s">
        <v>4096</v>
      </c>
      <c r="E583" s="2" t="s">
        <v>3328</v>
      </c>
      <c r="F583" t="s">
        <v>1743</v>
      </c>
      <c r="G583" t="s">
        <v>1606</v>
      </c>
      <c r="H583" t="s">
        <v>5736</v>
      </c>
      <c r="I583" t="str">
        <f t="shared" si="9"/>
        <v>update tbl_persona set apellido_paterno= 'OROPEZA',apellido_materno= 'BORJA', nombre = 'ELIAS PAUL' where dni = '70107379';</v>
      </c>
    </row>
    <row r="584" spans="1:9" x14ac:dyDescent="0.25">
      <c r="A584" t="s">
        <v>1149</v>
      </c>
      <c r="B584" t="s">
        <v>2658</v>
      </c>
      <c r="C584" t="s">
        <v>2659</v>
      </c>
      <c r="D584" t="s">
        <v>4097</v>
      </c>
      <c r="E584" s="2" t="s">
        <v>3030</v>
      </c>
      <c r="F584" t="s">
        <v>1743</v>
      </c>
      <c r="G584" t="s">
        <v>1607</v>
      </c>
      <c r="H584" t="s">
        <v>5737</v>
      </c>
      <c r="I584" t="str">
        <f t="shared" si="9"/>
        <v>update tbl_persona set apellido_paterno= 'HUACCOTO',apellido_materno= 'GOIZUETA', nombre = 'LUDVING DANIEL' where dni = '47430740';</v>
      </c>
    </row>
    <row r="585" spans="1:9" x14ac:dyDescent="0.25">
      <c r="A585" t="s">
        <v>1151</v>
      </c>
      <c r="B585" t="s">
        <v>2152</v>
      </c>
      <c r="C585" t="s">
        <v>2660</v>
      </c>
      <c r="D585" t="s">
        <v>4098</v>
      </c>
      <c r="E585" s="2" t="s">
        <v>3329</v>
      </c>
      <c r="F585" t="s">
        <v>1743</v>
      </c>
      <c r="H585" t="s">
        <v>5738</v>
      </c>
      <c r="I585" t="str">
        <f t="shared" si="9"/>
        <v>update tbl_persona set apellido_paterno= 'REYES',apellido_materno= 'CHILET', nombre = 'CHARLY JHONY' where dni = '44578227';</v>
      </c>
    </row>
    <row r="586" spans="1:9" x14ac:dyDescent="0.25">
      <c r="A586" t="s">
        <v>1153</v>
      </c>
      <c r="B586" t="s">
        <v>2206</v>
      </c>
      <c r="C586" t="s">
        <v>2661</v>
      </c>
      <c r="D586" t="s">
        <v>4099</v>
      </c>
      <c r="E586" s="2" t="s">
        <v>3330</v>
      </c>
      <c r="F586" t="s">
        <v>1743</v>
      </c>
      <c r="H586" t="s">
        <v>5739</v>
      </c>
      <c r="I586" t="str">
        <f t="shared" si="9"/>
        <v>update tbl_persona set apellido_paterno= 'JIMENEZ',apellido_materno= 'TINEO', nombre = 'DANIEL ALCIDES' where dni = '43320571';</v>
      </c>
    </row>
    <row r="587" spans="1:9" x14ac:dyDescent="0.25">
      <c r="A587" t="s">
        <v>1155</v>
      </c>
      <c r="B587" t="s">
        <v>2222</v>
      </c>
      <c r="C587" t="s">
        <v>2369</v>
      </c>
      <c r="D587" t="s">
        <v>4100</v>
      </c>
      <c r="E587" s="2" t="s">
        <v>3331</v>
      </c>
      <c r="F587" t="s">
        <v>1743</v>
      </c>
      <c r="G587" t="s">
        <v>1608</v>
      </c>
      <c r="H587" t="s">
        <v>5740</v>
      </c>
      <c r="I587" t="str">
        <f t="shared" si="9"/>
        <v>update tbl_persona set apellido_paterno= 'BRAVO',apellido_materno= 'VALLEJOS', nombre = 'DIEGO ALONSO' where dni = '71263711';</v>
      </c>
    </row>
    <row r="588" spans="1:9" x14ac:dyDescent="0.25">
      <c r="A588" t="s">
        <v>1157</v>
      </c>
      <c r="B588" t="s">
        <v>2662</v>
      </c>
      <c r="C588" t="s">
        <v>2663</v>
      </c>
      <c r="D588" t="s">
        <v>4101</v>
      </c>
      <c r="E588" s="2" t="s">
        <v>3332</v>
      </c>
      <c r="F588" t="s">
        <v>1743</v>
      </c>
      <c r="H588" t="s">
        <v>5741</v>
      </c>
      <c r="I588" t="str">
        <f t="shared" si="9"/>
        <v>update tbl_persona set apellido_paterno= 'BARRENA',apellido_materno= 'ORDINOLA', nombre = 'MARIO ANGEL' where dni = '71435293';</v>
      </c>
    </row>
    <row r="589" spans="1:9" x14ac:dyDescent="0.25">
      <c r="A589" t="s">
        <v>1159</v>
      </c>
      <c r="B589" t="s">
        <v>2664</v>
      </c>
      <c r="C589" t="s">
        <v>2665</v>
      </c>
      <c r="D589" t="s">
        <v>4102</v>
      </c>
      <c r="E589" s="2" t="s">
        <v>3333</v>
      </c>
      <c r="F589" t="s">
        <v>1744</v>
      </c>
      <c r="H589" t="s">
        <v>5742</v>
      </c>
      <c r="I589" t="str">
        <f t="shared" si="9"/>
        <v>update tbl_persona set apellido_paterno= 'CANDIA',apellido_materno= 'CORDERO', nombre = 'ANDREA CECILIA' where dni = '71696041';</v>
      </c>
    </row>
    <row r="590" spans="1:9" x14ac:dyDescent="0.25">
      <c r="A590" t="s">
        <v>1161</v>
      </c>
      <c r="B590" t="s">
        <v>2666</v>
      </c>
      <c r="C590" t="s">
        <v>2125</v>
      </c>
      <c r="D590" t="s">
        <v>4103</v>
      </c>
      <c r="E590" s="2" t="s">
        <v>3334</v>
      </c>
      <c r="F590" t="s">
        <v>1743</v>
      </c>
      <c r="G590" t="s">
        <v>1610</v>
      </c>
      <c r="H590" t="s">
        <v>5743</v>
      </c>
      <c r="I590" t="str">
        <f t="shared" si="9"/>
        <v>update tbl_persona set apellido_paterno= 'ZANELLI',apellido_materno= 'RUIZ', nombre = 'MICHELL ROBERT' where dni = '40877525';</v>
      </c>
    </row>
    <row r="591" spans="1:9" x14ac:dyDescent="0.25">
      <c r="A591" t="s">
        <v>1163</v>
      </c>
      <c r="B591" t="s">
        <v>2328</v>
      </c>
      <c r="C591" t="s">
        <v>2505</v>
      </c>
      <c r="D591" t="s">
        <v>4104</v>
      </c>
      <c r="E591" s="2" t="s">
        <v>3335</v>
      </c>
      <c r="F591" t="s">
        <v>1744</v>
      </c>
      <c r="H591" t="s">
        <v>5744</v>
      </c>
      <c r="I591" t="str">
        <f t="shared" si="9"/>
        <v>update tbl_persona set apellido_paterno= 'HURTADO',apellido_materno= 'YUPANQUI', nombre = 'KATHERINE' where dni = '76042289';</v>
      </c>
    </row>
    <row r="592" spans="1:9" x14ac:dyDescent="0.25">
      <c r="A592" t="s">
        <v>1165</v>
      </c>
      <c r="B592" t="s">
        <v>2667</v>
      </c>
      <c r="C592" t="s">
        <v>2668</v>
      </c>
      <c r="D592" t="s">
        <v>4105</v>
      </c>
      <c r="E592" s="2" t="s">
        <v>3291</v>
      </c>
      <c r="F592" t="s">
        <v>1743</v>
      </c>
      <c r="H592" t="s">
        <v>5745</v>
      </c>
      <c r="I592" t="str">
        <f t="shared" si="9"/>
        <v>update tbl_persona set apellido_paterno= 'ESQUECHE',apellido_materno= 'GALÁN', nombre = 'JESUS ALEXSANDER' where dni = '77322414';</v>
      </c>
    </row>
    <row r="593" spans="1:9" x14ac:dyDescent="0.25">
      <c r="A593" t="s">
        <v>1167</v>
      </c>
      <c r="B593" t="s">
        <v>2264</v>
      </c>
      <c r="C593" t="s">
        <v>2331</v>
      </c>
      <c r="D593" t="s">
        <v>4106</v>
      </c>
      <c r="E593" s="2" t="s">
        <v>3336</v>
      </c>
      <c r="F593" t="s">
        <v>1743</v>
      </c>
      <c r="H593" t="s">
        <v>5746</v>
      </c>
      <c r="I593" t="str">
        <f t="shared" si="9"/>
        <v>update tbl_persona set apellido_paterno= 'ALARCON',apellido_materno= 'GUERRA', nombre = 'ANTHONY ROBERTH' where dni = '70111572';</v>
      </c>
    </row>
    <row r="594" spans="1:9" x14ac:dyDescent="0.25">
      <c r="A594" t="s">
        <v>1169</v>
      </c>
      <c r="B594" t="s">
        <v>2526</v>
      </c>
      <c r="C594" t="s">
        <v>2413</v>
      </c>
      <c r="D594" t="s">
        <v>4107</v>
      </c>
      <c r="E594" s="2" t="s">
        <v>3337</v>
      </c>
      <c r="F594" t="s">
        <v>1743</v>
      </c>
      <c r="G594" t="s">
        <v>1611</v>
      </c>
      <c r="H594" t="s">
        <v>5747</v>
      </c>
      <c r="I594" t="str">
        <f t="shared" si="9"/>
        <v>update tbl_persona set apellido_paterno= 'CALLA',apellido_materno= 'BEGAZO', nombre = 'JHON GABRIEL' where dni = '72966796';</v>
      </c>
    </row>
    <row r="595" spans="1:9" x14ac:dyDescent="0.25">
      <c r="A595" t="s">
        <v>1171</v>
      </c>
      <c r="B595" t="s">
        <v>2362</v>
      </c>
      <c r="C595" t="s">
        <v>2020</v>
      </c>
      <c r="D595" t="s">
        <v>4108</v>
      </c>
      <c r="E595" s="2" t="s">
        <v>3338</v>
      </c>
      <c r="F595" t="s">
        <v>1743</v>
      </c>
      <c r="H595" t="s">
        <v>5748</v>
      </c>
      <c r="I595" t="str">
        <f t="shared" si="9"/>
        <v>update tbl_persona set apellido_paterno= 'MARTINEZ',apellido_materno= 'HUAMANI', nombre = 'BRYAN ALDAIR' where dni = '70387376';</v>
      </c>
    </row>
    <row r="596" spans="1:9" x14ac:dyDescent="0.25">
      <c r="A596" t="s">
        <v>1173</v>
      </c>
      <c r="B596" t="s">
        <v>2669</v>
      </c>
      <c r="C596" t="s">
        <v>2586</v>
      </c>
      <c r="D596" t="s">
        <v>4109</v>
      </c>
      <c r="E596" s="2" t="s">
        <v>3339</v>
      </c>
      <c r="F596" t="s">
        <v>1743</v>
      </c>
      <c r="H596" t="s">
        <v>5749</v>
      </c>
      <c r="I596" t="str">
        <f t="shared" si="9"/>
        <v>update tbl_persona set apellido_paterno= 'PUMASUPA',apellido_materno= 'ARCE', nombre = 'BRYAN ANTONIO' where dni = '76360073';</v>
      </c>
    </row>
    <row r="597" spans="1:9" x14ac:dyDescent="0.25">
      <c r="A597" t="s">
        <v>1175</v>
      </c>
      <c r="B597" t="s">
        <v>2670</v>
      </c>
      <c r="C597" t="s">
        <v>2671</v>
      </c>
      <c r="D597" t="s">
        <v>4110</v>
      </c>
      <c r="E597" s="2" t="s">
        <v>3280</v>
      </c>
      <c r="F597" t="s">
        <v>1743</v>
      </c>
      <c r="H597" t="s">
        <v>5750</v>
      </c>
      <c r="I597" t="str">
        <f t="shared" si="9"/>
        <v>update tbl_persona set apellido_paterno= 'CARHUA',apellido_materno= 'ALANIA', nombre = 'CAYO YOSMIL' where dni = '71985260';</v>
      </c>
    </row>
    <row r="598" spans="1:9" x14ac:dyDescent="0.25">
      <c r="A598" t="s">
        <v>1177</v>
      </c>
      <c r="B598" t="s">
        <v>1969</v>
      </c>
      <c r="C598" t="s">
        <v>2038</v>
      </c>
      <c r="D598" t="s">
        <v>4111</v>
      </c>
      <c r="E598" s="2" t="s">
        <v>3340</v>
      </c>
      <c r="F598" t="s">
        <v>1743</v>
      </c>
      <c r="G598" t="s">
        <v>1612</v>
      </c>
      <c r="H598" t="s">
        <v>5751</v>
      </c>
      <c r="I598" t="str">
        <f t="shared" si="9"/>
        <v>update tbl_persona set apellido_paterno= 'QUISPE',apellido_materno= 'MENDOZA', nombre = 'JOHAN PAUL' where dni = '42765233';</v>
      </c>
    </row>
    <row r="599" spans="1:9" x14ac:dyDescent="0.25">
      <c r="A599" t="s">
        <v>1179</v>
      </c>
      <c r="B599" t="s">
        <v>2672</v>
      </c>
      <c r="C599" t="s">
        <v>2071</v>
      </c>
      <c r="D599" t="s">
        <v>4112</v>
      </c>
      <c r="E599" s="2" t="s">
        <v>3341</v>
      </c>
      <c r="F599" t="s">
        <v>1743</v>
      </c>
      <c r="G599" t="s">
        <v>1613</v>
      </c>
      <c r="H599" t="s">
        <v>5752</v>
      </c>
      <c r="I599" t="str">
        <f t="shared" si="9"/>
        <v>update tbl_persona set apellido_paterno= 'OLAYA',apellido_materno= 'ALVARADO', nombre = 'JOHN YEISON' where dni = '44454272';</v>
      </c>
    </row>
    <row r="600" spans="1:9" x14ac:dyDescent="0.25">
      <c r="A600" t="s">
        <v>1181</v>
      </c>
      <c r="B600" t="s">
        <v>2673</v>
      </c>
      <c r="C600" t="s">
        <v>2674</v>
      </c>
      <c r="D600" t="s">
        <v>4113</v>
      </c>
      <c r="E600" s="2" t="s">
        <v>3237</v>
      </c>
      <c r="F600" t="s">
        <v>1743</v>
      </c>
      <c r="H600" t="s">
        <v>5753</v>
      </c>
      <c r="I600" t="str">
        <f t="shared" si="9"/>
        <v>update tbl_persona set apellido_paterno= 'PORTAL',apellido_materno= 'GIRON', nombre = 'JERIN LYNCOLNS' where dni = '70262435';</v>
      </c>
    </row>
    <row r="601" spans="1:9" x14ac:dyDescent="0.25">
      <c r="A601" t="s">
        <v>1183</v>
      </c>
      <c r="B601" t="s">
        <v>2019</v>
      </c>
      <c r="C601" t="s">
        <v>2062</v>
      </c>
      <c r="D601" t="s">
        <v>3650</v>
      </c>
      <c r="E601" s="2" t="s">
        <v>3342</v>
      </c>
      <c r="F601" t="s">
        <v>1743</v>
      </c>
      <c r="H601" t="s">
        <v>5754</v>
      </c>
      <c r="I601" t="str">
        <f t="shared" si="9"/>
        <v>update tbl_persona set apellido_paterno= 'SANCHEZ',apellido_materno= 'VARGAS', nombre = 'JOSE ANTONIO' where dni = '74171460';</v>
      </c>
    </row>
    <row r="602" spans="1:9" x14ac:dyDescent="0.25">
      <c r="A602" t="s">
        <v>1185</v>
      </c>
      <c r="B602" t="s">
        <v>2060</v>
      </c>
      <c r="C602" t="s">
        <v>2614</v>
      </c>
      <c r="D602" t="s">
        <v>4114</v>
      </c>
      <c r="E602" s="2" t="s">
        <v>3343</v>
      </c>
      <c r="F602" t="s">
        <v>1743</v>
      </c>
      <c r="H602" t="s">
        <v>5755</v>
      </c>
      <c r="I602" t="str">
        <f t="shared" si="9"/>
        <v>update tbl_persona set apellido_paterno= 'RAMOS',apellido_materno= 'DÁVILA', nombre = 'ROGER ALDAIR' where dni = '74093522';</v>
      </c>
    </row>
    <row r="603" spans="1:9" x14ac:dyDescent="0.25">
      <c r="A603" t="s">
        <v>1187</v>
      </c>
      <c r="B603" t="s">
        <v>2675</v>
      </c>
      <c r="C603" t="s">
        <v>2072</v>
      </c>
      <c r="D603" t="s">
        <v>3847</v>
      </c>
      <c r="E603" s="2" t="s">
        <v>3344</v>
      </c>
      <c r="F603" t="s">
        <v>1743</v>
      </c>
      <c r="H603" t="s">
        <v>5756</v>
      </c>
      <c r="I603" t="str">
        <f t="shared" si="9"/>
        <v>update tbl_persona set apellido_paterno= 'RABANAL',apellido_materno= 'CHAVEZ', nombre = 'CARLOS ENRIQUE' where dni = '08058783';</v>
      </c>
    </row>
    <row r="604" spans="1:9" x14ac:dyDescent="0.25">
      <c r="A604" t="s">
        <v>1189</v>
      </c>
      <c r="B604" t="s">
        <v>2157</v>
      </c>
      <c r="C604" t="s">
        <v>2561</v>
      </c>
      <c r="D604" t="s">
        <v>4115</v>
      </c>
      <c r="E604" s="2" t="s">
        <v>3345</v>
      </c>
      <c r="F604" t="s">
        <v>1743</v>
      </c>
      <c r="H604" t="s">
        <v>5757</v>
      </c>
      <c r="I604" t="str">
        <f t="shared" si="9"/>
        <v>update tbl_persona set apellido_paterno= 'HUAMAN',apellido_materno= 'MENDEZ', nombre = 'REX RENE' where dni = '42370205';</v>
      </c>
    </row>
    <row r="605" spans="1:9" x14ac:dyDescent="0.25">
      <c r="A605" t="s">
        <v>1191</v>
      </c>
      <c r="B605" t="s">
        <v>2028</v>
      </c>
      <c r="C605" t="s">
        <v>2506</v>
      </c>
      <c r="D605" t="s">
        <v>4116</v>
      </c>
      <c r="E605" s="2" t="s">
        <v>3346</v>
      </c>
      <c r="F605" t="s">
        <v>1743</v>
      </c>
      <c r="H605" t="s">
        <v>5758</v>
      </c>
      <c r="I605" t="str">
        <f t="shared" si="9"/>
        <v>update tbl_persona set apellido_paterno= 'RODRIGUEZ',apellido_materno= 'CUBA', nombre = 'FREDY ALFREDO' where dni = '75143039';</v>
      </c>
    </row>
    <row r="606" spans="1:9" x14ac:dyDescent="0.25">
      <c r="A606" t="s">
        <v>1193</v>
      </c>
      <c r="B606" t="s">
        <v>2511</v>
      </c>
      <c r="C606" t="s">
        <v>2676</v>
      </c>
      <c r="D606" t="s">
        <v>4117</v>
      </c>
      <c r="E606" s="2" t="s">
        <v>3347</v>
      </c>
      <c r="F606" t="s">
        <v>1743</v>
      </c>
      <c r="G606" t="s">
        <v>1618</v>
      </c>
      <c r="H606" t="s">
        <v>5759</v>
      </c>
      <c r="I606" t="str">
        <f t="shared" si="9"/>
        <v>update tbl_persona set apellido_paterno= 'LIMA',apellido_materno= 'SIME', nombre = 'GUSTAVO BARTOLOMÉ' where dni = '47290444';</v>
      </c>
    </row>
    <row r="607" spans="1:9" x14ac:dyDescent="0.25">
      <c r="A607" t="s">
        <v>1195</v>
      </c>
      <c r="B607" t="s">
        <v>2088</v>
      </c>
      <c r="C607" t="s">
        <v>2677</v>
      </c>
      <c r="D607" t="s">
        <v>3658</v>
      </c>
      <c r="E607" s="2" t="s">
        <v>3348</v>
      </c>
      <c r="F607" t="s">
        <v>1743</v>
      </c>
      <c r="H607" t="s">
        <v>5760</v>
      </c>
      <c r="I607" t="str">
        <f t="shared" si="9"/>
        <v>update tbl_persona set apellido_paterno= 'VASQUEZ',apellido_materno= 'ESCALANTE', nombre = 'JORGE LUIS' where dni = '09603303';</v>
      </c>
    </row>
    <row r="608" spans="1:9" x14ac:dyDescent="0.25">
      <c r="A608" t="s">
        <v>1197</v>
      </c>
      <c r="B608" t="s">
        <v>2024</v>
      </c>
      <c r="C608" t="s">
        <v>2678</v>
      </c>
      <c r="D608" t="s">
        <v>4118</v>
      </c>
      <c r="E608" s="2" t="s">
        <v>3349</v>
      </c>
      <c r="F608" t="s">
        <v>1743</v>
      </c>
      <c r="H608" t="s">
        <v>5761</v>
      </c>
      <c r="I608" t="str">
        <f t="shared" si="9"/>
        <v>update tbl_persona set apellido_paterno= 'CONDORI',apellido_materno= 'CAMA', nombre = 'VICTOR LUIS' where dni = '43680818';</v>
      </c>
    </row>
    <row r="609" spans="1:9" x14ac:dyDescent="0.25">
      <c r="A609" t="s">
        <v>1199</v>
      </c>
      <c r="B609" t="s">
        <v>2679</v>
      </c>
      <c r="C609" t="s">
        <v>1993</v>
      </c>
      <c r="D609" t="s">
        <v>4119</v>
      </c>
      <c r="E609" s="2" t="s">
        <v>3350</v>
      </c>
      <c r="F609" t="s">
        <v>1743</v>
      </c>
      <c r="G609" t="s">
        <v>1619</v>
      </c>
      <c r="H609" t="s">
        <v>5762</v>
      </c>
      <c r="I609" t="str">
        <f t="shared" si="9"/>
        <v>update tbl_persona set apellido_paterno= 'LUNA',apellido_materno= 'AGUILAR', nombre = 'DANTE JEAN FRANCO' where dni = '74700803';</v>
      </c>
    </row>
    <row r="610" spans="1:9" x14ac:dyDescent="0.25">
      <c r="A610" t="s">
        <v>1201</v>
      </c>
      <c r="B610" t="s">
        <v>2680</v>
      </c>
      <c r="C610" t="s">
        <v>2004</v>
      </c>
      <c r="D610" t="s">
        <v>4120</v>
      </c>
      <c r="E610" s="2" t="s">
        <v>3351</v>
      </c>
      <c r="F610" t="s">
        <v>1743</v>
      </c>
      <c r="H610" t="s">
        <v>5763</v>
      </c>
      <c r="I610" t="str">
        <f t="shared" si="9"/>
        <v>update tbl_persona set apellido_paterno= 'ESPEJO',apellido_materno= 'ROJAS', nombre = 'JORDAN WILSON' where dni = '21128474';</v>
      </c>
    </row>
    <row r="611" spans="1:9" x14ac:dyDescent="0.25">
      <c r="A611" t="s">
        <v>1203</v>
      </c>
      <c r="B611" t="s">
        <v>2681</v>
      </c>
      <c r="C611" t="s">
        <v>2682</v>
      </c>
      <c r="D611" t="s">
        <v>4121</v>
      </c>
      <c r="E611" s="2" t="s">
        <v>3352</v>
      </c>
      <c r="F611" t="s">
        <v>1743</v>
      </c>
      <c r="H611" t="s">
        <v>5764</v>
      </c>
      <c r="I611" t="str">
        <f t="shared" si="9"/>
        <v>update tbl_persona set apellido_paterno= 'GARAYCOCHEA',apellido_materno= 'ASENJO', nombre = 'TXIKI XAVIER' where dni = '43004942';</v>
      </c>
    </row>
    <row r="612" spans="1:9" x14ac:dyDescent="0.25">
      <c r="A612" t="s">
        <v>1205</v>
      </c>
      <c r="B612" t="s">
        <v>2611</v>
      </c>
      <c r="C612" t="s">
        <v>2683</v>
      </c>
      <c r="D612" t="s">
        <v>3846</v>
      </c>
      <c r="E612" s="2" t="s">
        <v>3353</v>
      </c>
      <c r="F612" t="s">
        <v>1743</v>
      </c>
      <c r="H612" t="s">
        <v>5765</v>
      </c>
      <c r="I612" t="str">
        <f t="shared" si="9"/>
        <v>update tbl_persona set apellido_paterno= 'ELIAS',apellido_materno= 'PARIÑAS', nombre = 'ERICK ALEXANDER' where dni = '71854400';</v>
      </c>
    </row>
    <row r="613" spans="1:9" x14ac:dyDescent="0.25">
      <c r="A613" t="s">
        <v>1207</v>
      </c>
      <c r="B613" t="s">
        <v>2684</v>
      </c>
      <c r="C613" t="s">
        <v>2685</v>
      </c>
      <c r="D613" t="s">
        <v>3627</v>
      </c>
      <c r="E613" s="2" t="s">
        <v>3354</v>
      </c>
      <c r="F613" t="s">
        <v>1743</v>
      </c>
      <c r="H613" t="s">
        <v>5766</v>
      </c>
      <c r="I613" t="str">
        <f t="shared" si="9"/>
        <v>update tbl_persona set apellido_paterno= 'AVALOS',apellido_materno= 'CHIZA', nombre = 'JOSE ARMANDO' where dni = '72776131';</v>
      </c>
    </row>
    <row r="614" spans="1:9" x14ac:dyDescent="0.25">
      <c r="A614" t="s">
        <v>1209</v>
      </c>
      <c r="B614" t="s">
        <v>1987</v>
      </c>
      <c r="C614" t="s">
        <v>2686</v>
      </c>
      <c r="D614" t="s">
        <v>4122</v>
      </c>
      <c r="E614" s="2" t="s">
        <v>3231</v>
      </c>
      <c r="F614" t="s">
        <v>1743</v>
      </c>
      <c r="G614" t="s">
        <v>1620</v>
      </c>
      <c r="H614" t="s">
        <v>5767</v>
      </c>
      <c r="I614" t="str">
        <f t="shared" si="9"/>
        <v>update tbl_persona set apellido_paterno= 'GONZALES',apellido_materno= 'COVEÑAS', nombre = 'JUNIOR OMAR' where dni = '73374504';</v>
      </c>
    </row>
    <row r="615" spans="1:9" x14ac:dyDescent="0.25">
      <c r="A615" t="s">
        <v>1211</v>
      </c>
      <c r="B615" t="s">
        <v>2128</v>
      </c>
      <c r="C615" t="s">
        <v>2100</v>
      </c>
      <c r="D615" t="s">
        <v>4123</v>
      </c>
      <c r="E615" s="2" t="s">
        <v>3355</v>
      </c>
      <c r="F615" t="s">
        <v>1743</v>
      </c>
      <c r="G615" t="s">
        <v>1621</v>
      </c>
      <c r="H615" t="s">
        <v>5768</v>
      </c>
      <c r="I615" t="str">
        <f t="shared" si="9"/>
        <v>update tbl_persona set apellido_paterno= 'LOAYZA',apellido_materno= 'LLANOS', nombre = 'JOSÉ WILDER' where dni = '47460943';</v>
      </c>
    </row>
    <row r="616" spans="1:9" x14ac:dyDescent="0.25">
      <c r="A616" t="s">
        <v>1213</v>
      </c>
      <c r="B616" t="s">
        <v>2062</v>
      </c>
      <c r="C616" t="s">
        <v>2687</v>
      </c>
      <c r="D616" t="s">
        <v>4124</v>
      </c>
      <c r="E616" s="2" t="s">
        <v>3356</v>
      </c>
      <c r="F616" t="s">
        <v>1743</v>
      </c>
      <c r="G616" t="s">
        <v>1622</v>
      </c>
      <c r="H616" t="s">
        <v>5769</v>
      </c>
      <c r="I616" t="str">
        <f t="shared" si="9"/>
        <v>update tbl_persona set apellido_paterno= 'VARGAS',apellido_materno= 'AQUIJES', nombre = 'RODOLFO SONY' where dni = '76815117';</v>
      </c>
    </row>
    <row r="617" spans="1:9" x14ac:dyDescent="0.25">
      <c r="A617" t="s">
        <v>1215</v>
      </c>
      <c r="B617" t="s">
        <v>2688</v>
      </c>
      <c r="C617" t="s">
        <v>2138</v>
      </c>
      <c r="D617" t="s">
        <v>4125</v>
      </c>
      <c r="E617" s="2" t="s">
        <v>3357</v>
      </c>
      <c r="F617" t="s">
        <v>1743</v>
      </c>
      <c r="H617" t="s">
        <v>5770</v>
      </c>
      <c r="I617" t="str">
        <f t="shared" si="9"/>
        <v>update tbl_persona set apellido_paterno= 'JULCAHUANCA',apellido_materno= 'SAAVEDRA', nombre = 'JOSÉ FRANCISCO' where dni = '62256198';</v>
      </c>
    </row>
    <row r="618" spans="1:9" x14ac:dyDescent="0.25">
      <c r="A618" t="s">
        <v>1217</v>
      </c>
      <c r="B618" t="s">
        <v>2558</v>
      </c>
      <c r="C618" t="s">
        <v>2060</v>
      </c>
      <c r="D618" t="s">
        <v>4032</v>
      </c>
      <c r="E618" s="2" t="s">
        <v>3287</v>
      </c>
      <c r="F618" t="s">
        <v>1743</v>
      </c>
      <c r="H618" t="s">
        <v>5771</v>
      </c>
      <c r="I618" t="str">
        <f t="shared" si="9"/>
        <v>update tbl_persona set apellido_paterno= 'ROSALES',apellido_materno= 'RAMOS', nombre = 'LUIS FERNANDO' where dni = '78720497';</v>
      </c>
    </row>
    <row r="619" spans="1:9" x14ac:dyDescent="0.25">
      <c r="A619" t="s">
        <v>1219</v>
      </c>
      <c r="B619" t="s">
        <v>2689</v>
      </c>
      <c r="C619" t="s">
        <v>2690</v>
      </c>
      <c r="D619" t="s">
        <v>3631</v>
      </c>
      <c r="E619" s="2" t="s">
        <v>3358</v>
      </c>
      <c r="F619" t="s">
        <v>1743</v>
      </c>
      <c r="H619" t="s">
        <v>5772</v>
      </c>
      <c r="I619" t="str">
        <f t="shared" si="9"/>
        <v>update tbl_persona set apellido_paterno= 'TORO',apellido_materno= 'CHANG', nombre = 'CESAR HUMBERTO' where dni = '70313163';</v>
      </c>
    </row>
    <row r="620" spans="1:9" x14ac:dyDescent="0.25">
      <c r="A620" t="s">
        <v>1221</v>
      </c>
      <c r="B620" t="s">
        <v>2691</v>
      </c>
      <c r="C620" t="s">
        <v>2692</v>
      </c>
      <c r="D620" t="s">
        <v>3694</v>
      </c>
      <c r="E620" s="2" t="s">
        <v>3359</v>
      </c>
      <c r="F620" t="s">
        <v>1743</v>
      </c>
      <c r="G620" t="s">
        <v>1623</v>
      </c>
      <c r="H620" t="s">
        <v>5773</v>
      </c>
      <c r="I620" t="str">
        <f t="shared" si="9"/>
        <v>update tbl_persona set apellido_paterno= 'MALCA',apellido_materno= 'QUIROZ', nombre = 'JEAN CARLOS' where dni = '70622532';</v>
      </c>
    </row>
    <row r="621" spans="1:9" x14ac:dyDescent="0.25">
      <c r="A621" t="s">
        <v>1223</v>
      </c>
      <c r="B621" t="s">
        <v>2101</v>
      </c>
      <c r="C621" t="s">
        <v>2060</v>
      </c>
      <c r="D621" t="s">
        <v>3636</v>
      </c>
      <c r="E621" s="2" t="s">
        <v>3360</v>
      </c>
      <c r="F621" t="s">
        <v>1743</v>
      </c>
      <c r="G621" t="s">
        <v>1624</v>
      </c>
      <c r="H621" t="s">
        <v>5774</v>
      </c>
      <c r="I621" t="str">
        <f t="shared" si="9"/>
        <v>update tbl_persona set apellido_paterno= 'PEREZ',apellido_materno= 'RAMOS', nombre = 'JEAN CARLO' where dni = '60960830';</v>
      </c>
    </row>
    <row r="622" spans="1:9" x14ac:dyDescent="0.25">
      <c r="A622" t="s">
        <v>1225</v>
      </c>
      <c r="B622" t="s">
        <v>2693</v>
      </c>
      <c r="C622" t="s">
        <v>2033</v>
      </c>
      <c r="D622" t="s">
        <v>4126</v>
      </c>
      <c r="E622" s="2" t="s">
        <v>3361</v>
      </c>
      <c r="F622" t="s">
        <v>1743</v>
      </c>
      <c r="G622" t="s">
        <v>1625</v>
      </c>
      <c r="H622" t="s">
        <v>5775</v>
      </c>
      <c r="I622" t="str">
        <f t="shared" si="9"/>
        <v>update tbl_persona set apellido_paterno= 'KARI',apellido_materno= 'OCHOA', nombre = 'GILMER JESUS' where dni = '09725249';</v>
      </c>
    </row>
    <row r="623" spans="1:9" x14ac:dyDescent="0.25">
      <c r="A623" t="s">
        <v>1227</v>
      </c>
      <c r="B623" t="s">
        <v>2694</v>
      </c>
      <c r="C623" t="s">
        <v>2695</v>
      </c>
      <c r="D623" t="s">
        <v>4127</v>
      </c>
      <c r="E623" s="2" t="s">
        <v>3362</v>
      </c>
      <c r="F623" t="s">
        <v>1743</v>
      </c>
      <c r="H623" t="s">
        <v>5776</v>
      </c>
      <c r="I623" t="str">
        <f t="shared" si="9"/>
        <v>update tbl_persona set apellido_paterno= 'DELGADO',apellido_materno= 'VIGO', nombre = 'OSCAR WILLY' where dni = '40353690';</v>
      </c>
    </row>
    <row r="624" spans="1:9" x14ac:dyDescent="0.25">
      <c r="A624" t="s">
        <v>1229</v>
      </c>
      <c r="B624" t="s">
        <v>2370</v>
      </c>
      <c r="C624" t="s">
        <v>2116</v>
      </c>
      <c r="D624" t="s">
        <v>3586</v>
      </c>
      <c r="E624" s="2" t="s">
        <v>3363</v>
      </c>
      <c r="F624" t="s">
        <v>1743</v>
      </c>
      <c r="H624" t="s">
        <v>5777</v>
      </c>
      <c r="I624" t="str">
        <f t="shared" si="9"/>
        <v>update tbl_persona set apellido_paterno= 'AYALA',apellido_materno= 'YAURI', nombre = 'DAVID' where dni = '45459960';</v>
      </c>
    </row>
    <row r="625" spans="1:9" x14ac:dyDescent="0.25">
      <c r="A625" t="s">
        <v>1231</v>
      </c>
      <c r="B625" t="s">
        <v>2696</v>
      </c>
      <c r="C625" t="s">
        <v>2206</v>
      </c>
      <c r="D625" t="s">
        <v>4128</v>
      </c>
      <c r="E625" s="2" t="s">
        <v>3364</v>
      </c>
      <c r="F625" t="s">
        <v>1743</v>
      </c>
      <c r="H625" t="s">
        <v>5778</v>
      </c>
      <c r="I625" t="str">
        <f t="shared" si="9"/>
        <v>update tbl_persona set apellido_paterno= 'HOLGUIN',apellido_materno= 'JIMENEZ', nombre = 'ADRIAN IBRAIN' where dni = '72206132';</v>
      </c>
    </row>
    <row r="626" spans="1:9" x14ac:dyDescent="0.25">
      <c r="A626" t="s">
        <v>1233</v>
      </c>
      <c r="B626" t="s">
        <v>2182</v>
      </c>
      <c r="C626" t="s">
        <v>2060</v>
      </c>
      <c r="D626" t="s">
        <v>4129</v>
      </c>
      <c r="E626" s="2" t="s">
        <v>3365</v>
      </c>
      <c r="F626" t="s">
        <v>1743</v>
      </c>
      <c r="H626" t="s">
        <v>5779</v>
      </c>
      <c r="I626" t="str">
        <f t="shared" si="9"/>
        <v>update tbl_persona set apellido_paterno= 'MALPARTIDA',apellido_materno= 'RAMOS', nombre = 'EDGARD FELIPE' where dni = '42520934';</v>
      </c>
    </row>
    <row r="627" spans="1:9" x14ac:dyDescent="0.25">
      <c r="A627" t="s">
        <v>1235</v>
      </c>
      <c r="B627" t="s">
        <v>2697</v>
      </c>
      <c r="C627" t="s">
        <v>2531</v>
      </c>
      <c r="D627" t="s">
        <v>3636</v>
      </c>
      <c r="E627" s="2" t="s">
        <v>3366</v>
      </c>
      <c r="F627" t="s">
        <v>1743</v>
      </c>
      <c r="H627" t="s">
        <v>5780</v>
      </c>
      <c r="I627" t="str">
        <f t="shared" si="9"/>
        <v>update tbl_persona set apellido_paterno= 'VENERO',apellido_materno= 'CORNEJO', nombre = 'JEAN CARLO' where dni = '70321829';</v>
      </c>
    </row>
    <row r="628" spans="1:9" x14ac:dyDescent="0.25">
      <c r="A628" t="s">
        <v>1237</v>
      </c>
      <c r="B628" t="s">
        <v>2698</v>
      </c>
      <c r="C628" t="s">
        <v>2699</v>
      </c>
      <c r="D628" t="s">
        <v>4130</v>
      </c>
      <c r="E628" s="2" t="s">
        <v>3367</v>
      </c>
      <c r="F628" t="s">
        <v>1743</v>
      </c>
      <c r="G628" t="s">
        <v>1626</v>
      </c>
      <c r="H628" t="s">
        <v>5781</v>
      </c>
      <c r="I628" t="str">
        <f t="shared" si="9"/>
        <v>update tbl_persona set apellido_paterno= 'NUNURA',apellido_materno= 'JARAMILLO', nombre = 'ANGEL EDUARDO' where dni = '73123785';</v>
      </c>
    </row>
    <row r="629" spans="1:9" x14ac:dyDescent="0.25">
      <c r="A629" t="s">
        <v>1239</v>
      </c>
      <c r="B629" t="s">
        <v>1977</v>
      </c>
      <c r="C629" t="s">
        <v>2700</v>
      </c>
      <c r="D629" t="s">
        <v>4131</v>
      </c>
      <c r="E629" s="2" t="s">
        <v>3368</v>
      </c>
      <c r="F629" t="s">
        <v>1743</v>
      </c>
      <c r="H629" t="s">
        <v>5782</v>
      </c>
      <c r="I629" t="str">
        <f t="shared" si="9"/>
        <v>update tbl_persona set apellido_paterno= 'GARCÍA',apellido_materno= 'GUTIÉRREZ', nombre = 'MARCO ANTONIO JUSTO' where dni = '46885808';</v>
      </c>
    </row>
    <row r="630" spans="1:9" x14ac:dyDescent="0.25">
      <c r="A630" t="s">
        <v>1241</v>
      </c>
      <c r="B630" t="s">
        <v>2038</v>
      </c>
      <c r="C630" t="s">
        <v>2038</v>
      </c>
      <c r="D630" t="s">
        <v>4132</v>
      </c>
      <c r="E630" s="2" t="s">
        <v>3369</v>
      </c>
      <c r="F630" t="s">
        <v>1743</v>
      </c>
      <c r="H630" t="s">
        <v>5783</v>
      </c>
      <c r="I630" t="str">
        <f t="shared" si="9"/>
        <v>update tbl_persona set apellido_paterno= 'MENDOZA',apellido_materno= 'MENDOZA', nombre = 'LUIS ANGEL' where dni = '41619909';</v>
      </c>
    </row>
    <row r="631" spans="1:9" x14ac:dyDescent="0.25">
      <c r="A631" t="s">
        <v>1243</v>
      </c>
      <c r="B631" t="s">
        <v>2701</v>
      </c>
      <c r="C631" t="s">
        <v>2647</v>
      </c>
      <c r="D631" t="s">
        <v>4133</v>
      </c>
      <c r="E631" s="2" t="s">
        <v>2981</v>
      </c>
      <c r="F631" t="s">
        <v>1743</v>
      </c>
      <c r="G631" t="s">
        <v>1627</v>
      </c>
      <c r="H631" t="s">
        <v>5784</v>
      </c>
      <c r="I631" t="str">
        <f t="shared" si="9"/>
        <v>update tbl_persona set apellido_paterno= 'ESPINO',apellido_materno= 'ANCHANTE', nombre = 'JESUS ALEXANDER' where dni = '76229793';</v>
      </c>
    </row>
    <row r="632" spans="1:9" x14ac:dyDescent="0.25">
      <c r="A632" t="s">
        <v>1245</v>
      </c>
      <c r="B632" t="s">
        <v>2518</v>
      </c>
      <c r="C632" t="s">
        <v>2004</v>
      </c>
      <c r="D632" t="s">
        <v>4134</v>
      </c>
      <c r="E632" s="2" t="s">
        <v>3370</v>
      </c>
      <c r="F632" t="s">
        <v>1743</v>
      </c>
      <c r="G632" t="s">
        <v>1628</v>
      </c>
      <c r="H632" t="s">
        <v>5785</v>
      </c>
      <c r="I632" t="str">
        <f t="shared" si="9"/>
        <v>update tbl_persona set apellido_paterno= 'PARIONA',apellido_materno= 'ROJAS', nombre = 'EDISON ELVIS' where dni = '72043515';</v>
      </c>
    </row>
    <row r="633" spans="1:9" x14ac:dyDescent="0.25">
      <c r="A633" t="s">
        <v>1247</v>
      </c>
      <c r="B633" t="s">
        <v>2585</v>
      </c>
      <c r="C633" t="s">
        <v>2702</v>
      </c>
      <c r="D633" t="s">
        <v>4135</v>
      </c>
      <c r="E633" s="2" t="s">
        <v>3371</v>
      </c>
      <c r="F633" t="s">
        <v>1743</v>
      </c>
      <c r="G633" t="s">
        <v>1629</v>
      </c>
      <c r="H633" t="s">
        <v>5786</v>
      </c>
      <c r="I633" t="str">
        <f t="shared" si="9"/>
        <v>update tbl_persona set apellido_paterno= 'PARRA',apellido_materno= 'ARBOLEDA', nombre = 'ENRIQUE ALEJANDRO' where dni = '74900124';</v>
      </c>
    </row>
    <row r="634" spans="1:9" x14ac:dyDescent="0.25">
      <c r="A634" t="s">
        <v>1249</v>
      </c>
      <c r="B634" t="s">
        <v>2703</v>
      </c>
      <c r="C634" t="s">
        <v>2201</v>
      </c>
      <c r="D634" t="s">
        <v>4136</v>
      </c>
      <c r="E634" s="2" t="s">
        <v>3372</v>
      </c>
      <c r="F634" t="s">
        <v>1743</v>
      </c>
      <c r="G634" t="s">
        <v>1630</v>
      </c>
      <c r="H634" t="s">
        <v>5787</v>
      </c>
      <c r="I634" t="str">
        <f t="shared" si="9"/>
        <v>update tbl_persona set apellido_paterno= 'ALCEDO',apellido_materno= 'CAMACHO', nombre = 'RODOLFO UBER' where dni = '46582543';</v>
      </c>
    </row>
    <row r="635" spans="1:9" x14ac:dyDescent="0.25">
      <c r="A635" t="s">
        <v>1251</v>
      </c>
      <c r="B635" t="s">
        <v>2704</v>
      </c>
      <c r="C635" t="s">
        <v>2705</v>
      </c>
      <c r="D635" t="s">
        <v>4137</v>
      </c>
      <c r="E635" s="2" t="s">
        <v>3373</v>
      </c>
      <c r="F635" t="s">
        <v>1743</v>
      </c>
      <c r="G635" t="s">
        <v>1631</v>
      </c>
      <c r="H635" t="s">
        <v>5788</v>
      </c>
      <c r="I635" t="str">
        <f t="shared" si="9"/>
        <v>update tbl_persona set apellido_paterno= 'SALDARRIAGA',apellido_materno= 'MONTEALBAN', nombre = 'JUAN MANUEL' where dni = '43163792';</v>
      </c>
    </row>
    <row r="636" spans="1:9" x14ac:dyDescent="0.25">
      <c r="A636" t="s">
        <v>1253</v>
      </c>
      <c r="B636" t="s">
        <v>2706</v>
      </c>
      <c r="C636" t="s">
        <v>2707</v>
      </c>
      <c r="D636" t="s">
        <v>4138</v>
      </c>
      <c r="E636" s="2" t="s">
        <v>3374</v>
      </c>
      <c r="F636" t="s">
        <v>1743</v>
      </c>
      <c r="G636" t="s">
        <v>1632</v>
      </c>
      <c r="H636" t="s">
        <v>5789</v>
      </c>
      <c r="I636" t="str">
        <f t="shared" si="9"/>
        <v>update tbl_persona set apellido_paterno= 'VALDIVIEZO',apellido_materno= 'SAONA', nombre = 'ALESSANDRO RAMON' where dni = '75553847';</v>
      </c>
    </row>
    <row r="637" spans="1:9" x14ac:dyDescent="0.25">
      <c r="A637" t="s">
        <v>1255</v>
      </c>
      <c r="B637" t="s">
        <v>2198</v>
      </c>
      <c r="C637" t="s">
        <v>2708</v>
      </c>
      <c r="D637" t="s">
        <v>4139</v>
      </c>
      <c r="E637" s="2" t="s">
        <v>3375</v>
      </c>
      <c r="F637" t="s">
        <v>1743</v>
      </c>
      <c r="H637" t="s">
        <v>5790</v>
      </c>
      <c r="I637" t="str">
        <f t="shared" si="9"/>
        <v>update tbl_persona set apellido_paterno= 'TINCO',apellido_materno= 'PARINA', nombre = 'RUBEN DAVID' where dni = '47573952';</v>
      </c>
    </row>
    <row r="638" spans="1:9" x14ac:dyDescent="0.25">
      <c r="A638" t="s">
        <v>1257</v>
      </c>
      <c r="B638" t="s">
        <v>2038</v>
      </c>
      <c r="C638" t="s">
        <v>2151</v>
      </c>
      <c r="D638" t="s">
        <v>4140</v>
      </c>
      <c r="E638" s="2" t="s">
        <v>3356</v>
      </c>
      <c r="F638" t="s">
        <v>1744</v>
      </c>
      <c r="H638" t="s">
        <v>5791</v>
      </c>
      <c r="I638" t="str">
        <f t="shared" si="9"/>
        <v>update tbl_persona set apellido_paterno= 'MENDOZA',apellido_materno= 'BUSTAMANTE', nombre = 'CYNTHIA MAYELY' where dni = '74762529';</v>
      </c>
    </row>
    <row r="639" spans="1:9" x14ac:dyDescent="0.25">
      <c r="A639" t="s">
        <v>1259</v>
      </c>
      <c r="B639" t="s">
        <v>2349</v>
      </c>
      <c r="C639" t="s">
        <v>2709</v>
      </c>
      <c r="D639" t="s">
        <v>3629</v>
      </c>
      <c r="E639" s="2" t="s">
        <v>3376</v>
      </c>
      <c r="F639" t="s">
        <v>1743</v>
      </c>
      <c r="G639" t="s">
        <v>1633</v>
      </c>
      <c r="H639" t="s">
        <v>5792</v>
      </c>
      <c r="I639" t="str">
        <f t="shared" si="9"/>
        <v>update tbl_persona set apellido_paterno= 'VIDAL',apellido_materno= 'BUIZA', nombre = 'JUAN CARLOS' where dni = '46852385';</v>
      </c>
    </row>
    <row r="640" spans="1:9" x14ac:dyDescent="0.25">
      <c r="A640" t="s">
        <v>1261</v>
      </c>
      <c r="B640" t="s">
        <v>2170</v>
      </c>
      <c r="C640" t="s">
        <v>2710</v>
      </c>
      <c r="D640" t="s">
        <v>3658</v>
      </c>
      <c r="E640" s="2" t="s">
        <v>3377</v>
      </c>
      <c r="F640" t="s">
        <v>1743</v>
      </c>
      <c r="G640" t="s">
        <v>1634</v>
      </c>
      <c r="H640" t="s">
        <v>5793</v>
      </c>
      <c r="I640" t="str">
        <f t="shared" si="9"/>
        <v>update tbl_persona set apellido_paterno= 'PUCUHUAYLA',apellido_materno= 'ORIHUELA', nombre = 'JORGE LUIS' where dni = '73900419';</v>
      </c>
    </row>
    <row r="641" spans="1:9" x14ac:dyDescent="0.25">
      <c r="A641" t="s">
        <v>1263</v>
      </c>
      <c r="B641" t="s">
        <v>2711</v>
      </c>
      <c r="C641" t="s">
        <v>2712</v>
      </c>
      <c r="D641" t="s">
        <v>4141</v>
      </c>
      <c r="E641" s="2" t="s">
        <v>3378</v>
      </c>
      <c r="F641" t="s">
        <v>1743</v>
      </c>
      <c r="H641" t="s">
        <v>5794</v>
      </c>
      <c r="I641" t="str">
        <f t="shared" si="9"/>
        <v>update tbl_persona set apellido_paterno= 'PISCO',apellido_materno= 'VERASTEGUI', nombre = 'MARIO ANTONIO' where dni = '47407058';</v>
      </c>
    </row>
    <row r="642" spans="1:9" x14ac:dyDescent="0.25">
      <c r="A642" t="s">
        <v>1265</v>
      </c>
      <c r="B642" t="s">
        <v>2713</v>
      </c>
      <c r="C642" t="s">
        <v>2714</v>
      </c>
      <c r="D642" t="s">
        <v>4142</v>
      </c>
      <c r="E642" s="2" t="s">
        <v>3379</v>
      </c>
      <c r="F642" t="s">
        <v>1743</v>
      </c>
      <c r="H642" t="s">
        <v>5795</v>
      </c>
      <c r="I642" t="str">
        <f t="shared" si="9"/>
        <v>update tbl_persona set apellido_paterno= 'BECERRA',apellido_materno= 'CORONADO', nombre = 'SAÚL' where dni = '73353154';</v>
      </c>
    </row>
    <row r="643" spans="1:9" x14ac:dyDescent="0.25">
      <c r="A643" t="s">
        <v>1267</v>
      </c>
      <c r="B643" t="s">
        <v>2715</v>
      </c>
      <c r="C643" t="s">
        <v>2423</v>
      </c>
      <c r="D643" t="s">
        <v>3738</v>
      </c>
      <c r="E643" s="2" t="s">
        <v>3380</v>
      </c>
      <c r="F643" t="s">
        <v>1743</v>
      </c>
      <c r="G643" t="s">
        <v>1635</v>
      </c>
      <c r="H643" t="s">
        <v>5796</v>
      </c>
      <c r="I643" t="str">
        <f t="shared" ref="I643:I706" si="10">_xlfn.CONCAT("update tbl_persona set apellido_paterno= '",B643,"',apellido_materno= '",C643,"', nombre = '",D643,"' where dni = '",A643,"';")</f>
        <v>update tbl_persona set apellido_paterno= 'GAMARRA',apellido_materno= 'MORALES', nombre = 'EDISON' where dni = '62356089';</v>
      </c>
    </row>
    <row r="644" spans="1:9" x14ac:dyDescent="0.25">
      <c r="A644" t="s">
        <v>1269</v>
      </c>
      <c r="B644" t="s">
        <v>2171</v>
      </c>
      <c r="C644" t="s">
        <v>1986</v>
      </c>
      <c r="D644" t="s">
        <v>4143</v>
      </c>
      <c r="E644" s="2" t="s">
        <v>3381</v>
      </c>
      <c r="F644" t="s">
        <v>1743</v>
      </c>
      <c r="H644" t="s">
        <v>5797</v>
      </c>
      <c r="I644" t="str">
        <f t="shared" si="10"/>
        <v>update tbl_persona set apellido_paterno= 'ALFARO',apellido_materno= 'RIVERA', nombre = 'ALVARO ROLANDO' where dni = '42785949';</v>
      </c>
    </row>
    <row r="645" spans="1:9" x14ac:dyDescent="0.25">
      <c r="A645" t="s">
        <v>1271</v>
      </c>
      <c r="B645" t="s">
        <v>2716</v>
      </c>
      <c r="C645" t="s">
        <v>2357</v>
      </c>
      <c r="D645" t="s">
        <v>4144</v>
      </c>
      <c r="E645" s="2" t="s">
        <v>3382</v>
      </c>
      <c r="F645" t="s">
        <v>1743</v>
      </c>
      <c r="G645" t="s">
        <v>1636</v>
      </c>
      <c r="H645" t="s">
        <v>5798</v>
      </c>
      <c r="I645" t="str">
        <f t="shared" si="10"/>
        <v>update tbl_persona set apellido_paterno= 'CALSIN',apellido_materno= 'TICONA', nombre = 'LUIS JUNIOR' where dni = '46592096';</v>
      </c>
    </row>
    <row r="646" spans="1:9" x14ac:dyDescent="0.25">
      <c r="A646" t="s">
        <v>1273</v>
      </c>
      <c r="B646" t="s">
        <v>2085</v>
      </c>
      <c r="C646" t="s">
        <v>2717</v>
      </c>
      <c r="D646" t="s">
        <v>4145</v>
      </c>
      <c r="E646" s="2" t="s">
        <v>3383</v>
      </c>
      <c r="F646" t="s">
        <v>1743</v>
      </c>
      <c r="H646" t="s">
        <v>5799</v>
      </c>
      <c r="I646" t="str">
        <f t="shared" si="10"/>
        <v>update tbl_persona set apellido_paterno= 'PAREDES',apellido_materno= 'LAMA', nombre = 'CARLOS ALEJANDRO' where dni = '73122116';</v>
      </c>
    </row>
    <row r="647" spans="1:9" x14ac:dyDescent="0.25">
      <c r="A647" t="s">
        <v>1275</v>
      </c>
      <c r="B647" t="s">
        <v>1969</v>
      </c>
      <c r="C647" t="s">
        <v>2718</v>
      </c>
      <c r="D647" t="s">
        <v>4146</v>
      </c>
      <c r="E647" s="2" t="s">
        <v>3384</v>
      </c>
      <c r="F647" t="s">
        <v>1743</v>
      </c>
      <c r="G647" t="s">
        <v>1638</v>
      </c>
      <c r="H647" t="s">
        <v>5800</v>
      </c>
      <c r="I647" t="str">
        <f t="shared" si="10"/>
        <v>update tbl_persona set apellido_paterno= 'QUISPE',apellido_materno= 'CORRALES', nombre = 'RENZO' where dni = '75428509';</v>
      </c>
    </row>
    <row r="648" spans="1:9" x14ac:dyDescent="0.25">
      <c r="A648" t="s">
        <v>1277</v>
      </c>
      <c r="B648" t="s">
        <v>2719</v>
      </c>
      <c r="C648" t="s">
        <v>2004</v>
      </c>
      <c r="D648" t="s">
        <v>4147</v>
      </c>
      <c r="E648" s="2" t="s">
        <v>3385</v>
      </c>
      <c r="F648" t="s">
        <v>1743</v>
      </c>
      <c r="G648" t="s">
        <v>1640</v>
      </c>
      <c r="H648" t="s">
        <v>5801</v>
      </c>
      <c r="I648" t="str">
        <f t="shared" si="10"/>
        <v>update tbl_persona set apellido_paterno= 'TORPOCO',apellido_materno= 'ROJAS', nombre = 'WILLIAM ANDRES' where dni = '72792670';</v>
      </c>
    </row>
    <row r="649" spans="1:9" x14ac:dyDescent="0.25">
      <c r="A649" t="s">
        <v>1279</v>
      </c>
      <c r="B649" t="s">
        <v>2258</v>
      </c>
      <c r="C649" t="s">
        <v>2255</v>
      </c>
      <c r="D649" t="s">
        <v>4148</v>
      </c>
      <c r="E649" s="2" t="s">
        <v>3386</v>
      </c>
      <c r="F649" t="s">
        <v>1743</v>
      </c>
      <c r="H649" t="s">
        <v>5802</v>
      </c>
      <c r="I649" t="str">
        <f t="shared" si="10"/>
        <v>update tbl_persona set apellido_paterno= 'ABAD',apellido_materno= 'NAVARRO', nombre = 'PAULO CESAR' where dni = '74490011';</v>
      </c>
    </row>
    <row r="650" spans="1:9" x14ac:dyDescent="0.25">
      <c r="A650" t="s">
        <v>1281</v>
      </c>
      <c r="B650" t="s">
        <v>2720</v>
      </c>
      <c r="C650" t="s">
        <v>1966</v>
      </c>
      <c r="D650" t="s">
        <v>3646</v>
      </c>
      <c r="E650" s="2" t="s">
        <v>3387</v>
      </c>
      <c r="F650" t="s">
        <v>1743</v>
      </c>
      <c r="G650" t="s">
        <v>1641</v>
      </c>
      <c r="H650" t="s">
        <v>5803</v>
      </c>
      <c r="I650" t="str">
        <f t="shared" si="10"/>
        <v>update tbl_persona set apellido_paterno= 'CURO',apellido_materno= 'CAMPOS', nombre = 'MARCO ANTONIO' where dni = '73508064';</v>
      </c>
    </row>
    <row r="651" spans="1:9" x14ac:dyDescent="0.25">
      <c r="A651" t="s">
        <v>1283</v>
      </c>
      <c r="B651" t="s">
        <v>2125</v>
      </c>
      <c r="C651" t="s">
        <v>2167</v>
      </c>
      <c r="D651" t="s">
        <v>4149</v>
      </c>
      <c r="E651" s="2" t="s">
        <v>3388</v>
      </c>
      <c r="F651" t="s">
        <v>1743</v>
      </c>
      <c r="H651" t="s">
        <v>5804</v>
      </c>
      <c r="I651" t="str">
        <f t="shared" si="10"/>
        <v>update tbl_persona set apellido_paterno= 'RUIZ',apellido_materno= 'JUAREZ', nombre = 'ANTHONY JOEL' where dni = '71754097';</v>
      </c>
    </row>
    <row r="652" spans="1:9" x14ac:dyDescent="0.25">
      <c r="A652" t="s">
        <v>1285</v>
      </c>
      <c r="B652" t="s">
        <v>2721</v>
      </c>
      <c r="C652" t="s">
        <v>2138</v>
      </c>
      <c r="D652" t="s">
        <v>4150</v>
      </c>
      <c r="E652" s="2" t="s">
        <v>3346</v>
      </c>
      <c r="F652" t="s">
        <v>1743</v>
      </c>
      <c r="G652" t="s">
        <v>1642</v>
      </c>
      <c r="H652" t="s">
        <v>5805</v>
      </c>
      <c r="I652" t="str">
        <f t="shared" si="10"/>
        <v>update tbl_persona set apellido_paterno= 'CHUQUIHUANGA',apellido_materno= 'SAAVEDRA', nombre = 'ELEAZAR' where dni = '47497897';</v>
      </c>
    </row>
    <row r="653" spans="1:9" x14ac:dyDescent="0.25">
      <c r="A653" t="s">
        <v>1287</v>
      </c>
      <c r="B653" t="s">
        <v>2169</v>
      </c>
      <c r="C653" t="s">
        <v>2221</v>
      </c>
      <c r="D653" t="s">
        <v>4151</v>
      </c>
      <c r="E653" s="2" t="s">
        <v>3389</v>
      </c>
      <c r="F653" t="s">
        <v>1743</v>
      </c>
      <c r="G653" t="s">
        <v>1643</v>
      </c>
      <c r="H653" t="s">
        <v>5806</v>
      </c>
      <c r="I653" t="str">
        <f t="shared" si="10"/>
        <v>update tbl_persona set apellido_paterno= 'POMA',apellido_materno= 'SALAS', nombre = 'MOISES AARON' where dni = '74641578';</v>
      </c>
    </row>
    <row r="654" spans="1:9" x14ac:dyDescent="0.25">
      <c r="A654" t="s">
        <v>1289</v>
      </c>
      <c r="B654" t="s">
        <v>2299</v>
      </c>
      <c r="C654" t="s">
        <v>2722</v>
      </c>
      <c r="D654" t="s">
        <v>4152</v>
      </c>
      <c r="E654" s="2" t="s">
        <v>3390</v>
      </c>
      <c r="F654" t="s">
        <v>1743</v>
      </c>
      <c r="G654" t="s">
        <v>1644</v>
      </c>
      <c r="H654" t="s">
        <v>5807</v>
      </c>
      <c r="I654" t="str">
        <f t="shared" si="10"/>
        <v>update tbl_persona set apellido_paterno= 'BENITES',apellido_materno= 'CHIROQUE', nombre = 'SAULO SAUL' where dni = '47054107';</v>
      </c>
    </row>
    <row r="655" spans="1:9" x14ac:dyDescent="0.25">
      <c r="A655" t="s">
        <v>1291</v>
      </c>
      <c r="B655" t="s">
        <v>2138</v>
      </c>
      <c r="C655" t="s">
        <v>2119</v>
      </c>
      <c r="D655" t="s">
        <v>4153</v>
      </c>
      <c r="E655" s="2" t="s">
        <v>3391</v>
      </c>
      <c r="F655" t="s">
        <v>1743</v>
      </c>
      <c r="G655" t="s">
        <v>1645</v>
      </c>
      <c r="H655" t="s">
        <v>5808</v>
      </c>
      <c r="I655" t="str">
        <f t="shared" si="10"/>
        <v>update tbl_persona set apellido_paterno= 'SAAVEDRA',apellido_materno= 'YOVERA', nombre = 'MARCO' where dni = '73193399';</v>
      </c>
    </row>
    <row r="656" spans="1:9" x14ac:dyDescent="0.25">
      <c r="A656" t="s">
        <v>1293</v>
      </c>
      <c r="B656" t="s">
        <v>2723</v>
      </c>
      <c r="C656" t="s">
        <v>2609</v>
      </c>
      <c r="D656" t="s">
        <v>4154</v>
      </c>
      <c r="E656" s="2" t="s">
        <v>3392</v>
      </c>
      <c r="F656" t="s">
        <v>1743</v>
      </c>
      <c r="G656" t="s">
        <v>1646</v>
      </c>
      <c r="H656" t="s">
        <v>5809</v>
      </c>
      <c r="I656" t="str">
        <f t="shared" si="10"/>
        <v>update tbl_persona set apellido_paterno= 'ATAUCUSI',apellido_materno= 'ABARCA', nombre = 'ALVARO HENRY' where dni = '72316852';</v>
      </c>
    </row>
    <row r="657" spans="1:9" x14ac:dyDescent="0.25">
      <c r="A657" t="s">
        <v>1295</v>
      </c>
      <c r="B657" t="s">
        <v>2724</v>
      </c>
      <c r="C657" t="s">
        <v>2255</v>
      </c>
      <c r="D657" t="s">
        <v>4155</v>
      </c>
      <c r="E657" s="2" t="s">
        <v>3393</v>
      </c>
      <c r="F657" t="s">
        <v>1743</v>
      </c>
      <c r="H657" t="s">
        <v>5810</v>
      </c>
      <c r="I657" t="str">
        <f t="shared" si="10"/>
        <v>update tbl_persona set apellido_paterno= 'LEDEZMA',apellido_materno= 'NAVARRO', nombre = 'LUIS' where dni = '005905582';</v>
      </c>
    </row>
    <row r="658" spans="1:9" x14ac:dyDescent="0.25">
      <c r="A658" t="s">
        <v>1297</v>
      </c>
      <c r="B658" t="s">
        <v>2725</v>
      </c>
      <c r="C658" t="s">
        <v>2022</v>
      </c>
      <c r="D658" t="s">
        <v>3889</v>
      </c>
      <c r="E658" s="2" t="s">
        <v>3394</v>
      </c>
      <c r="F658" t="s">
        <v>1743</v>
      </c>
      <c r="H658" t="s">
        <v>5811</v>
      </c>
      <c r="I658" t="str">
        <f t="shared" si="10"/>
        <v>update tbl_persona set apellido_paterno= 'URTECHO',apellido_materno= 'CASTRO', nombre = 'ALEXANDER' where dni = '75357838';</v>
      </c>
    </row>
    <row r="659" spans="1:9" x14ac:dyDescent="0.25">
      <c r="A659" t="s">
        <v>1299</v>
      </c>
      <c r="B659" t="s">
        <v>2726</v>
      </c>
      <c r="C659" t="s">
        <v>2727</v>
      </c>
      <c r="D659" t="s">
        <v>1964</v>
      </c>
      <c r="E659" s="2" t="s">
        <v>3395</v>
      </c>
      <c r="F659" t="s">
        <v>1744</v>
      </c>
      <c r="H659" t="s">
        <v>5812</v>
      </c>
      <c r="I659" t="str">
        <f t="shared" si="10"/>
        <v>update tbl_persona set apellido_paterno= 'ROMAN',apellido_materno= 'HUACHOHUILLCA', nombre = 'LAURA' where dni = '73858226';</v>
      </c>
    </row>
    <row r="660" spans="1:9" x14ac:dyDescent="0.25">
      <c r="A660" t="s">
        <v>1301</v>
      </c>
      <c r="B660" t="s">
        <v>2728</v>
      </c>
      <c r="C660" t="s">
        <v>2728</v>
      </c>
      <c r="D660" t="s">
        <v>4156</v>
      </c>
      <c r="E660" s="2" t="s">
        <v>3396</v>
      </c>
      <c r="F660" t="s">
        <v>1743</v>
      </c>
      <c r="G660" t="s">
        <v>1648</v>
      </c>
      <c r="H660" t="s">
        <v>5813</v>
      </c>
      <c r="I660" t="str">
        <f t="shared" si="10"/>
        <v>update tbl_persona set apellido_paterno= 'CONDORCAHUANA',apellido_materno= 'CONDORCAHUANA', nombre = 'FREDY' where dni = '71914391';</v>
      </c>
    </row>
    <row r="661" spans="1:9" x14ac:dyDescent="0.25">
      <c r="A661" t="s">
        <v>1303</v>
      </c>
      <c r="B661" t="s">
        <v>2241</v>
      </c>
      <c r="C661" t="s">
        <v>2729</v>
      </c>
      <c r="D661" t="s">
        <v>4157</v>
      </c>
      <c r="E661" s="2" t="s">
        <v>3397</v>
      </c>
      <c r="F661" t="s">
        <v>1743</v>
      </c>
      <c r="G661" t="s">
        <v>1649</v>
      </c>
      <c r="H661" t="s">
        <v>5814</v>
      </c>
      <c r="I661" t="str">
        <f t="shared" si="10"/>
        <v>update tbl_persona set apellido_paterno= 'CHUNGA',apellido_materno= 'SHIMOKAWA', nombre = 'DIEGO ALFONSO' where dni = '71502476';</v>
      </c>
    </row>
    <row r="662" spans="1:9" x14ac:dyDescent="0.25">
      <c r="A662" t="s">
        <v>1305</v>
      </c>
      <c r="B662" t="s">
        <v>2730</v>
      </c>
      <c r="C662" t="s">
        <v>2731</v>
      </c>
      <c r="D662" t="s">
        <v>4158</v>
      </c>
      <c r="E662" s="2" t="s">
        <v>3398</v>
      </c>
      <c r="F662" t="s">
        <v>1743</v>
      </c>
      <c r="H662" t="s">
        <v>5815</v>
      </c>
      <c r="I662" t="str">
        <f t="shared" si="10"/>
        <v>update tbl_persona set apellido_paterno= 'CARHUANCHO',apellido_materno= 'ALMANZA', nombre = 'DANIEL JUSTO' where dni = '72857265';</v>
      </c>
    </row>
    <row r="663" spans="1:9" x14ac:dyDescent="0.25">
      <c r="A663" t="s">
        <v>1307</v>
      </c>
      <c r="B663" t="s">
        <v>2100</v>
      </c>
      <c r="C663" t="s">
        <v>1993</v>
      </c>
      <c r="D663" t="s">
        <v>4159</v>
      </c>
      <c r="E663" s="2" t="s">
        <v>3399</v>
      </c>
      <c r="F663" t="s">
        <v>1743</v>
      </c>
      <c r="G663" t="s">
        <v>1650</v>
      </c>
      <c r="H663" t="s">
        <v>5816</v>
      </c>
      <c r="I663" t="str">
        <f t="shared" si="10"/>
        <v>update tbl_persona set apellido_paterno= 'LLANOS',apellido_materno= 'AGUILAR', nombre = 'ALAN JEAN PIERRE' where dni = '71419289';</v>
      </c>
    </row>
    <row r="664" spans="1:9" x14ac:dyDescent="0.25">
      <c r="A664" t="s">
        <v>1309</v>
      </c>
      <c r="B664" t="s">
        <v>2732</v>
      </c>
      <c r="C664" t="s">
        <v>2521</v>
      </c>
      <c r="D664" t="s">
        <v>4160</v>
      </c>
      <c r="E664" s="2" t="s">
        <v>3400</v>
      </c>
      <c r="F664" t="s">
        <v>1743</v>
      </c>
      <c r="G664" t="s">
        <v>1651</v>
      </c>
      <c r="H664" t="s">
        <v>5817</v>
      </c>
      <c r="I664" t="str">
        <f t="shared" si="10"/>
        <v>update tbl_persona set apellido_paterno= 'MAGUIÑA',apellido_materno= 'MALDONADO', nombre = 'EFRAIN AQUILES' where dni = '42013908';</v>
      </c>
    </row>
    <row r="665" spans="1:9" x14ac:dyDescent="0.25">
      <c r="A665" t="s">
        <v>1311</v>
      </c>
      <c r="B665" t="s">
        <v>1974</v>
      </c>
      <c r="C665" t="s">
        <v>2038</v>
      </c>
      <c r="D665" t="s">
        <v>4161</v>
      </c>
      <c r="E665" s="2" t="s">
        <v>3401</v>
      </c>
      <c r="F665" t="s">
        <v>1743</v>
      </c>
      <c r="G665" t="s">
        <v>1645</v>
      </c>
      <c r="H665" t="s">
        <v>5818</v>
      </c>
      <c r="I665" t="str">
        <f t="shared" si="10"/>
        <v>update tbl_persona set apellido_paterno= 'VILLEGAS',apellido_materno= 'MENDOZA', nombre = 'JOSE ERARDO' where dni = '74994958';</v>
      </c>
    </row>
    <row r="666" spans="1:9" x14ac:dyDescent="0.25">
      <c r="A666" t="s">
        <v>1313</v>
      </c>
      <c r="B666" t="s">
        <v>2733</v>
      </c>
      <c r="C666" t="s">
        <v>2734</v>
      </c>
      <c r="D666" t="s">
        <v>4162</v>
      </c>
      <c r="E666" s="2" t="s">
        <v>3402</v>
      </c>
      <c r="F666" t="s">
        <v>1743</v>
      </c>
      <c r="G666" t="s">
        <v>1653</v>
      </c>
      <c r="H666" t="s">
        <v>5819</v>
      </c>
      <c r="I666" t="str">
        <f t="shared" si="10"/>
        <v>update tbl_persona set apellido_paterno= 'GUERE',apellido_materno= 'DAGA', nombre = 'SAUL' where dni = '00126496';</v>
      </c>
    </row>
    <row r="667" spans="1:9" x14ac:dyDescent="0.25">
      <c r="A667" t="s">
        <v>1315</v>
      </c>
      <c r="B667" t="s">
        <v>2157</v>
      </c>
      <c r="C667" t="s">
        <v>2534</v>
      </c>
      <c r="D667" t="s">
        <v>4163</v>
      </c>
      <c r="E667" s="2" t="s">
        <v>3403</v>
      </c>
      <c r="F667" t="s">
        <v>1743</v>
      </c>
      <c r="G667" t="s">
        <v>1654</v>
      </c>
      <c r="H667" t="s">
        <v>5820</v>
      </c>
      <c r="I667" t="str">
        <f t="shared" si="10"/>
        <v>update tbl_persona set apellido_paterno= 'HUAMAN',apellido_materno= 'CABRERA', nombre = 'RODRIGO MICHEL' where dni = '72243976';</v>
      </c>
    </row>
    <row r="668" spans="1:9" x14ac:dyDescent="0.25">
      <c r="A668" t="s">
        <v>1317</v>
      </c>
      <c r="B668" t="s">
        <v>2735</v>
      </c>
      <c r="C668" t="s">
        <v>2004</v>
      </c>
      <c r="D668" t="s">
        <v>4164</v>
      </c>
      <c r="E668" s="2" t="s">
        <v>3404</v>
      </c>
      <c r="F668" t="s">
        <v>1743</v>
      </c>
      <c r="G668" t="s">
        <v>1655</v>
      </c>
      <c r="H668" t="s">
        <v>5821</v>
      </c>
      <c r="I668" t="str">
        <f t="shared" si="10"/>
        <v>update tbl_persona set apellido_paterno= 'DAORTA',apellido_materno= 'ROJAS', nombre = 'ALVARO SEBASTIÁN' where dni = '75081363';</v>
      </c>
    </row>
    <row r="669" spans="1:9" x14ac:dyDescent="0.25">
      <c r="A669" t="s">
        <v>1319</v>
      </c>
      <c r="B669" t="s">
        <v>2030</v>
      </c>
      <c r="C669" t="s">
        <v>2736</v>
      </c>
      <c r="D669" t="s">
        <v>4165</v>
      </c>
      <c r="E669" s="2" t="s">
        <v>3405</v>
      </c>
      <c r="F669" t="s">
        <v>1743</v>
      </c>
      <c r="G669" t="s">
        <v>1656</v>
      </c>
      <c r="H669" t="s">
        <v>5822</v>
      </c>
      <c r="I669" t="str">
        <f t="shared" si="10"/>
        <v>update tbl_persona set apellido_paterno= 'MEZA',apellido_materno= 'NANO', nombre = 'DEYVI YULI' where dni = '10662442';</v>
      </c>
    </row>
    <row r="670" spans="1:9" x14ac:dyDescent="0.25">
      <c r="A670" t="s">
        <v>1321</v>
      </c>
      <c r="B670" t="s">
        <v>2737</v>
      </c>
      <c r="C670" t="s">
        <v>2518</v>
      </c>
      <c r="D670" t="s">
        <v>4166</v>
      </c>
      <c r="E670" s="2" t="s">
        <v>3406</v>
      </c>
      <c r="F670" t="s">
        <v>1743</v>
      </c>
      <c r="G670" t="s">
        <v>1657</v>
      </c>
      <c r="H670" t="s">
        <v>5823</v>
      </c>
      <c r="I670" t="str">
        <f t="shared" si="10"/>
        <v>update tbl_persona set apellido_paterno= 'VELÁSQUEZ',apellido_materno= 'PARIONA', nombre = 'GIAN CARLO' where dni = '74533802';</v>
      </c>
    </row>
    <row r="671" spans="1:9" x14ac:dyDescent="0.25">
      <c r="A671" t="s">
        <v>1323</v>
      </c>
      <c r="B671" t="s">
        <v>2738</v>
      </c>
      <c r="C671" t="s">
        <v>1963</v>
      </c>
      <c r="D671" t="s">
        <v>4167</v>
      </c>
      <c r="E671" s="2" t="s">
        <v>3407</v>
      </c>
      <c r="F671" t="s">
        <v>1743</v>
      </c>
      <c r="G671" t="s">
        <v>1658</v>
      </c>
      <c r="H671" t="s">
        <v>5824</v>
      </c>
      <c r="I671" t="str">
        <f t="shared" si="10"/>
        <v>update tbl_persona set apellido_paterno= 'PAYAJO',apellido_materno= 'HERRERA', nombre = 'JONATHAN' where dni = '76077072';</v>
      </c>
    </row>
    <row r="672" spans="1:9" x14ac:dyDescent="0.25">
      <c r="A672" t="s">
        <v>1325</v>
      </c>
      <c r="B672" t="s">
        <v>2739</v>
      </c>
      <c r="C672" t="s">
        <v>2740</v>
      </c>
      <c r="D672" t="s">
        <v>4168</v>
      </c>
      <c r="E672" s="2" t="s">
        <v>3408</v>
      </c>
      <c r="F672" t="s">
        <v>1743</v>
      </c>
      <c r="G672" t="s">
        <v>1659</v>
      </c>
      <c r="H672" t="s">
        <v>5825</v>
      </c>
      <c r="I672" t="str">
        <f t="shared" si="10"/>
        <v>update tbl_persona set apellido_paterno= 'SERON',apellido_materno= 'SANABRIA', nombre = 'ANTHONY EDUARDO' where dni = '77464512';</v>
      </c>
    </row>
    <row r="673" spans="1:9" x14ac:dyDescent="0.25">
      <c r="A673" t="s">
        <v>1327</v>
      </c>
      <c r="B673" t="s">
        <v>2741</v>
      </c>
      <c r="C673" t="s">
        <v>2285</v>
      </c>
      <c r="D673" t="s">
        <v>4169</v>
      </c>
      <c r="E673" s="2" t="s">
        <v>3409</v>
      </c>
      <c r="F673" t="s">
        <v>1743</v>
      </c>
      <c r="G673" t="s">
        <v>1660</v>
      </c>
      <c r="H673" t="s">
        <v>5826</v>
      </c>
      <c r="I673" t="str">
        <f t="shared" si="10"/>
        <v>update tbl_persona set apellido_paterno= 'PASACHE',apellido_materno= 'SANDOVAL', nombre = 'EDINSON IVAN' where dni = '73018898';</v>
      </c>
    </row>
    <row r="674" spans="1:9" x14ac:dyDescent="0.25">
      <c r="A674" t="s">
        <v>1329</v>
      </c>
      <c r="B674" t="s">
        <v>2742</v>
      </c>
      <c r="C674" t="s">
        <v>2743</v>
      </c>
      <c r="D674" t="s">
        <v>4170</v>
      </c>
      <c r="E674" s="2" t="s">
        <v>3410</v>
      </c>
      <c r="F674" t="s">
        <v>1743</v>
      </c>
      <c r="G674" t="s">
        <v>1661</v>
      </c>
      <c r="H674" t="s">
        <v>5827</v>
      </c>
      <c r="I674" t="str">
        <f t="shared" si="10"/>
        <v>update tbl_persona set apellido_paterno= 'VILCHERRES',apellido_materno= 'GARCÉS', nombre = 'AARON' where dni = '75831113';</v>
      </c>
    </row>
    <row r="675" spans="1:9" x14ac:dyDescent="0.25">
      <c r="A675" t="s">
        <v>1331</v>
      </c>
      <c r="B675" t="s">
        <v>2744</v>
      </c>
      <c r="C675" t="s">
        <v>2625</v>
      </c>
      <c r="D675" t="s">
        <v>4171</v>
      </c>
      <c r="E675" s="2" t="s">
        <v>3411</v>
      </c>
      <c r="F675" t="s">
        <v>1743</v>
      </c>
      <c r="G675" t="s">
        <v>1662</v>
      </c>
      <c r="H675" t="s">
        <v>5828</v>
      </c>
      <c r="I675" t="str">
        <f t="shared" si="10"/>
        <v>update tbl_persona set apellido_paterno= 'CARHUAS',apellido_materno= 'GASPAR', nombre = 'JOEL ALBERTO' where dni = '48060004';</v>
      </c>
    </row>
    <row r="676" spans="1:9" x14ac:dyDescent="0.25">
      <c r="A676" t="s">
        <v>1333</v>
      </c>
      <c r="B676" t="s">
        <v>2353</v>
      </c>
      <c r="C676" t="s">
        <v>2745</v>
      </c>
      <c r="D676" t="s">
        <v>4172</v>
      </c>
      <c r="E676" s="2" t="s">
        <v>3140</v>
      </c>
      <c r="F676" t="s">
        <v>1743</v>
      </c>
      <c r="G676" t="s">
        <v>1663</v>
      </c>
      <c r="H676" t="s">
        <v>5829</v>
      </c>
      <c r="I676" t="str">
        <f t="shared" si="10"/>
        <v>update tbl_persona set apellido_paterno= 'BALDEON',apellido_materno= 'INGA', nombre = 'ELMER JESUS' where dni = '61554809';</v>
      </c>
    </row>
    <row r="677" spans="1:9" x14ac:dyDescent="0.25">
      <c r="A677" t="s">
        <v>1335</v>
      </c>
      <c r="B677" t="s">
        <v>2120</v>
      </c>
      <c r="C677" t="s">
        <v>2204</v>
      </c>
      <c r="D677" t="s">
        <v>4173</v>
      </c>
      <c r="E677" s="2" t="s">
        <v>3412</v>
      </c>
      <c r="F677" t="s">
        <v>1743</v>
      </c>
      <c r="G677" t="s">
        <v>1664</v>
      </c>
      <c r="H677" t="s">
        <v>5830</v>
      </c>
      <c r="I677" t="str">
        <f t="shared" si="10"/>
        <v>update tbl_persona set apellido_paterno= 'SANTIAGO',apellido_materno= 'MOGOLLON', nombre = 'ANDERSON MIGUEL' where dni = '76635820';</v>
      </c>
    </row>
    <row r="678" spans="1:9" x14ac:dyDescent="0.25">
      <c r="A678" t="s">
        <v>1337</v>
      </c>
      <c r="B678" t="s">
        <v>2746</v>
      </c>
      <c r="C678" t="s">
        <v>2285</v>
      </c>
      <c r="D678" t="s">
        <v>4174</v>
      </c>
      <c r="E678" s="2" t="s">
        <v>3413</v>
      </c>
      <c r="F678" t="s">
        <v>1743</v>
      </c>
      <c r="G678" t="s">
        <v>1665</v>
      </c>
      <c r="H678" t="s">
        <v>5831</v>
      </c>
      <c r="I678" t="str">
        <f t="shared" si="10"/>
        <v>update tbl_persona set apellido_paterno= 'RUESTA',apellido_materno= 'SANDOVAL', nombre = 'JULIO RAMIRO' where dni = '42738226';</v>
      </c>
    </row>
    <row r="679" spans="1:9" x14ac:dyDescent="0.25">
      <c r="A679" t="s">
        <v>1339</v>
      </c>
      <c r="B679" t="s">
        <v>2339</v>
      </c>
      <c r="C679" t="s">
        <v>2108</v>
      </c>
      <c r="D679" t="s">
        <v>4175</v>
      </c>
      <c r="E679" s="2" t="s">
        <v>3414</v>
      </c>
      <c r="F679" t="s">
        <v>1743</v>
      </c>
      <c r="G679" t="s">
        <v>1666</v>
      </c>
      <c r="H679" t="s">
        <v>5832</v>
      </c>
      <c r="I679" t="str">
        <f t="shared" si="10"/>
        <v>update tbl_persona set apellido_paterno= 'SAMANIEGO',apellido_materno= 'PIZARRO', nombre = 'ANTHONY ALEXANDER' where dni = '76553052';</v>
      </c>
    </row>
    <row r="680" spans="1:9" x14ac:dyDescent="0.25">
      <c r="A680" t="s">
        <v>279</v>
      </c>
      <c r="B680" t="s">
        <v>1966</v>
      </c>
      <c r="C680" t="s">
        <v>2169</v>
      </c>
      <c r="D680" t="s">
        <v>4176</v>
      </c>
      <c r="E680" s="2" t="s">
        <v>2999</v>
      </c>
      <c r="F680" t="s">
        <v>1744</v>
      </c>
      <c r="H680" t="s">
        <v>5833</v>
      </c>
      <c r="I680" t="str">
        <f t="shared" si="10"/>
        <v>update tbl_persona set apellido_paterno= 'CAMPOS',apellido_materno= 'POMA', nombre = 'CARLA SAIDA' where dni = '75921946';</v>
      </c>
    </row>
    <row r="681" spans="1:9" x14ac:dyDescent="0.25">
      <c r="A681" t="s">
        <v>431</v>
      </c>
      <c r="B681" t="s">
        <v>2257</v>
      </c>
      <c r="C681" t="s">
        <v>2258</v>
      </c>
      <c r="D681" t="s">
        <v>3673</v>
      </c>
      <c r="E681" s="2" t="s">
        <v>3237</v>
      </c>
      <c r="F681" t="s">
        <v>1743</v>
      </c>
      <c r="H681" t="s">
        <v>5834</v>
      </c>
      <c r="I681" t="str">
        <f t="shared" si="10"/>
        <v>update tbl_persona set apellido_paterno= 'MENA',apellido_materno= 'ABAD', nombre = 'JULIO CESAR' where dni = '76928637';</v>
      </c>
    </row>
    <row r="682" spans="1:9" x14ac:dyDescent="0.25">
      <c r="A682" t="s">
        <v>1344</v>
      </c>
      <c r="B682" t="s">
        <v>2157</v>
      </c>
      <c r="C682" t="s">
        <v>2022</v>
      </c>
      <c r="D682" t="s">
        <v>4177</v>
      </c>
      <c r="E682" s="2" t="s">
        <v>3415</v>
      </c>
      <c r="F682" t="s">
        <v>1743</v>
      </c>
      <c r="H682" t="s">
        <v>5835</v>
      </c>
      <c r="I682" t="str">
        <f t="shared" si="10"/>
        <v>update tbl_persona set apellido_paterno= 'HUAMAN',apellido_materno= 'CASTRO', nombre = 'FRANCISCO EDUARDO' where dni = '72223894';</v>
      </c>
    </row>
    <row r="683" spans="1:9" x14ac:dyDescent="0.25">
      <c r="A683" t="s">
        <v>1346</v>
      </c>
      <c r="B683" t="s">
        <v>2060</v>
      </c>
      <c r="C683" t="s">
        <v>2747</v>
      </c>
      <c r="D683" t="s">
        <v>4178</v>
      </c>
      <c r="E683" s="2" t="s">
        <v>3416</v>
      </c>
      <c r="F683" t="s">
        <v>1743</v>
      </c>
      <c r="H683" t="s">
        <v>5836</v>
      </c>
      <c r="I683" t="str">
        <f t="shared" si="10"/>
        <v>update tbl_persona set apellido_paterno= 'RAMOS',apellido_materno= 'PEREDA', nombre = 'GIANMARCO ANTONY' where dni = '70317411';</v>
      </c>
    </row>
    <row r="684" spans="1:9" x14ac:dyDescent="0.25">
      <c r="A684" t="s">
        <v>1348</v>
      </c>
      <c r="B684" t="s">
        <v>2062</v>
      </c>
      <c r="C684" t="s">
        <v>2584</v>
      </c>
      <c r="D684" t="s">
        <v>4179</v>
      </c>
      <c r="E684" s="2" t="s">
        <v>3417</v>
      </c>
      <c r="F684" t="s">
        <v>1743</v>
      </c>
      <c r="H684" t="s">
        <v>5837</v>
      </c>
      <c r="I684" t="str">
        <f t="shared" si="10"/>
        <v>update tbl_persona set apellido_paterno= 'VARGAS',apellido_materno= 'CUADROS', nombre = 'JOSSLY PAUL' where dni = '72838897';</v>
      </c>
    </row>
    <row r="685" spans="1:9" x14ac:dyDescent="0.25">
      <c r="A685" t="s">
        <v>1350</v>
      </c>
      <c r="B685" t="s">
        <v>2692</v>
      </c>
      <c r="C685" t="s">
        <v>2004</v>
      </c>
      <c r="D685" t="s">
        <v>3676</v>
      </c>
      <c r="E685" s="2" t="s">
        <v>3418</v>
      </c>
      <c r="F685" t="s">
        <v>1743</v>
      </c>
      <c r="H685" t="s">
        <v>5838</v>
      </c>
      <c r="I685" t="str">
        <f t="shared" si="10"/>
        <v>update tbl_persona set apellido_paterno= 'QUIROZ',apellido_materno= 'ROJAS', nombre = 'CESAR' where dni = '44028454';</v>
      </c>
    </row>
    <row r="686" spans="1:9" x14ac:dyDescent="0.25">
      <c r="A686" t="s">
        <v>1352</v>
      </c>
      <c r="B686" t="s">
        <v>2748</v>
      </c>
      <c r="C686" t="s">
        <v>2342</v>
      </c>
      <c r="D686" t="s">
        <v>4180</v>
      </c>
      <c r="E686" s="2" t="s">
        <v>3419</v>
      </c>
      <c r="F686" t="s">
        <v>1743</v>
      </c>
      <c r="H686" t="s">
        <v>5839</v>
      </c>
      <c r="I686" t="str">
        <f t="shared" si="10"/>
        <v>update tbl_persona set apellido_paterno= 'ORIONDO',apellido_materno= 'DE LA CRUZ', nombre = 'FABRICIO' where dni = '76508212';</v>
      </c>
    </row>
    <row r="687" spans="1:9" x14ac:dyDescent="0.25">
      <c r="A687" t="s">
        <v>1354</v>
      </c>
      <c r="B687" t="s">
        <v>2052</v>
      </c>
      <c r="C687" t="s">
        <v>2749</v>
      </c>
      <c r="D687" t="s">
        <v>4181</v>
      </c>
      <c r="E687" s="2" t="s">
        <v>3420</v>
      </c>
      <c r="F687" t="s">
        <v>1743</v>
      </c>
      <c r="H687" t="s">
        <v>5840</v>
      </c>
      <c r="I687" t="str">
        <f t="shared" si="10"/>
        <v>update tbl_persona set apellido_paterno= 'RIOS',apellido_materno= 'GARAY', nombre = 'ANTONIO DAVID' where dni = '46229768';</v>
      </c>
    </row>
    <row r="688" spans="1:9" x14ac:dyDescent="0.25">
      <c r="A688" t="s">
        <v>1356</v>
      </c>
      <c r="B688" t="s">
        <v>2750</v>
      </c>
      <c r="C688" t="s">
        <v>2486</v>
      </c>
      <c r="D688" t="s">
        <v>4145</v>
      </c>
      <c r="E688" s="2" t="s">
        <v>3421</v>
      </c>
      <c r="F688" t="s">
        <v>1743</v>
      </c>
      <c r="H688" t="s">
        <v>5841</v>
      </c>
      <c r="I688" t="str">
        <f t="shared" si="10"/>
        <v>update tbl_persona set apellido_paterno= 'HUANCA',apellido_materno= 'CASTILLO', nombre = 'CARLOS ALEJANDRO' where dni = '72941031';</v>
      </c>
    </row>
    <row r="689" spans="1:9" x14ac:dyDescent="0.25">
      <c r="A689" t="s">
        <v>1358</v>
      </c>
      <c r="B689" t="s">
        <v>1969</v>
      </c>
      <c r="C689" t="s">
        <v>2332</v>
      </c>
      <c r="D689" t="s">
        <v>4182</v>
      </c>
      <c r="E689" s="2" t="s">
        <v>3422</v>
      </c>
      <c r="F689" t="s">
        <v>1743</v>
      </c>
      <c r="G689" t="s">
        <v>1669</v>
      </c>
      <c r="H689" t="s">
        <v>5842</v>
      </c>
      <c r="I689" t="str">
        <f t="shared" si="10"/>
        <v>update tbl_persona set apellido_paterno= 'QUISPE',apellido_materno= 'CARDENAS', nombre = 'ROMULO' where dni = '71085374';</v>
      </c>
    </row>
    <row r="690" spans="1:9" x14ac:dyDescent="0.25">
      <c r="A690" t="s">
        <v>1360</v>
      </c>
      <c r="B690" t="s">
        <v>2316</v>
      </c>
      <c r="C690" t="s">
        <v>2751</v>
      </c>
      <c r="D690" t="s">
        <v>4183</v>
      </c>
      <c r="E690" s="2" t="s">
        <v>3423</v>
      </c>
      <c r="F690" t="s">
        <v>1743</v>
      </c>
      <c r="H690" t="s">
        <v>5843</v>
      </c>
      <c r="I690" t="str">
        <f t="shared" si="10"/>
        <v>update tbl_persona set apellido_paterno= 'SANTIVAÑEZ',apellido_materno= 'ZACARIAS', nombre = 'JHANCARLOS ANDRÉS' where dni = '75598100';</v>
      </c>
    </row>
    <row r="691" spans="1:9" x14ac:dyDescent="0.25">
      <c r="A691" t="s">
        <v>1362</v>
      </c>
      <c r="B691" t="s">
        <v>2752</v>
      </c>
      <c r="C691" t="s">
        <v>2753</v>
      </c>
      <c r="D691" t="s">
        <v>4184</v>
      </c>
      <c r="E691" s="2" t="s">
        <v>3424</v>
      </c>
      <c r="F691" t="s">
        <v>1743</v>
      </c>
      <c r="G691" t="s">
        <v>1670</v>
      </c>
      <c r="H691" t="s">
        <v>5844</v>
      </c>
      <c r="I691" t="str">
        <f t="shared" si="10"/>
        <v>update tbl_persona set apellido_paterno= 'MENDO',apellido_materno= 'CASTAÑEDA', nombre = 'EDUARDO FRANCO' where dni = '75396403';</v>
      </c>
    </row>
    <row r="692" spans="1:9" x14ac:dyDescent="0.25">
      <c r="A692" t="s">
        <v>1364</v>
      </c>
      <c r="B692" t="s">
        <v>2754</v>
      </c>
      <c r="C692" t="s">
        <v>2187</v>
      </c>
      <c r="D692" t="s">
        <v>4155</v>
      </c>
      <c r="E692" s="2" t="s">
        <v>2927</v>
      </c>
      <c r="F692" t="s">
        <v>1743</v>
      </c>
      <c r="H692" t="s">
        <v>5845</v>
      </c>
      <c r="I692" t="str">
        <f t="shared" si="10"/>
        <v>update tbl_persona set apellido_paterno= 'CAPCHA',apellido_materno= 'APAZA', nombre = 'LUIS' where dni = '76188068';</v>
      </c>
    </row>
    <row r="693" spans="1:9" x14ac:dyDescent="0.25">
      <c r="A693" t="s">
        <v>1366</v>
      </c>
      <c r="B693" t="s">
        <v>2755</v>
      </c>
      <c r="C693" t="s">
        <v>2072</v>
      </c>
      <c r="D693" t="s">
        <v>4185</v>
      </c>
      <c r="E693" s="2" t="s">
        <v>3425</v>
      </c>
      <c r="F693" t="s">
        <v>1743</v>
      </c>
      <c r="G693" t="s">
        <v>1671</v>
      </c>
      <c r="H693" t="s">
        <v>5846</v>
      </c>
      <c r="I693" t="str">
        <f t="shared" si="10"/>
        <v>update tbl_persona set apellido_paterno= 'RONDON',apellido_materno= 'CHAVEZ', nombre = 'GREGORIO JAMPIER' where dni = '74737996';</v>
      </c>
    </row>
    <row r="694" spans="1:9" x14ac:dyDescent="0.25">
      <c r="A694" t="s">
        <v>1368</v>
      </c>
      <c r="B694" t="s">
        <v>2756</v>
      </c>
      <c r="C694" t="s">
        <v>2751</v>
      </c>
      <c r="D694" t="s">
        <v>4186</v>
      </c>
      <c r="E694" s="2" t="s">
        <v>3426</v>
      </c>
      <c r="F694" t="s">
        <v>1743</v>
      </c>
      <c r="H694" t="s">
        <v>5847</v>
      </c>
      <c r="I694" t="str">
        <f t="shared" si="10"/>
        <v>update tbl_persona set apellido_paterno= 'COLLAZOS',apellido_materno= 'ZACARIAS', nombre = 'OWENH HIPOLITO' where dni = '77491958';</v>
      </c>
    </row>
    <row r="695" spans="1:9" x14ac:dyDescent="0.25">
      <c r="A695" t="s">
        <v>1370</v>
      </c>
      <c r="B695" t="s">
        <v>2757</v>
      </c>
      <c r="C695" t="s">
        <v>2758</v>
      </c>
      <c r="D695" t="s">
        <v>4187</v>
      </c>
      <c r="E695" s="2" t="s">
        <v>3427</v>
      </c>
      <c r="F695" t="s">
        <v>1743</v>
      </c>
      <c r="G695" t="s">
        <v>1672</v>
      </c>
      <c r="H695" t="s">
        <v>5848</v>
      </c>
      <c r="I695" t="str">
        <f t="shared" si="10"/>
        <v>update tbl_persona set apellido_paterno= 'VIRREYRA',apellido_materno= 'PREIS', nombre = 'RODRIGO DIEGO' where dni = '73527165';</v>
      </c>
    </row>
    <row r="696" spans="1:9" x14ac:dyDescent="0.25">
      <c r="A696" t="s">
        <v>1372</v>
      </c>
      <c r="B696" t="s">
        <v>1969</v>
      </c>
      <c r="C696" t="s">
        <v>2157</v>
      </c>
      <c r="D696" t="s">
        <v>4188</v>
      </c>
      <c r="E696" s="2" t="s">
        <v>3428</v>
      </c>
      <c r="F696" t="s">
        <v>1743</v>
      </c>
      <c r="G696" t="s">
        <v>1673</v>
      </c>
      <c r="H696" t="s">
        <v>5849</v>
      </c>
      <c r="I696" t="str">
        <f t="shared" si="10"/>
        <v>update tbl_persona set apellido_paterno= 'QUISPE',apellido_materno= 'HUAMAN', nombre = 'JESUS YONY' where dni = '70093793';</v>
      </c>
    </row>
    <row r="697" spans="1:9" x14ac:dyDescent="0.25">
      <c r="A697" t="s">
        <v>1374</v>
      </c>
      <c r="B697" t="s">
        <v>1969</v>
      </c>
      <c r="C697" t="s">
        <v>2679</v>
      </c>
      <c r="D697" t="s">
        <v>4189</v>
      </c>
      <c r="E697" s="2" t="s">
        <v>3429</v>
      </c>
      <c r="F697" t="s">
        <v>1743</v>
      </c>
      <c r="G697" t="s">
        <v>1674</v>
      </c>
      <c r="H697" t="s">
        <v>5850</v>
      </c>
      <c r="I697" t="str">
        <f t="shared" si="10"/>
        <v>update tbl_persona set apellido_paterno= 'QUISPE',apellido_materno= 'LUNA', nombre = 'LEMNIS LINO' where dni = '72634536';</v>
      </c>
    </row>
    <row r="698" spans="1:9" x14ac:dyDescent="0.25">
      <c r="A698" t="s">
        <v>1376</v>
      </c>
      <c r="B698" t="s">
        <v>2527</v>
      </c>
      <c r="C698" t="s">
        <v>2759</v>
      </c>
      <c r="D698" t="s">
        <v>4190</v>
      </c>
      <c r="E698" s="2" t="s">
        <v>3430</v>
      </c>
      <c r="F698" t="s">
        <v>1743</v>
      </c>
      <c r="G698" t="s">
        <v>1675</v>
      </c>
      <c r="H698" t="s">
        <v>5851</v>
      </c>
      <c r="I698" t="str">
        <f t="shared" si="10"/>
        <v>update tbl_persona set apellido_paterno= 'ARANDA',apellido_materno= 'TIPISMANA', nombre = 'EBERTH OMAR' where dni = '46858864';</v>
      </c>
    </row>
    <row r="699" spans="1:9" x14ac:dyDescent="0.25">
      <c r="A699" t="s">
        <v>1378</v>
      </c>
      <c r="B699" t="s">
        <v>2760</v>
      </c>
      <c r="C699" t="s">
        <v>2761</v>
      </c>
      <c r="D699" t="s">
        <v>4191</v>
      </c>
      <c r="E699" s="2" t="s">
        <v>3431</v>
      </c>
      <c r="F699" t="s">
        <v>1743</v>
      </c>
      <c r="G699" t="s">
        <v>1676</v>
      </c>
      <c r="H699" t="s">
        <v>5852</v>
      </c>
      <c r="I699" t="str">
        <f t="shared" si="10"/>
        <v>update tbl_persona set apellido_paterno= 'COAQUIRA',apellido_materno= 'PACCORI', nombre = 'DIEGO DOUGLAS' where dni = '76350192';</v>
      </c>
    </row>
    <row r="700" spans="1:9" x14ac:dyDescent="0.25">
      <c r="A700" t="s">
        <v>1380</v>
      </c>
      <c r="B700" t="s">
        <v>2014</v>
      </c>
      <c r="C700" t="s">
        <v>2762</v>
      </c>
      <c r="D700" t="s">
        <v>4192</v>
      </c>
      <c r="E700" s="2" t="s">
        <v>3432</v>
      </c>
      <c r="F700" t="s">
        <v>1743</v>
      </c>
      <c r="G700" t="s">
        <v>1677</v>
      </c>
      <c r="H700" t="s">
        <v>5853</v>
      </c>
      <c r="I700" t="str">
        <f t="shared" si="10"/>
        <v>update tbl_persona set apellido_paterno= 'GARCIA',apellido_materno= 'SINCHE', nombre = 'JAIME FERNANDO' where dni = '70666387';</v>
      </c>
    </row>
    <row r="701" spans="1:9" x14ac:dyDescent="0.25">
      <c r="A701" t="s">
        <v>1382</v>
      </c>
      <c r="B701" t="s">
        <v>2328</v>
      </c>
      <c r="C701" t="s">
        <v>2763</v>
      </c>
      <c r="D701" t="s">
        <v>4193</v>
      </c>
      <c r="E701" s="2" t="s">
        <v>3433</v>
      </c>
      <c r="F701" t="s">
        <v>1744</v>
      </c>
      <c r="H701" t="s">
        <v>5854</v>
      </c>
      <c r="I701" t="str">
        <f t="shared" si="10"/>
        <v>update tbl_persona set apellido_paterno= 'HURTADO',apellido_materno= 'FARIAS', nombre = 'ADRIANA LUCIA' where dni = '74715476';</v>
      </c>
    </row>
    <row r="702" spans="1:9" x14ac:dyDescent="0.25">
      <c r="A702" t="s">
        <v>1384</v>
      </c>
      <c r="B702" t="s">
        <v>2764</v>
      </c>
      <c r="C702" t="s">
        <v>2173</v>
      </c>
      <c r="D702" t="s">
        <v>4194</v>
      </c>
      <c r="E702" s="2" t="s">
        <v>3434</v>
      </c>
      <c r="F702" t="s">
        <v>1743</v>
      </c>
      <c r="H702" t="s">
        <v>5855</v>
      </c>
      <c r="I702" t="str">
        <f t="shared" si="10"/>
        <v>update tbl_persona set apellido_paterno= 'SEMINARIO',apellido_materno= 'SILVA', nombre = 'JULIO ALEXANDER' where dni = '75391800';</v>
      </c>
    </row>
    <row r="703" spans="1:9" x14ac:dyDescent="0.25">
      <c r="A703" t="s">
        <v>1386</v>
      </c>
      <c r="B703" t="s">
        <v>2104</v>
      </c>
      <c r="C703" t="s">
        <v>2765</v>
      </c>
      <c r="D703" t="s">
        <v>4195</v>
      </c>
      <c r="E703" s="2" t="s">
        <v>3435</v>
      </c>
      <c r="F703" t="s">
        <v>1743</v>
      </c>
      <c r="H703" t="s">
        <v>5856</v>
      </c>
      <c r="I703" t="str">
        <f t="shared" si="10"/>
        <v>update tbl_persona set apellido_paterno= 'VILLA',apellido_materno= 'ZORRILLA', nombre = 'ALEJANDRO MARTIN' where dni = '09572369';</v>
      </c>
    </row>
    <row r="704" spans="1:9" x14ac:dyDescent="0.25">
      <c r="A704" t="s">
        <v>1388</v>
      </c>
      <c r="B704" t="s">
        <v>2360</v>
      </c>
      <c r="C704" t="s">
        <v>2766</v>
      </c>
      <c r="D704" t="s">
        <v>4196</v>
      </c>
      <c r="E704" s="2" t="s">
        <v>3436</v>
      </c>
      <c r="F704" t="s">
        <v>1743</v>
      </c>
      <c r="H704" t="s">
        <v>5857</v>
      </c>
      <c r="I704" t="str">
        <f t="shared" si="10"/>
        <v>update tbl_persona set apellido_paterno= 'ORELLANA',apellido_materno= 'SURCO', nombre = 'GABRIEL OSWALDO' where dni = '76681205';</v>
      </c>
    </row>
    <row r="705" spans="1:9" x14ac:dyDescent="0.25">
      <c r="A705" t="s">
        <v>1390</v>
      </c>
      <c r="B705" t="s">
        <v>2101</v>
      </c>
      <c r="C705" t="s">
        <v>2085</v>
      </c>
      <c r="D705" t="s">
        <v>4197</v>
      </c>
      <c r="E705" s="2" t="s">
        <v>3142</v>
      </c>
      <c r="F705" t="s">
        <v>1743</v>
      </c>
      <c r="G705" t="s">
        <v>1678</v>
      </c>
      <c r="H705" t="s">
        <v>5858</v>
      </c>
      <c r="I705" t="str">
        <f t="shared" si="10"/>
        <v>update tbl_persona set apellido_paterno= 'PEREZ',apellido_materno= 'PAREDES', nombre = 'EDWAR YSRAEL' where dni = '44229927';</v>
      </c>
    </row>
    <row r="706" spans="1:9" x14ac:dyDescent="0.25">
      <c r="A706" t="s">
        <v>1392</v>
      </c>
      <c r="B706" t="s">
        <v>2088</v>
      </c>
      <c r="C706" t="s">
        <v>2767</v>
      </c>
      <c r="D706" t="s">
        <v>4053</v>
      </c>
      <c r="E706" s="2" t="s">
        <v>3437</v>
      </c>
      <c r="F706" t="s">
        <v>1743</v>
      </c>
      <c r="H706" t="s">
        <v>5859</v>
      </c>
      <c r="I706" t="str">
        <f t="shared" si="10"/>
        <v>update tbl_persona set apellido_paterno= 'VASQUEZ',apellido_materno= 'RIMARACHIN', nombre = 'ELMER' where dni = '06671306';</v>
      </c>
    </row>
    <row r="707" spans="1:9" x14ac:dyDescent="0.25">
      <c r="A707" t="s">
        <v>1394</v>
      </c>
      <c r="B707" t="s">
        <v>2768</v>
      </c>
      <c r="C707" t="s">
        <v>2258</v>
      </c>
      <c r="D707" t="s">
        <v>4198</v>
      </c>
      <c r="E707" s="2" t="s">
        <v>3438</v>
      </c>
      <c r="F707" t="s">
        <v>1743</v>
      </c>
      <c r="H707" t="s">
        <v>5860</v>
      </c>
      <c r="I707" t="str">
        <f t="shared" ref="I707:I770" si="11">_xlfn.CONCAT("update tbl_persona set apellido_paterno= '",B707,"',apellido_materno= '",C707,"', nombre = '",D707,"' where dni = '",A707,"';")</f>
        <v>update tbl_persona set apellido_paterno= 'QUINCHO',apellido_materno= 'ABAD', nombre = 'JOSÉ MIGUEL' where dni = '70218131';</v>
      </c>
    </row>
    <row r="708" spans="1:9" x14ac:dyDescent="0.25">
      <c r="A708" t="s">
        <v>1396</v>
      </c>
      <c r="B708" t="s">
        <v>2317</v>
      </c>
      <c r="C708" t="s">
        <v>2043</v>
      </c>
      <c r="D708" t="s">
        <v>3646</v>
      </c>
      <c r="E708" s="2" t="s">
        <v>3439</v>
      </c>
      <c r="F708" t="s">
        <v>1743</v>
      </c>
      <c r="H708" t="s">
        <v>5861</v>
      </c>
      <c r="I708" t="str">
        <f t="shared" si="11"/>
        <v>update tbl_persona set apellido_paterno= 'CANO',apellido_materno= 'RAMIREZ', nombre = 'MARCO ANTONIO' where dni = '41361657';</v>
      </c>
    </row>
    <row r="709" spans="1:9" x14ac:dyDescent="0.25">
      <c r="A709" t="s">
        <v>1398</v>
      </c>
      <c r="B709" t="s">
        <v>2423</v>
      </c>
      <c r="C709" t="s">
        <v>2529</v>
      </c>
      <c r="D709" t="s">
        <v>4199</v>
      </c>
      <c r="E709" s="2" t="s">
        <v>3440</v>
      </c>
      <c r="F709" t="s">
        <v>1743</v>
      </c>
      <c r="G709" t="s">
        <v>1679</v>
      </c>
      <c r="H709" t="s">
        <v>5862</v>
      </c>
      <c r="I709" t="str">
        <f t="shared" si="11"/>
        <v>update tbl_persona set apellido_paterno= 'MORALES',apellido_materno= 'CHINGUEL', nombre = 'MIGUEL GUILLERMO' where dni = '44921398';</v>
      </c>
    </row>
    <row r="710" spans="1:9" x14ac:dyDescent="0.25">
      <c r="A710" t="s">
        <v>1400</v>
      </c>
      <c r="B710" t="s">
        <v>2769</v>
      </c>
      <c r="C710" t="s">
        <v>2180</v>
      </c>
      <c r="D710" t="s">
        <v>4200</v>
      </c>
      <c r="E710" s="2" t="s">
        <v>3441</v>
      </c>
      <c r="F710" t="s">
        <v>1743</v>
      </c>
      <c r="G710" t="s">
        <v>1680</v>
      </c>
      <c r="H710" t="s">
        <v>5863</v>
      </c>
      <c r="I710" t="str">
        <f t="shared" si="11"/>
        <v>update tbl_persona set apellido_paterno= 'DUEÑAS',apellido_materno= 'CHOQUE', nombre = 'RODRIGO MARCEL' where dni = '74983073';</v>
      </c>
    </row>
    <row r="711" spans="1:9" x14ac:dyDescent="0.25">
      <c r="A711" t="s">
        <v>1402</v>
      </c>
      <c r="B711" t="s">
        <v>2341</v>
      </c>
      <c r="C711" t="s">
        <v>2062</v>
      </c>
      <c r="D711" t="s">
        <v>3673</v>
      </c>
      <c r="E711" s="2" t="s">
        <v>3442</v>
      </c>
      <c r="F711" t="s">
        <v>1743</v>
      </c>
      <c r="G711" t="s">
        <v>1681</v>
      </c>
      <c r="H711" t="s">
        <v>5864</v>
      </c>
      <c r="I711" t="str">
        <f t="shared" si="11"/>
        <v>update tbl_persona set apellido_paterno= 'MACHUCA',apellido_materno= 'VARGAS', nombre = 'JULIO CESAR' where dni = '70763976';</v>
      </c>
    </row>
    <row r="712" spans="1:9" x14ac:dyDescent="0.25">
      <c r="A712" t="s">
        <v>1404</v>
      </c>
      <c r="B712" t="s">
        <v>1993</v>
      </c>
      <c r="C712" t="s">
        <v>2088</v>
      </c>
      <c r="D712" t="s">
        <v>4201</v>
      </c>
      <c r="E712" s="2" t="s">
        <v>3443</v>
      </c>
      <c r="F712" t="s">
        <v>1743</v>
      </c>
      <c r="G712" t="s">
        <v>1682</v>
      </c>
      <c r="H712" t="s">
        <v>5865</v>
      </c>
      <c r="I712" t="str">
        <f t="shared" si="11"/>
        <v>update tbl_persona set apellido_paterno= 'AGUILAR',apellido_materno= 'VASQUEZ', nombre = 'ALAMIRO' where dni = '72460577';</v>
      </c>
    </row>
    <row r="713" spans="1:9" x14ac:dyDescent="0.25">
      <c r="A713" t="s">
        <v>1406</v>
      </c>
      <c r="B713" t="s">
        <v>2185</v>
      </c>
      <c r="C713" t="s">
        <v>2770</v>
      </c>
      <c r="D713" t="s">
        <v>4202</v>
      </c>
      <c r="E713" s="2" t="s">
        <v>3444</v>
      </c>
      <c r="F713" t="s">
        <v>1743</v>
      </c>
      <c r="G713" t="s">
        <v>1683</v>
      </c>
      <c r="H713" t="s">
        <v>5866</v>
      </c>
      <c r="I713" t="str">
        <f t="shared" si="11"/>
        <v>update tbl_persona set apellido_paterno= 'CHINO',apellido_materno= 'GRANDEZ', nombre = 'WILLIAN FRANS' where dni = '70103445';</v>
      </c>
    </row>
    <row r="714" spans="1:9" x14ac:dyDescent="0.25">
      <c r="A714" t="s">
        <v>1408</v>
      </c>
      <c r="B714" t="s">
        <v>2101</v>
      </c>
      <c r="C714" t="s">
        <v>2177</v>
      </c>
      <c r="D714" t="s">
        <v>4203</v>
      </c>
      <c r="E714" s="2" t="s">
        <v>3445</v>
      </c>
      <c r="F714" t="s">
        <v>1743</v>
      </c>
      <c r="G714" t="s">
        <v>1684</v>
      </c>
      <c r="H714" t="s">
        <v>5867</v>
      </c>
      <c r="I714" t="str">
        <f t="shared" si="11"/>
        <v>update tbl_persona set apellido_paterno= 'PEREZ',apellido_materno= 'FIGUEROA', nombre = 'CRISTHIAN MICHELL' where dni = '73872493';</v>
      </c>
    </row>
    <row r="715" spans="1:9" x14ac:dyDescent="0.25">
      <c r="A715" t="s">
        <v>1410</v>
      </c>
      <c r="B715" t="s">
        <v>1975</v>
      </c>
      <c r="C715" t="s">
        <v>1974</v>
      </c>
      <c r="D715" t="s">
        <v>4204</v>
      </c>
      <c r="E715" s="2" t="s">
        <v>3446</v>
      </c>
      <c r="F715" t="s">
        <v>1743</v>
      </c>
      <c r="G715" t="s">
        <v>1685</v>
      </c>
      <c r="H715" t="s">
        <v>5868</v>
      </c>
      <c r="I715" t="str">
        <f t="shared" si="11"/>
        <v>update tbl_persona set apellido_paterno= 'DIAZ',apellido_materno= 'VILLEGAS', nombre = 'ANDERSON BRANDOM' where dni = '74318723';</v>
      </c>
    </row>
    <row r="716" spans="1:9" x14ac:dyDescent="0.25">
      <c r="A716" t="s">
        <v>1412</v>
      </c>
      <c r="B716" t="s">
        <v>2771</v>
      </c>
      <c r="C716" t="s">
        <v>2516</v>
      </c>
      <c r="D716" t="s">
        <v>4205</v>
      </c>
      <c r="E716" s="2" t="s">
        <v>3447</v>
      </c>
      <c r="F716" t="s">
        <v>1743</v>
      </c>
      <c r="H716" t="s">
        <v>5869</v>
      </c>
      <c r="I716" t="str">
        <f t="shared" si="11"/>
        <v>update tbl_persona set apellido_paterno= 'MINCHOLA',apellido_materno= 'ZAVALA', nombre = 'GILMER JAVIER' where dni = '41844387';</v>
      </c>
    </row>
    <row r="717" spans="1:9" x14ac:dyDescent="0.25">
      <c r="A717" t="s">
        <v>1414</v>
      </c>
      <c r="B717" t="s">
        <v>2264</v>
      </c>
      <c r="C717" t="s">
        <v>2772</v>
      </c>
      <c r="D717" t="s">
        <v>4206</v>
      </c>
      <c r="E717" s="2" t="s">
        <v>3448</v>
      </c>
      <c r="F717" t="s">
        <v>1743</v>
      </c>
      <c r="G717" t="s">
        <v>1686</v>
      </c>
      <c r="H717" t="s">
        <v>5870</v>
      </c>
      <c r="I717" t="str">
        <f t="shared" si="11"/>
        <v>update tbl_persona set apellido_paterno= 'ALARCON',apellido_materno= 'ZANABRIA', nombre = 'JERSON JAIR' where dni = '73449345';</v>
      </c>
    </row>
    <row r="718" spans="1:9" x14ac:dyDescent="0.25">
      <c r="A718" t="s">
        <v>1416</v>
      </c>
      <c r="B718" t="s">
        <v>2276</v>
      </c>
      <c r="C718" t="s">
        <v>2012</v>
      </c>
      <c r="D718" t="s">
        <v>4207</v>
      </c>
      <c r="E718" s="2" t="s">
        <v>3449</v>
      </c>
      <c r="F718" t="s">
        <v>1743</v>
      </c>
      <c r="G718" t="s">
        <v>1687</v>
      </c>
      <c r="H718" t="s">
        <v>5871</v>
      </c>
      <c r="I718" t="str">
        <f t="shared" si="11"/>
        <v>update tbl_persona set apellido_paterno= 'ALVARO',apellido_materno= 'GUTIERREZ', nombre = 'NILTON ALEXANDER JEAN PIER' where dni = '72980861';</v>
      </c>
    </row>
    <row r="719" spans="1:9" x14ac:dyDescent="0.25">
      <c r="A719" t="s">
        <v>1418</v>
      </c>
      <c r="B719" t="s">
        <v>2457</v>
      </c>
      <c r="C719" t="s">
        <v>2773</v>
      </c>
      <c r="D719" t="s">
        <v>4208</v>
      </c>
      <c r="E719" s="2" t="s">
        <v>3450</v>
      </c>
      <c r="F719" t="s">
        <v>1743</v>
      </c>
      <c r="G719" t="s">
        <v>1688</v>
      </c>
      <c r="H719" t="s">
        <v>5872</v>
      </c>
      <c r="I719" t="str">
        <f t="shared" si="11"/>
        <v>update tbl_persona set apellido_paterno= 'BAUTISTA',apellido_materno= 'CUSMA', nombre = 'ELCER' where dni = '78968955';</v>
      </c>
    </row>
    <row r="720" spans="1:9" x14ac:dyDescent="0.25">
      <c r="A720" t="s">
        <v>1420</v>
      </c>
      <c r="B720" t="s">
        <v>2500</v>
      </c>
      <c r="C720" t="s">
        <v>2774</v>
      </c>
      <c r="D720" t="s">
        <v>4209</v>
      </c>
      <c r="E720" s="2" t="s">
        <v>3451</v>
      </c>
      <c r="F720" t="s">
        <v>1743</v>
      </c>
      <c r="G720" t="s">
        <v>1689</v>
      </c>
      <c r="H720" t="s">
        <v>5873</v>
      </c>
      <c r="I720" t="str">
        <f t="shared" si="11"/>
        <v>update tbl_persona set apellido_paterno= 'PAUCAR',apellido_materno= 'ALDANA', nombre = 'CARLOS FERNANDO' where dni = '47117604';</v>
      </c>
    </row>
    <row r="721" spans="1:9" x14ac:dyDescent="0.25">
      <c r="A721" t="s">
        <v>1422</v>
      </c>
      <c r="B721" t="s">
        <v>2775</v>
      </c>
      <c r="C721" t="s">
        <v>2004</v>
      </c>
      <c r="D721" t="s">
        <v>4210</v>
      </c>
      <c r="E721" s="2" t="s">
        <v>3452</v>
      </c>
      <c r="F721" t="s">
        <v>1743</v>
      </c>
      <c r="G721" t="s">
        <v>1690</v>
      </c>
      <c r="H721" t="s">
        <v>5874</v>
      </c>
      <c r="I721" t="str">
        <f t="shared" si="11"/>
        <v>update tbl_persona set apellido_paterno= 'REQUEJO',apellido_materno= 'ROJAS', nombre = 'NILTON CÉSAR' where dni = '40749734';</v>
      </c>
    </row>
    <row r="722" spans="1:9" x14ac:dyDescent="0.25">
      <c r="A722" t="s">
        <v>1424</v>
      </c>
      <c r="B722" t="s">
        <v>2038</v>
      </c>
      <c r="C722" t="s">
        <v>2071</v>
      </c>
      <c r="D722" t="s">
        <v>4211</v>
      </c>
      <c r="E722" s="2" t="s">
        <v>3453</v>
      </c>
      <c r="F722" t="s">
        <v>1743</v>
      </c>
      <c r="G722" t="s">
        <v>1691</v>
      </c>
      <c r="H722" t="s">
        <v>5875</v>
      </c>
      <c r="I722" t="str">
        <f t="shared" si="11"/>
        <v>update tbl_persona set apellido_paterno= 'MENDOZA',apellido_materno= 'ALVARADO', nombre = 'JOHAN CARLO' where dni = '42442494';</v>
      </c>
    </row>
    <row r="723" spans="1:9" x14ac:dyDescent="0.25">
      <c r="A723" t="s">
        <v>1426</v>
      </c>
      <c r="B723" t="s">
        <v>2776</v>
      </c>
      <c r="C723" t="s">
        <v>2777</v>
      </c>
      <c r="D723" t="s">
        <v>4212</v>
      </c>
      <c r="E723" s="2" t="s">
        <v>3454</v>
      </c>
      <c r="F723" t="s">
        <v>1743</v>
      </c>
      <c r="G723" t="s">
        <v>1692</v>
      </c>
      <c r="H723" t="s">
        <v>5876</v>
      </c>
      <c r="I723" t="str">
        <f t="shared" si="11"/>
        <v>update tbl_persona set apellido_paterno= 'ATOCHE',apellido_materno= 'VINCES', nombre = 'JERCY ARMANDO' where dni = '75443859';</v>
      </c>
    </row>
    <row r="724" spans="1:9" x14ac:dyDescent="0.25">
      <c r="A724" t="s">
        <v>1428</v>
      </c>
      <c r="B724" t="s">
        <v>2241</v>
      </c>
      <c r="C724" t="s">
        <v>2125</v>
      </c>
      <c r="D724" t="s">
        <v>4213</v>
      </c>
      <c r="E724" s="2" t="s">
        <v>3455</v>
      </c>
      <c r="F724" t="s">
        <v>1743</v>
      </c>
      <c r="G724" t="s">
        <v>1693</v>
      </c>
      <c r="H724" t="s">
        <v>5877</v>
      </c>
      <c r="I724" t="str">
        <f t="shared" si="11"/>
        <v>update tbl_persona set apellido_paterno= 'CHUNGA',apellido_materno= 'RUIZ', nombre = 'ELVIS GEANMARCO' where dni = '70970251';</v>
      </c>
    </row>
    <row r="725" spans="1:9" x14ac:dyDescent="0.25">
      <c r="A725" t="s">
        <v>1430</v>
      </c>
      <c r="B725" t="s">
        <v>2692</v>
      </c>
      <c r="C725" t="s">
        <v>2088</v>
      </c>
      <c r="D725" t="s">
        <v>4214</v>
      </c>
      <c r="E725" s="2" t="s">
        <v>3456</v>
      </c>
      <c r="F725" t="s">
        <v>1743</v>
      </c>
      <c r="G725" t="s">
        <v>1694</v>
      </c>
      <c r="H725" t="s">
        <v>5878</v>
      </c>
      <c r="I725" t="str">
        <f t="shared" si="11"/>
        <v>update tbl_persona set apellido_paterno= 'QUIROZ',apellido_materno= 'VASQUEZ', nombre = 'CHRISTOPHER BRYAN' where dni = '70486874';</v>
      </c>
    </row>
    <row r="726" spans="1:9" x14ac:dyDescent="0.25">
      <c r="A726" t="s">
        <v>1432</v>
      </c>
      <c r="B726" t="s">
        <v>2043</v>
      </c>
      <c r="C726" t="s">
        <v>2778</v>
      </c>
      <c r="D726" t="s">
        <v>4215</v>
      </c>
      <c r="E726" s="2" t="s">
        <v>3457</v>
      </c>
      <c r="F726" t="s">
        <v>1743</v>
      </c>
      <c r="G726" t="s">
        <v>1695</v>
      </c>
      <c r="H726" t="s">
        <v>5879</v>
      </c>
      <c r="I726" t="str">
        <f t="shared" si="11"/>
        <v>update tbl_persona set apellido_paterno= 'RAMIREZ',apellido_materno= 'SEGOVIA', nombre = 'ITHER ALVARO' where dni = '73245944';</v>
      </c>
    </row>
    <row r="727" spans="1:9" x14ac:dyDescent="0.25">
      <c r="A727" t="s">
        <v>1434</v>
      </c>
      <c r="B727" t="s">
        <v>2570</v>
      </c>
      <c r="C727" t="s">
        <v>2004</v>
      </c>
      <c r="D727" t="s">
        <v>3673</v>
      </c>
      <c r="E727" s="2" t="s">
        <v>3458</v>
      </c>
      <c r="F727" t="s">
        <v>1743</v>
      </c>
      <c r="G727" t="s">
        <v>1696</v>
      </c>
      <c r="H727" t="s">
        <v>5880</v>
      </c>
      <c r="I727" t="str">
        <f t="shared" si="11"/>
        <v>update tbl_persona set apellido_paterno= 'ALCANTARA',apellido_materno= 'ROJAS', nombre = 'JULIO CESAR' where dni = '42628404';</v>
      </c>
    </row>
    <row r="728" spans="1:9" x14ac:dyDescent="0.25">
      <c r="A728" t="s">
        <v>1436</v>
      </c>
      <c r="B728" t="s">
        <v>2548</v>
      </c>
      <c r="C728" t="s">
        <v>2134</v>
      </c>
      <c r="D728" t="s">
        <v>4216</v>
      </c>
      <c r="E728" s="2" t="s">
        <v>3459</v>
      </c>
      <c r="F728" t="s">
        <v>1743</v>
      </c>
      <c r="H728" t="s">
        <v>5881</v>
      </c>
      <c r="I728" t="str">
        <f t="shared" si="11"/>
        <v>update tbl_persona set apellido_paterno= 'GALLO',apellido_materno= 'ZAPATA', nombre = 'EMILIO ALBERTO' where dni = '70836884';</v>
      </c>
    </row>
    <row r="729" spans="1:9" x14ac:dyDescent="0.25">
      <c r="A729" t="s">
        <v>1438</v>
      </c>
      <c r="B729" t="s">
        <v>2008</v>
      </c>
      <c r="C729" t="s">
        <v>2779</v>
      </c>
      <c r="D729" t="s">
        <v>4217</v>
      </c>
      <c r="E729" s="2" t="s">
        <v>3460</v>
      </c>
      <c r="F729" t="s">
        <v>1743</v>
      </c>
      <c r="G729" t="s">
        <v>1697</v>
      </c>
      <c r="H729" t="s">
        <v>5882</v>
      </c>
      <c r="I729" t="str">
        <f t="shared" si="11"/>
        <v>update tbl_persona set apellido_paterno= 'MIRANDA',apellido_materno= 'VELEZ', nombre = 'CALEB ISMAEL' where dni = '73992875';</v>
      </c>
    </row>
    <row r="730" spans="1:9" x14ac:dyDescent="0.25">
      <c r="A730" t="s">
        <v>1440</v>
      </c>
      <c r="B730" t="s">
        <v>2020</v>
      </c>
      <c r="C730" t="s">
        <v>2780</v>
      </c>
      <c r="D730" t="s">
        <v>4218</v>
      </c>
      <c r="E730" s="2" t="s">
        <v>3461</v>
      </c>
      <c r="F730" t="s">
        <v>1743</v>
      </c>
      <c r="H730" t="s">
        <v>5883</v>
      </c>
      <c r="I730" t="str">
        <f t="shared" si="11"/>
        <v>update tbl_persona set apellido_paterno= 'HUAMANI',apellido_materno= 'CALLOSANI', nombre = 'FRAY HECTOR' where dni = '71450988';</v>
      </c>
    </row>
    <row r="731" spans="1:9" x14ac:dyDescent="0.25">
      <c r="A731" t="s">
        <v>1442</v>
      </c>
      <c r="B731" t="s">
        <v>2781</v>
      </c>
      <c r="C731" t="s">
        <v>2782</v>
      </c>
      <c r="D731" t="s">
        <v>4219</v>
      </c>
      <c r="E731" s="2" t="s">
        <v>3462</v>
      </c>
      <c r="G731" t="s">
        <v>1698</v>
      </c>
      <c r="H731" t="s">
        <v>5884</v>
      </c>
      <c r="I731" t="str">
        <f t="shared" si="11"/>
        <v>update tbl_persona set apellido_paterno= 'LECCA',apellido_materno= 'TAPIA', nombre = 'ADOLFO TITO' where dni = '47496281';</v>
      </c>
    </row>
    <row r="732" spans="1:9" x14ac:dyDescent="0.25">
      <c r="A732" t="s">
        <v>1444</v>
      </c>
      <c r="B732" t="s">
        <v>1995</v>
      </c>
      <c r="C732" t="s">
        <v>2440</v>
      </c>
      <c r="D732" t="s">
        <v>4220</v>
      </c>
      <c r="E732" s="2" t="s">
        <v>3211</v>
      </c>
      <c r="G732" t="s">
        <v>1699</v>
      </c>
      <c r="H732" t="s">
        <v>5885</v>
      </c>
      <c r="I732" t="str">
        <f t="shared" si="11"/>
        <v>update tbl_persona set apellido_paterno= 'FERNANDEZ',apellido_materno= 'ATAMARI', nombre = 'CRISTHIAN ALEXANDER' where dni = '74119665';</v>
      </c>
    </row>
    <row r="733" spans="1:9" x14ac:dyDescent="0.25">
      <c r="A733" t="s">
        <v>1446</v>
      </c>
      <c r="B733" t="s">
        <v>2361</v>
      </c>
      <c r="C733" t="s">
        <v>2361</v>
      </c>
      <c r="D733" t="s">
        <v>4221</v>
      </c>
      <c r="E733" s="2" t="s">
        <v>3463</v>
      </c>
      <c r="F733" t="s">
        <v>1743</v>
      </c>
      <c r="G733" t="s">
        <v>1700</v>
      </c>
      <c r="H733" t="s">
        <v>5886</v>
      </c>
      <c r="I733" t="str">
        <f t="shared" si="11"/>
        <v>update tbl_persona set apellido_paterno= 'SANTOS',apellido_materno= 'SANTOS', nombre = 'LUZGARDO BLADIMIR' where dni = '76185474 ';</v>
      </c>
    </row>
    <row r="734" spans="1:9" x14ac:dyDescent="0.25">
      <c r="A734" t="s">
        <v>1448</v>
      </c>
      <c r="B734" t="s">
        <v>2004</v>
      </c>
      <c r="C734" t="s">
        <v>2180</v>
      </c>
      <c r="D734" t="s">
        <v>4222</v>
      </c>
      <c r="E734" s="2" t="s">
        <v>3464</v>
      </c>
      <c r="G734" t="s">
        <v>1701</v>
      </c>
      <c r="H734" t="s">
        <v>5887</v>
      </c>
      <c r="I734" t="str">
        <f t="shared" si="11"/>
        <v>update tbl_persona set apellido_paterno= 'ROJAS',apellido_materno= 'CHOQUE', nombre = 'YIMI JEFFERSON' where dni = '73420512';</v>
      </c>
    </row>
    <row r="735" spans="1:9" x14ac:dyDescent="0.25">
      <c r="A735" t="s">
        <v>1450</v>
      </c>
      <c r="B735" t="s">
        <v>2593</v>
      </c>
      <c r="C735" t="s">
        <v>2024</v>
      </c>
      <c r="D735" t="s">
        <v>4223</v>
      </c>
      <c r="E735" s="2" t="s">
        <v>3465</v>
      </c>
      <c r="G735" t="s">
        <v>1702</v>
      </c>
      <c r="H735" t="s">
        <v>5888</v>
      </c>
      <c r="I735" t="str">
        <f t="shared" si="11"/>
        <v>update tbl_persona set apellido_paterno= 'TURPO',apellido_materno= 'CONDORI', nombre = 'JULVER' where dni = '74163049';</v>
      </c>
    </row>
    <row r="736" spans="1:9" x14ac:dyDescent="0.25">
      <c r="A736" t="s">
        <v>1452</v>
      </c>
      <c r="B736" t="s">
        <v>2620</v>
      </c>
      <c r="C736" t="s">
        <v>2060</v>
      </c>
      <c r="D736" t="s">
        <v>4224</v>
      </c>
      <c r="E736" s="2" t="s">
        <v>3466</v>
      </c>
      <c r="H736" t="s">
        <v>5889</v>
      </c>
      <c r="I736" t="str">
        <f t="shared" si="11"/>
        <v>update tbl_persona set apellido_paterno= 'URIARTE',apellido_materno= 'RAMOS', nombre = 'AXEL' where dni = '74077488';</v>
      </c>
    </row>
    <row r="737" spans="1:9" x14ac:dyDescent="0.25">
      <c r="A737" t="s">
        <v>1454</v>
      </c>
      <c r="B737" t="s">
        <v>2479</v>
      </c>
      <c r="C737" t="s">
        <v>2783</v>
      </c>
      <c r="D737" t="s">
        <v>4225</v>
      </c>
      <c r="E737" s="2" t="s">
        <v>3467</v>
      </c>
      <c r="F737" t="s">
        <v>1743</v>
      </c>
      <c r="H737" t="s">
        <v>5890</v>
      </c>
      <c r="I737" t="str">
        <f t="shared" si="11"/>
        <v>update tbl_persona set apellido_paterno= 'MONTES',apellido_materno= 'BEJAR', nombre = 'CHRISTIAN ROBERTO' where dni = '70412935';</v>
      </c>
    </row>
    <row r="738" spans="1:9" x14ac:dyDescent="0.25">
      <c r="A738" t="s">
        <v>1456</v>
      </c>
      <c r="B738" t="s">
        <v>2753</v>
      </c>
      <c r="C738" t="s">
        <v>2030</v>
      </c>
      <c r="D738" t="s">
        <v>4226</v>
      </c>
      <c r="E738" s="2" t="s">
        <v>3468</v>
      </c>
      <c r="F738" t="s">
        <v>1743</v>
      </c>
      <c r="H738" t="s">
        <v>5891</v>
      </c>
      <c r="I738" t="str">
        <f t="shared" si="11"/>
        <v>update tbl_persona set apellido_paterno= 'CASTAÑEDA',apellido_materno= 'MEZA', nombre = 'JUAN ISAI' where dni = '74459980';</v>
      </c>
    </row>
    <row r="739" spans="1:9" x14ac:dyDescent="0.25">
      <c r="A739" t="s">
        <v>1458</v>
      </c>
      <c r="B739" t="s">
        <v>2462</v>
      </c>
      <c r="C739" t="s">
        <v>2074</v>
      </c>
      <c r="D739" t="s">
        <v>3673</v>
      </c>
      <c r="E739" s="2" t="s">
        <v>3469</v>
      </c>
      <c r="F739" t="s">
        <v>1743</v>
      </c>
      <c r="H739" t="s">
        <v>5892</v>
      </c>
      <c r="I739" t="str">
        <f t="shared" si="11"/>
        <v>update tbl_persona set apellido_paterno= 'ACOSTA',apellido_materno= 'TORRES', nombre = 'JULIO CESAR' where dni = '70172100';</v>
      </c>
    </row>
    <row r="740" spans="1:9" x14ac:dyDescent="0.25">
      <c r="A740" t="s">
        <v>1460</v>
      </c>
      <c r="B740" t="s">
        <v>2259</v>
      </c>
      <c r="C740" t="s">
        <v>1987</v>
      </c>
      <c r="D740" t="s">
        <v>4227</v>
      </c>
      <c r="E740" s="2" t="s">
        <v>3470</v>
      </c>
      <c r="G740" t="s">
        <v>1703</v>
      </c>
      <c r="H740" t="s">
        <v>5893</v>
      </c>
      <c r="I740" t="str">
        <f t="shared" si="11"/>
        <v>update tbl_persona set apellido_paterno= 'CRUZ',apellido_materno= 'GONZALES', nombre = 'YORK ALEXANDER' where dni = '74995248';</v>
      </c>
    </row>
    <row r="741" spans="1:9" x14ac:dyDescent="0.25">
      <c r="A741" t="s">
        <v>1462</v>
      </c>
      <c r="B741" t="s">
        <v>2497</v>
      </c>
      <c r="C741" t="s">
        <v>2586</v>
      </c>
      <c r="D741" t="s">
        <v>4228</v>
      </c>
      <c r="E741" s="2" t="s">
        <v>3471</v>
      </c>
      <c r="F741" t="s">
        <v>1743</v>
      </c>
      <c r="G741" t="s">
        <v>1704</v>
      </c>
      <c r="H741" t="s">
        <v>5894</v>
      </c>
      <c r="I741" t="str">
        <f t="shared" si="11"/>
        <v>update tbl_persona set apellido_paterno= 'CONDE',apellido_materno= 'ARCE', nombre = 'JOB ESTEBAN' where dni = '46516343';</v>
      </c>
    </row>
    <row r="742" spans="1:9" x14ac:dyDescent="0.25">
      <c r="A742" t="s">
        <v>1464</v>
      </c>
      <c r="B742" t="s">
        <v>2060</v>
      </c>
      <c r="C742" t="s">
        <v>2255</v>
      </c>
      <c r="D742" t="s">
        <v>4229</v>
      </c>
      <c r="E742" s="2" t="s">
        <v>3472</v>
      </c>
      <c r="F742" t="s">
        <v>1743</v>
      </c>
      <c r="G742" t="s">
        <v>1705</v>
      </c>
      <c r="H742" t="s">
        <v>5895</v>
      </c>
      <c r="I742" t="str">
        <f t="shared" si="11"/>
        <v>update tbl_persona set apellido_paterno= 'RAMOS',apellido_materno= 'NAVARRO', nombre = 'MOISES NEHEMIAS' where dni = '74618733';</v>
      </c>
    </row>
    <row r="743" spans="1:9" x14ac:dyDescent="0.25">
      <c r="A743" t="s">
        <v>1466</v>
      </c>
      <c r="B743" t="s">
        <v>2784</v>
      </c>
      <c r="C743" t="s">
        <v>2785</v>
      </c>
      <c r="D743" t="s">
        <v>4230</v>
      </c>
      <c r="E743" s="2" t="s">
        <v>3473</v>
      </c>
      <c r="F743" t="s">
        <v>1743</v>
      </c>
      <c r="G743" t="s">
        <v>1706</v>
      </c>
      <c r="H743" t="s">
        <v>5896</v>
      </c>
      <c r="I743" t="str">
        <f t="shared" si="11"/>
        <v>update tbl_persona set apellido_paterno= 'MONTALVAN',apellido_materno= 'YAHUARA', nombre = 'DENIS_x000D_' where dni = '47916517';</v>
      </c>
    </row>
    <row r="744" spans="1:9" x14ac:dyDescent="0.25">
      <c r="A744" t="s">
        <v>1468</v>
      </c>
      <c r="B744" t="s">
        <v>2786</v>
      </c>
      <c r="C744" t="s">
        <v>2787</v>
      </c>
      <c r="D744" t="s">
        <v>4231</v>
      </c>
      <c r="E744" s="2" t="s">
        <v>3474</v>
      </c>
      <c r="F744" t="s">
        <v>1743</v>
      </c>
      <c r="G744" t="s">
        <v>1707</v>
      </c>
      <c r="H744" t="s">
        <v>5897</v>
      </c>
      <c r="I744" t="str">
        <f t="shared" si="11"/>
        <v>update tbl_persona set apellido_paterno= 'VICUÑA',apellido_materno= 'CAJAHUANCA', nombre = 'MANUEL FRANCISCO' where dni = '77131717';</v>
      </c>
    </row>
    <row r="745" spans="1:9" x14ac:dyDescent="0.25">
      <c r="A745" t="s">
        <v>1470</v>
      </c>
      <c r="B745" t="s">
        <v>2157</v>
      </c>
      <c r="C745" t="s">
        <v>2788</v>
      </c>
      <c r="D745" t="s">
        <v>4032</v>
      </c>
      <c r="E745" s="2" t="s">
        <v>3188</v>
      </c>
      <c r="F745" t="s">
        <v>1743</v>
      </c>
      <c r="G745" t="s">
        <v>1708</v>
      </c>
      <c r="H745" t="s">
        <v>5898</v>
      </c>
      <c r="I745" t="str">
        <f t="shared" si="11"/>
        <v>update tbl_persona set apellido_paterno= 'HUAMAN',apellido_materno= 'CABALLON', nombre = 'LUIS FERNANDO' where dni = '71935584';</v>
      </c>
    </row>
    <row r="746" spans="1:9" x14ac:dyDescent="0.25">
      <c r="A746" t="s">
        <v>1472</v>
      </c>
      <c r="B746" t="s">
        <v>2789</v>
      </c>
      <c r="C746" t="s">
        <v>1963</v>
      </c>
      <c r="D746" t="s">
        <v>4232</v>
      </c>
      <c r="E746" s="2" t="s">
        <v>3214</v>
      </c>
      <c r="F746" t="s">
        <v>1743</v>
      </c>
      <c r="G746" t="s">
        <v>1709</v>
      </c>
      <c r="H746" t="s">
        <v>5899</v>
      </c>
      <c r="I746" t="str">
        <f t="shared" si="11"/>
        <v>update tbl_persona set apellido_paterno= 'ÑIHUIN',apellido_materno= 'HERRERA', nombre = 'EDWIN RODRIGO' where dni = '45599405';</v>
      </c>
    </row>
    <row r="747" spans="1:9" x14ac:dyDescent="0.25">
      <c r="A747" t="s">
        <v>1474</v>
      </c>
      <c r="B747" t="s">
        <v>2007</v>
      </c>
      <c r="C747" t="s">
        <v>2694</v>
      </c>
      <c r="D747" t="s">
        <v>3881</v>
      </c>
      <c r="E747" s="2" t="s">
        <v>3475</v>
      </c>
      <c r="F747" t="s">
        <v>1743</v>
      </c>
      <c r="G747" t="s">
        <v>1710</v>
      </c>
      <c r="H747" t="s">
        <v>5900</v>
      </c>
      <c r="I747" t="str">
        <f t="shared" si="11"/>
        <v>update tbl_persona set apellido_paterno= 'SUAREZ',apellido_materno= 'DELGADO', nombre = 'MIGUEL ANGEL' where dni = '72645782';</v>
      </c>
    </row>
    <row r="748" spans="1:9" x14ac:dyDescent="0.25">
      <c r="A748" t="s">
        <v>1476</v>
      </c>
      <c r="B748" t="s">
        <v>2038</v>
      </c>
      <c r="C748" t="s">
        <v>1975</v>
      </c>
      <c r="D748" t="s">
        <v>4233</v>
      </c>
      <c r="E748" s="2" t="s">
        <v>3476</v>
      </c>
      <c r="F748" t="s">
        <v>1743</v>
      </c>
      <c r="G748" t="s">
        <v>1711</v>
      </c>
      <c r="H748" t="s">
        <v>5901</v>
      </c>
      <c r="I748" t="str">
        <f t="shared" si="11"/>
        <v>update tbl_persona set apellido_paterno= 'MENDOZA',apellido_materno= 'DIAZ', nombre = 'JUNIOR MELANIO' where dni = '72220834';</v>
      </c>
    </row>
    <row r="749" spans="1:9" x14ac:dyDescent="0.25">
      <c r="A749" t="s">
        <v>1478</v>
      </c>
      <c r="B749" t="s">
        <v>1966</v>
      </c>
      <c r="C749" t="s">
        <v>2430</v>
      </c>
      <c r="D749" t="s">
        <v>4234</v>
      </c>
      <c r="E749" s="2" t="s">
        <v>3477</v>
      </c>
      <c r="F749" t="s">
        <v>1743</v>
      </c>
      <c r="G749" t="s">
        <v>1712</v>
      </c>
      <c r="H749" t="s">
        <v>5902</v>
      </c>
      <c r="I749" t="str">
        <f t="shared" si="11"/>
        <v>update tbl_persona set apellido_paterno= 'CAMPOS',apellido_materno= 'PONCE', nombre = 'HANS JAIRS' where dni = '40800480';</v>
      </c>
    </row>
    <row r="750" spans="1:9" x14ac:dyDescent="0.25">
      <c r="A750" t="s">
        <v>1480</v>
      </c>
      <c r="B750" t="s">
        <v>2790</v>
      </c>
      <c r="C750" t="s">
        <v>2423</v>
      </c>
      <c r="D750" t="s">
        <v>4235</v>
      </c>
      <c r="E750" s="2" t="s">
        <v>3478</v>
      </c>
      <c r="F750" t="s">
        <v>1743</v>
      </c>
      <c r="G750" t="s">
        <v>1713</v>
      </c>
      <c r="H750" t="s">
        <v>5903</v>
      </c>
      <c r="I750" t="str">
        <f t="shared" si="11"/>
        <v>update tbl_persona set apellido_paterno= 'ARROYO',apellido_materno= 'MORALES', nombre = 'EDGAR YHORDI' where dni = '48472896';</v>
      </c>
    </row>
    <row r="751" spans="1:9" x14ac:dyDescent="0.25">
      <c r="A751" t="s">
        <v>1482</v>
      </c>
      <c r="B751" t="s">
        <v>2769</v>
      </c>
      <c r="C751" t="s">
        <v>2791</v>
      </c>
      <c r="D751" t="s">
        <v>4236</v>
      </c>
      <c r="E751" s="2" t="s">
        <v>3479</v>
      </c>
      <c r="F751" t="s">
        <v>1743</v>
      </c>
      <c r="G751" t="s">
        <v>1714</v>
      </c>
      <c r="H751" t="s">
        <v>5904</v>
      </c>
      <c r="I751" t="str">
        <f t="shared" si="11"/>
        <v>update tbl_persona set apellido_paterno= 'DUEÑAS',apellido_materno= 'HUAYAMA', nombre = 'MAURICIO JESUS' where dni = '73759182';</v>
      </c>
    </row>
    <row r="752" spans="1:9" x14ac:dyDescent="0.25">
      <c r="A752" t="s">
        <v>1484</v>
      </c>
      <c r="B752" t="s">
        <v>2792</v>
      </c>
      <c r="C752" t="s">
        <v>2069</v>
      </c>
      <c r="D752" t="s">
        <v>4237</v>
      </c>
      <c r="E752" s="2" t="s">
        <v>3480</v>
      </c>
      <c r="F752" t="s">
        <v>1743</v>
      </c>
      <c r="G752" t="s">
        <v>1715</v>
      </c>
      <c r="H752" t="s">
        <v>5905</v>
      </c>
      <c r="I752" t="str">
        <f t="shared" si="11"/>
        <v>update tbl_persona set apellido_paterno= 'OBLEA',apellido_materno= 'CHERO', nombre = 'VICTOR RAUL' where dni = '47696895';</v>
      </c>
    </row>
    <row r="753" spans="1:9" x14ac:dyDescent="0.25">
      <c r="A753" t="s">
        <v>1486</v>
      </c>
      <c r="B753" t="s">
        <v>2328</v>
      </c>
      <c r="C753" t="s">
        <v>2570</v>
      </c>
      <c r="D753" t="s">
        <v>4238</v>
      </c>
      <c r="E753" s="2" t="s">
        <v>3481</v>
      </c>
      <c r="F753" t="s">
        <v>1743</v>
      </c>
      <c r="G753" t="s">
        <v>1716</v>
      </c>
      <c r="H753" t="s">
        <v>5906</v>
      </c>
      <c r="I753" t="str">
        <f t="shared" si="11"/>
        <v>update tbl_persona set apellido_paterno= 'HURTADO',apellido_materno= 'ALCANTARA', nombre = 'JORGE JAIR' where dni = '72677707';</v>
      </c>
    </row>
    <row r="754" spans="1:9" x14ac:dyDescent="0.25">
      <c r="A754" t="s">
        <v>1488</v>
      </c>
      <c r="B754" t="s">
        <v>1964</v>
      </c>
      <c r="C754" t="s">
        <v>2205</v>
      </c>
      <c r="D754" t="s">
        <v>4239</v>
      </c>
      <c r="E754" s="2" t="s">
        <v>3482</v>
      </c>
      <c r="F754" t="s">
        <v>1743</v>
      </c>
      <c r="G754" t="s">
        <v>1717</v>
      </c>
      <c r="H754" t="s">
        <v>5907</v>
      </c>
      <c r="I754" t="str">
        <f t="shared" si="11"/>
        <v>update tbl_persona set apellido_paterno= 'LAURA',apellido_materno= 'TOSCANO', nombre = 'YEFFERSON PIERRE' where dni = '46980059';</v>
      </c>
    </row>
    <row r="755" spans="1:9" x14ac:dyDescent="0.25">
      <c r="A755" t="s">
        <v>1490</v>
      </c>
      <c r="B755" t="s">
        <v>2793</v>
      </c>
      <c r="C755" t="s">
        <v>2794</v>
      </c>
      <c r="D755" t="s">
        <v>4240</v>
      </c>
      <c r="E755" s="2" t="s">
        <v>3483</v>
      </c>
      <c r="F755" t="s">
        <v>1743</v>
      </c>
      <c r="G755" t="s">
        <v>1718</v>
      </c>
      <c r="H755" t="s">
        <v>5908</v>
      </c>
      <c r="I755" t="str">
        <f t="shared" si="11"/>
        <v>update tbl_persona set apellido_paterno= 'VITE',apellido_materno= 'CELEDONIO', nombre = 'PEDRO MANUEL' where dni = '44232043';</v>
      </c>
    </row>
    <row r="756" spans="1:9" x14ac:dyDescent="0.25">
      <c r="A756" t="s">
        <v>1492</v>
      </c>
      <c r="B756" t="s">
        <v>2272</v>
      </c>
      <c r="C756" t="s">
        <v>2060</v>
      </c>
      <c r="D756" t="s">
        <v>4241</v>
      </c>
      <c r="E756" s="2" t="s">
        <v>3484</v>
      </c>
      <c r="F756" t="s">
        <v>1743</v>
      </c>
      <c r="H756" t="s">
        <v>5909</v>
      </c>
      <c r="I756" t="str">
        <f t="shared" si="11"/>
        <v>update tbl_persona set apellido_paterno= 'ZEVALLOS',apellido_materno= 'RAMOS', nombre = 'MICHAEL SMITH' where dni = '75469898';</v>
      </c>
    </row>
    <row r="757" spans="1:9" x14ac:dyDescent="0.25">
      <c r="A757" t="s">
        <v>1494</v>
      </c>
      <c r="B757" t="s">
        <v>1995</v>
      </c>
      <c r="C757" t="s">
        <v>1974</v>
      </c>
      <c r="D757" t="s">
        <v>3953</v>
      </c>
      <c r="E757" s="2" t="s">
        <v>3485</v>
      </c>
      <c r="F757" t="s">
        <v>1743</v>
      </c>
      <c r="G757" t="s">
        <v>1719</v>
      </c>
      <c r="H757" t="s">
        <v>5910</v>
      </c>
      <c r="I757" t="str">
        <f t="shared" si="11"/>
        <v>update tbl_persona set apellido_paterno= 'FERNANDEZ',apellido_materno= 'VILLEGAS', nombre = 'MARCELO' where dni = '74095638';</v>
      </c>
    </row>
    <row r="758" spans="1:9" x14ac:dyDescent="0.25">
      <c r="A758" t="s">
        <v>1496</v>
      </c>
      <c r="B758" t="s">
        <v>2494</v>
      </c>
      <c r="C758" t="s">
        <v>2795</v>
      </c>
      <c r="D758" t="s">
        <v>4242</v>
      </c>
      <c r="E758" s="2" t="s">
        <v>3486</v>
      </c>
      <c r="F758" t="s">
        <v>1743</v>
      </c>
      <c r="G758" t="s">
        <v>1720</v>
      </c>
      <c r="H758" t="s">
        <v>5911</v>
      </c>
      <c r="I758" t="str">
        <f t="shared" si="11"/>
        <v>update tbl_persona set apellido_paterno= 'IPANAQUE',apellido_materno= 'TUÑOQUE', nombre = 'JESUS ALBERTO' where dni = '48279915';</v>
      </c>
    </row>
    <row r="759" spans="1:9" x14ac:dyDescent="0.25">
      <c r="A759" t="s">
        <v>1498</v>
      </c>
      <c r="B759" t="s">
        <v>2234</v>
      </c>
      <c r="C759" t="s">
        <v>2796</v>
      </c>
      <c r="D759" t="s">
        <v>4243</v>
      </c>
      <c r="E759" s="2" t="s">
        <v>3487</v>
      </c>
      <c r="F759" t="s">
        <v>1743</v>
      </c>
      <c r="H759" t="s">
        <v>5912</v>
      </c>
      <c r="I759" t="str">
        <f t="shared" si="11"/>
        <v>update tbl_persona set apellido_paterno= 'HINOJOSA',apellido_materno= 'ORDOÑEZ', nombre = 'DIEGO ALVARO' where dni = '73530871';</v>
      </c>
    </row>
    <row r="760" spans="1:9" x14ac:dyDescent="0.25">
      <c r="A760" t="s">
        <v>1500</v>
      </c>
      <c r="B760" t="s">
        <v>2294</v>
      </c>
      <c r="C760" t="s">
        <v>2127</v>
      </c>
      <c r="D760" t="s">
        <v>4244</v>
      </c>
      <c r="E760" s="2" t="s">
        <v>3488</v>
      </c>
      <c r="F760" t="s">
        <v>1743</v>
      </c>
      <c r="G760" t="s">
        <v>1721</v>
      </c>
      <c r="H760" t="s">
        <v>5913</v>
      </c>
      <c r="I760" t="str">
        <f t="shared" si="11"/>
        <v>update tbl_persona set apellido_paterno= 'CACERES',apellido_materno= 'ANGELES', nombre = 'ANGEL NILTON' where dni = '74810766';</v>
      </c>
    </row>
    <row r="761" spans="1:9" x14ac:dyDescent="0.25">
      <c r="A761" t="s">
        <v>1502</v>
      </c>
      <c r="B761" t="s">
        <v>2797</v>
      </c>
      <c r="C761" t="s">
        <v>2798</v>
      </c>
      <c r="D761" t="s">
        <v>4245</v>
      </c>
      <c r="E761" s="2" t="s">
        <v>3489</v>
      </c>
      <c r="F761" t="s">
        <v>1743</v>
      </c>
      <c r="G761" t="s">
        <v>1722</v>
      </c>
      <c r="H761" t="s">
        <v>5914</v>
      </c>
      <c r="I761" t="str">
        <f t="shared" si="11"/>
        <v>update tbl_persona set apellido_paterno= 'DAVALOS',apellido_materno= 'GALICIA', nombre = 'ROMAY BRYAN' where dni = '75164658';</v>
      </c>
    </row>
    <row r="762" spans="1:9" x14ac:dyDescent="0.25">
      <c r="A762" t="s">
        <v>1504</v>
      </c>
      <c r="B762" t="s">
        <v>2059</v>
      </c>
      <c r="C762" t="s">
        <v>2799</v>
      </c>
      <c r="D762" t="s">
        <v>4246</v>
      </c>
      <c r="E762" s="2" t="s">
        <v>3490</v>
      </c>
      <c r="F762" t="s">
        <v>1743</v>
      </c>
      <c r="G762" t="s">
        <v>1723</v>
      </c>
      <c r="H762" t="s">
        <v>5915</v>
      </c>
      <c r="I762" t="str">
        <f t="shared" si="11"/>
        <v>update tbl_persona set apellido_paterno= 'ARIAS',apellido_materno= 'PANEBRA', nombre = 'CARLOS ANTONIO' where dni = '72794468';</v>
      </c>
    </row>
    <row r="763" spans="1:9" x14ac:dyDescent="0.25">
      <c r="A763" t="s">
        <v>1506</v>
      </c>
      <c r="B763" t="s">
        <v>2071</v>
      </c>
      <c r="C763" t="s">
        <v>2338</v>
      </c>
      <c r="D763" t="s">
        <v>4247</v>
      </c>
      <c r="E763" s="2" t="s">
        <v>3491</v>
      </c>
      <c r="F763" t="s">
        <v>1743</v>
      </c>
      <c r="H763" t="s">
        <v>5916</v>
      </c>
      <c r="I763" t="str">
        <f t="shared" si="11"/>
        <v>update tbl_persona set apellido_paterno= 'ALVARADO',apellido_materno= 'MEDINA', nombre = 'RODRIGO ENRIQUE' where dni = '74299254';</v>
      </c>
    </row>
    <row r="764" spans="1:9" x14ac:dyDescent="0.25">
      <c r="A764" t="s">
        <v>1508</v>
      </c>
      <c r="B764" t="s">
        <v>2800</v>
      </c>
      <c r="C764" t="s">
        <v>2258</v>
      </c>
      <c r="D764" t="s">
        <v>4248</v>
      </c>
      <c r="E764" s="2" t="s">
        <v>3492</v>
      </c>
      <c r="F764" t="s">
        <v>1743</v>
      </c>
      <c r="H764" t="s">
        <v>5917</v>
      </c>
      <c r="I764" t="str">
        <f t="shared" si="11"/>
        <v>update tbl_persona set apellido_paterno= 'GALLEGOS',apellido_materno= 'ABAD', nombre = 'GEYNER' where dni = '16563357';</v>
      </c>
    </row>
    <row r="765" spans="1:9" x14ac:dyDescent="0.25">
      <c r="A765" t="s">
        <v>1510</v>
      </c>
      <c r="B765" t="s">
        <v>2801</v>
      </c>
      <c r="C765" t="s">
        <v>2802</v>
      </c>
      <c r="D765" t="s">
        <v>4249</v>
      </c>
      <c r="E765" s="2" t="s">
        <v>3493</v>
      </c>
      <c r="F765" t="s">
        <v>1743</v>
      </c>
      <c r="G765" t="s">
        <v>1724</v>
      </c>
      <c r="H765" t="s">
        <v>5918</v>
      </c>
      <c r="I765" t="str">
        <f t="shared" si="11"/>
        <v>update tbl_persona set apellido_paterno= 'VIERA',apellido_materno= 'GARRIDO', nombre = 'GUSTAVO ERNESTO' where dni = '72945652';</v>
      </c>
    </row>
    <row r="766" spans="1:9" x14ac:dyDescent="0.25">
      <c r="A766" t="s">
        <v>1512</v>
      </c>
      <c r="B766" t="s">
        <v>2803</v>
      </c>
      <c r="C766" t="s">
        <v>2804</v>
      </c>
      <c r="D766" t="s">
        <v>4250</v>
      </c>
      <c r="E766" s="2" t="s">
        <v>3494</v>
      </c>
      <c r="F766" t="s">
        <v>1743</v>
      </c>
      <c r="G766" t="s">
        <v>1725</v>
      </c>
      <c r="H766" t="s">
        <v>5919</v>
      </c>
      <c r="I766" t="str">
        <f t="shared" si="11"/>
        <v>update tbl_persona set apellido_paterno= 'BEDOYA',apellido_materno= 'PIANO', nombre = 'ALEX JERRY' where dni = '74730082';</v>
      </c>
    </row>
    <row r="767" spans="1:9" x14ac:dyDescent="0.25">
      <c r="A767" t="s">
        <v>1514</v>
      </c>
      <c r="B767" t="s">
        <v>2805</v>
      </c>
      <c r="C767" t="s">
        <v>1974</v>
      </c>
      <c r="D767" t="s">
        <v>4251</v>
      </c>
      <c r="E767" s="2" t="s">
        <v>3495</v>
      </c>
      <c r="F767" t="s">
        <v>1743</v>
      </c>
      <c r="G767" t="s">
        <v>1726</v>
      </c>
      <c r="H767" t="s">
        <v>5920</v>
      </c>
      <c r="I767" t="str">
        <f t="shared" si="11"/>
        <v>update tbl_persona set apellido_paterno= 'MORE',apellido_materno= 'VILLEGAS', nombre = 'EDGAR IVAN' where dni = '48174765';</v>
      </c>
    </row>
    <row r="768" spans="1:9" x14ac:dyDescent="0.25">
      <c r="A768" t="s">
        <v>1516</v>
      </c>
      <c r="B768" t="s">
        <v>2088</v>
      </c>
      <c r="C768" t="s">
        <v>2014</v>
      </c>
      <c r="D768" t="s">
        <v>4252</v>
      </c>
      <c r="E768" s="2" t="s">
        <v>3496</v>
      </c>
      <c r="F768" t="s">
        <v>1743</v>
      </c>
      <c r="G768" t="s">
        <v>1727</v>
      </c>
      <c r="H768" t="s">
        <v>5921</v>
      </c>
      <c r="I768" t="str">
        <f t="shared" si="11"/>
        <v>update tbl_persona set apellido_paterno= 'VASQUEZ',apellido_materno= 'GARCIA', nombre = 'FERNANDO JOEL' where dni = '74720095';</v>
      </c>
    </row>
    <row r="769" spans="1:9" x14ac:dyDescent="0.25">
      <c r="A769" t="s">
        <v>1518</v>
      </c>
      <c r="B769" t="s">
        <v>2806</v>
      </c>
      <c r="C769" t="s">
        <v>2807</v>
      </c>
      <c r="D769" t="s">
        <v>4253</v>
      </c>
      <c r="E769" s="2" t="s">
        <v>3497</v>
      </c>
      <c r="F769" t="s">
        <v>1743</v>
      </c>
      <c r="G769" t="s">
        <v>1728</v>
      </c>
      <c r="H769" t="s">
        <v>5922</v>
      </c>
      <c r="I769" t="str">
        <f t="shared" si="11"/>
        <v>update tbl_persona set apellido_paterno= 'VELIZ',apellido_materno= 'LIZARRAGA', nombre = 'CRISTOFER' where dni = '72387145';</v>
      </c>
    </row>
    <row r="770" spans="1:9" x14ac:dyDescent="0.25">
      <c r="A770" t="s">
        <v>1520</v>
      </c>
      <c r="B770" t="s">
        <v>2808</v>
      </c>
      <c r="C770" t="s">
        <v>2079</v>
      </c>
      <c r="D770" t="s">
        <v>3763</v>
      </c>
      <c r="E770" s="2" t="s">
        <v>3498</v>
      </c>
      <c r="F770" t="s">
        <v>1743</v>
      </c>
      <c r="H770" t="s">
        <v>5923</v>
      </c>
      <c r="I770" t="str">
        <f t="shared" si="11"/>
        <v>update tbl_persona set apellido_paterno= 'NEYRA',apellido_materno= 'GOMEZ', nombre = 'HENRY' where dni = '78623521';</v>
      </c>
    </row>
    <row r="771" spans="1:9" x14ac:dyDescent="0.25">
      <c r="A771" t="s">
        <v>1522</v>
      </c>
      <c r="B771" t="s">
        <v>2809</v>
      </c>
      <c r="C771" t="s">
        <v>2177</v>
      </c>
      <c r="D771" t="s">
        <v>4254</v>
      </c>
      <c r="E771" s="2" t="s">
        <v>3499</v>
      </c>
      <c r="F771" t="s">
        <v>1743</v>
      </c>
      <c r="G771" t="s">
        <v>1729</v>
      </c>
      <c r="H771" t="s">
        <v>5924</v>
      </c>
      <c r="I771" t="str">
        <f t="shared" ref="I771:I789" si="12">_xlfn.CONCAT("update tbl_persona set apellido_paterno= '",B771,"',apellido_materno= '",C771,"', nombre = '",D771,"' where dni = '",A771,"';")</f>
        <v>update tbl_persona set apellido_paterno= 'CORREA',apellido_materno= 'FIGUEROA', nombre = 'CESAR ISRAEL' where dni = '71746787';</v>
      </c>
    </row>
    <row r="772" spans="1:9" x14ac:dyDescent="0.25">
      <c r="A772" t="s">
        <v>1524</v>
      </c>
      <c r="B772" t="s">
        <v>2072</v>
      </c>
      <c r="C772" t="s">
        <v>2370</v>
      </c>
      <c r="D772" t="s">
        <v>4255</v>
      </c>
      <c r="E772" s="2" t="s">
        <v>3500</v>
      </c>
      <c r="F772" t="s">
        <v>1743</v>
      </c>
      <c r="G772" t="s">
        <v>1730</v>
      </c>
      <c r="H772" t="s">
        <v>5925</v>
      </c>
      <c r="I772" t="str">
        <f t="shared" si="12"/>
        <v>update tbl_persona set apellido_paterno= 'CHAVEZ',apellido_materno= 'AYALA', nombre = 'WALTER ADRIAN' where dni = '70881220';</v>
      </c>
    </row>
    <row r="773" spans="1:9" x14ac:dyDescent="0.25">
      <c r="A773" t="s">
        <v>1526</v>
      </c>
      <c r="B773" t="s">
        <v>2028</v>
      </c>
      <c r="C773" t="s">
        <v>2385</v>
      </c>
      <c r="D773" t="s">
        <v>3675</v>
      </c>
      <c r="E773" s="2" t="s">
        <v>3501</v>
      </c>
      <c r="F773" t="s">
        <v>1743</v>
      </c>
      <c r="H773" t="s">
        <v>5926</v>
      </c>
      <c r="I773" t="str">
        <f t="shared" si="12"/>
        <v>update tbl_persona set apellido_paterno= 'RODRIGUEZ',apellido_materno= 'MAMANI', nombre = 'WILBER' where dni = '75151602';</v>
      </c>
    </row>
    <row r="774" spans="1:9" x14ac:dyDescent="0.25">
      <c r="A774" t="s">
        <v>1528</v>
      </c>
      <c r="B774" t="s">
        <v>2101</v>
      </c>
      <c r="C774" t="s">
        <v>2810</v>
      </c>
      <c r="D774" t="s">
        <v>4256</v>
      </c>
      <c r="E774" s="2" t="s">
        <v>3502</v>
      </c>
      <c r="F774" t="s">
        <v>1743</v>
      </c>
      <c r="G774" t="s">
        <v>1731</v>
      </c>
      <c r="H774" t="s">
        <v>5927</v>
      </c>
      <c r="I774" t="str">
        <f t="shared" si="12"/>
        <v>update tbl_persona set apellido_paterno= 'PEREZ',apellido_materno= 'ALBINO', nombre = 'WILDER VICTOR' where dni = '70175057';</v>
      </c>
    </row>
    <row r="775" spans="1:9" x14ac:dyDescent="0.25">
      <c r="A775" t="s">
        <v>1530</v>
      </c>
      <c r="B775" t="s">
        <v>2029</v>
      </c>
      <c r="C775" t="s">
        <v>2342</v>
      </c>
      <c r="D775" t="s">
        <v>4257</v>
      </c>
      <c r="E775" s="2" t="s">
        <v>3503</v>
      </c>
      <c r="F775" t="s">
        <v>1743</v>
      </c>
      <c r="G775" t="s">
        <v>1732</v>
      </c>
      <c r="H775" t="s">
        <v>5928</v>
      </c>
      <c r="I775" t="str">
        <f t="shared" si="12"/>
        <v>update tbl_persona set apellido_paterno= 'ORTIZ',apellido_materno= 'DE LA CRUZ', nombre = 'HIVAR LEONIDES' where dni = '44841695';</v>
      </c>
    </row>
    <row r="776" spans="1:9" x14ac:dyDescent="0.25">
      <c r="A776" t="s">
        <v>1532</v>
      </c>
      <c r="B776" t="s">
        <v>2811</v>
      </c>
      <c r="C776" t="s">
        <v>2812</v>
      </c>
      <c r="D776" t="s">
        <v>4258</v>
      </c>
      <c r="E776" s="2" t="s">
        <v>3504</v>
      </c>
      <c r="F776" t="s">
        <v>1743</v>
      </c>
      <c r="H776" t="s">
        <v>5929</v>
      </c>
      <c r="I776" t="str">
        <f t="shared" si="12"/>
        <v>update tbl_persona set apellido_paterno= 'GUILLEN',apellido_materno= 'TUBILLAS', nombre = 'JUAN DANIEL' where dni = '72427914';</v>
      </c>
    </row>
    <row r="777" spans="1:9" x14ac:dyDescent="0.25">
      <c r="A777" t="s">
        <v>1534</v>
      </c>
      <c r="B777" t="s">
        <v>1967</v>
      </c>
      <c r="C777" t="s">
        <v>2451</v>
      </c>
      <c r="D777" t="s">
        <v>4259</v>
      </c>
      <c r="E777" s="2" t="s">
        <v>3505</v>
      </c>
      <c r="F777" t="s">
        <v>1743</v>
      </c>
      <c r="G777" t="s">
        <v>1733</v>
      </c>
      <c r="H777" t="s">
        <v>5930</v>
      </c>
      <c r="I777" t="str">
        <f t="shared" si="12"/>
        <v>update tbl_persona set apellido_paterno= 'FLORES',apellido_materno= 'ACUÑA', nombre = 'IAN ANTHONY' where dni = '72547482';</v>
      </c>
    </row>
    <row r="778" spans="1:9" x14ac:dyDescent="0.25">
      <c r="A778" t="s">
        <v>1536</v>
      </c>
      <c r="B778" t="s">
        <v>2353</v>
      </c>
      <c r="C778" t="s">
        <v>2813</v>
      </c>
      <c r="D778" t="s">
        <v>4260</v>
      </c>
      <c r="E778" s="2" t="s">
        <v>3506</v>
      </c>
      <c r="F778" t="s">
        <v>1743</v>
      </c>
      <c r="H778" t="s">
        <v>5931</v>
      </c>
      <c r="I778" t="str">
        <f t="shared" si="12"/>
        <v>update tbl_persona set apellido_paterno= 'BALDEON',apellido_materno= 'CANCHUMANYA', nombre = 'ANDRES YOSBALL' where dni = '75697071';</v>
      </c>
    </row>
    <row r="779" spans="1:9" x14ac:dyDescent="0.25">
      <c r="A779" t="s">
        <v>1538</v>
      </c>
      <c r="B779" t="s">
        <v>2814</v>
      </c>
      <c r="C779" t="s">
        <v>2079</v>
      </c>
      <c r="D779" t="s">
        <v>4261</v>
      </c>
      <c r="E779" s="2" t="s">
        <v>3507</v>
      </c>
      <c r="F779" t="s">
        <v>1743</v>
      </c>
      <c r="G779" t="s">
        <v>1734</v>
      </c>
      <c r="H779" t="s">
        <v>5932</v>
      </c>
      <c r="I779" t="str">
        <f t="shared" si="12"/>
        <v>update tbl_persona set apellido_paterno= 'POCCO',apellido_materno= 'GOMEZ', nombre = 'CARLOS SIMON' where dni = '72480766';</v>
      </c>
    </row>
    <row r="780" spans="1:9" x14ac:dyDescent="0.25">
      <c r="A780" t="s">
        <v>1540</v>
      </c>
      <c r="B780" t="s">
        <v>2815</v>
      </c>
      <c r="C780" t="s">
        <v>2265</v>
      </c>
      <c r="D780" t="s">
        <v>3968</v>
      </c>
      <c r="E780" s="2" t="s">
        <v>3508</v>
      </c>
      <c r="F780" t="s">
        <v>1743</v>
      </c>
      <c r="H780" t="s">
        <v>5933</v>
      </c>
      <c r="I780" t="str">
        <f t="shared" si="12"/>
        <v>update tbl_persona set apellido_paterno= 'OLIVA',apellido_materno= 'LEON', nombre = 'ERICK VLADIMIR' where dni = '42122588';</v>
      </c>
    </row>
    <row r="781" spans="1:9" x14ac:dyDescent="0.25">
      <c r="A781" t="s">
        <v>1542</v>
      </c>
      <c r="B781" t="s">
        <v>2816</v>
      </c>
      <c r="C781" t="s">
        <v>2095</v>
      </c>
      <c r="D781" t="s">
        <v>4262</v>
      </c>
      <c r="E781" s="2" t="s">
        <v>3509</v>
      </c>
      <c r="F781" t="s">
        <v>1744</v>
      </c>
      <c r="G781" t="s">
        <v>1735</v>
      </c>
      <c r="H781" t="s">
        <v>5934</v>
      </c>
      <c r="I781" t="str">
        <f t="shared" si="12"/>
        <v>update tbl_persona set apellido_paterno= 'CARRERA',apellido_materno= 'CONTRERAS', nombre = 'CLAUDIA AMERICA ESTHER' where dni = '71498135';</v>
      </c>
    </row>
    <row r="782" spans="1:9" x14ac:dyDescent="0.25">
      <c r="A782" t="s">
        <v>1544</v>
      </c>
      <c r="B782" t="s">
        <v>2817</v>
      </c>
      <c r="C782" t="s">
        <v>2247</v>
      </c>
      <c r="D782" t="s">
        <v>4263</v>
      </c>
      <c r="E782" s="2" t="s">
        <v>3510</v>
      </c>
      <c r="F782" t="s">
        <v>1743</v>
      </c>
      <c r="G782" t="s">
        <v>1736</v>
      </c>
      <c r="H782" t="s">
        <v>5935</v>
      </c>
      <c r="I782" t="str">
        <f t="shared" si="12"/>
        <v>update tbl_persona set apellido_paterno= 'TIMANA',apellido_materno= 'AGUIRRE', nombre = 'JOSE ROBERT' where dni = '72863018';</v>
      </c>
    </row>
    <row r="783" spans="1:9" x14ac:dyDescent="0.25">
      <c r="A783" t="s">
        <v>1546</v>
      </c>
      <c r="B783" t="s">
        <v>2732</v>
      </c>
      <c r="C783" t="s">
        <v>2818</v>
      </c>
      <c r="D783" t="s">
        <v>4264</v>
      </c>
      <c r="E783" s="2" t="s">
        <v>3511</v>
      </c>
      <c r="F783" t="s">
        <v>1743</v>
      </c>
      <c r="G783" t="s">
        <v>1737</v>
      </c>
      <c r="H783" t="s">
        <v>5936</v>
      </c>
      <c r="I783" t="str">
        <f t="shared" si="12"/>
        <v>update tbl_persona set apellido_paterno= 'MAGUIÑA',apellido_materno= 'OSORIO', nombre = 'ANGELO' where dni = '62747680';</v>
      </c>
    </row>
    <row r="784" spans="1:9" x14ac:dyDescent="0.25">
      <c r="A784" t="s">
        <v>1548</v>
      </c>
      <c r="B784" t="s">
        <v>2088</v>
      </c>
      <c r="C784" t="s">
        <v>2819</v>
      </c>
      <c r="D784" t="s">
        <v>4265</v>
      </c>
      <c r="E784" s="2" t="s">
        <v>3512</v>
      </c>
      <c r="G784" t="s">
        <v>1738</v>
      </c>
      <c r="H784" t="s">
        <v>5937</v>
      </c>
      <c r="I784" t="str">
        <f t="shared" si="12"/>
        <v>update tbl_persona set apellido_paterno= 'VASQUEZ',apellido_materno= 'LUERA', nombre = 'AQUILES REMIGIO' where dni = '73331711';</v>
      </c>
    </row>
    <row r="785" spans="1:9" x14ac:dyDescent="0.25">
      <c r="A785" t="s">
        <v>1550</v>
      </c>
      <c r="B785" t="s">
        <v>2072</v>
      </c>
      <c r="C785" t="s">
        <v>2820</v>
      </c>
      <c r="D785" t="s">
        <v>3866</v>
      </c>
      <c r="E785" s="2" t="s">
        <v>3513</v>
      </c>
      <c r="F785" t="s">
        <v>1743</v>
      </c>
      <c r="G785" t="s">
        <v>1739</v>
      </c>
      <c r="H785" t="s">
        <v>5938</v>
      </c>
      <c r="I785" t="str">
        <f t="shared" si="12"/>
        <v>update tbl_persona set apellido_paterno= 'CHAVEZ',apellido_materno= 'CHALAN', nombre = 'FRANKLIN' where dni = '76216049';</v>
      </c>
    </row>
    <row r="786" spans="1:9" x14ac:dyDescent="0.25">
      <c r="A786" t="s">
        <v>1552</v>
      </c>
      <c r="B786" t="s">
        <v>2012</v>
      </c>
      <c r="C786" t="s">
        <v>2043</v>
      </c>
      <c r="D786" t="s">
        <v>4266</v>
      </c>
      <c r="E786" s="2" t="s">
        <v>3514</v>
      </c>
      <c r="F786" t="s">
        <v>1743</v>
      </c>
      <c r="H786" t="s">
        <v>5939</v>
      </c>
      <c r="I786" t="str">
        <f t="shared" si="12"/>
        <v>update tbl_persona set apellido_paterno= 'GUTIERREZ',apellido_materno= 'RAMIREZ', nombre = 'MARTIN' where dni = '10035746';</v>
      </c>
    </row>
    <row r="787" spans="1:9" x14ac:dyDescent="0.25">
      <c r="A787" t="s">
        <v>1554</v>
      </c>
      <c r="B787" t="s">
        <v>2821</v>
      </c>
      <c r="C787" t="s">
        <v>2822</v>
      </c>
      <c r="D787" t="s">
        <v>4267</v>
      </c>
      <c r="E787" s="2" t="s">
        <v>3156</v>
      </c>
      <c r="F787" t="s">
        <v>1744</v>
      </c>
      <c r="G787" t="s">
        <v>1740</v>
      </c>
      <c r="H787" t="s">
        <v>5940</v>
      </c>
      <c r="I787" t="str">
        <f t="shared" si="12"/>
        <v>update tbl_persona set apellido_paterno= 'CHOCCE',apellido_materno= 'BERMUDES', nombre = 'FLOR CARLA' where dni = '79469013';</v>
      </c>
    </row>
    <row r="788" spans="1:9" x14ac:dyDescent="0.25">
      <c r="A788" t="s">
        <v>1556</v>
      </c>
      <c r="B788" t="s">
        <v>1969</v>
      </c>
      <c r="C788" t="s">
        <v>2385</v>
      </c>
      <c r="D788" t="s">
        <v>4268</v>
      </c>
      <c r="E788" s="2" t="s">
        <v>3515</v>
      </c>
      <c r="F788" t="s">
        <v>1743</v>
      </c>
      <c r="G788" t="s">
        <v>1741</v>
      </c>
      <c r="H788" t="s">
        <v>5941</v>
      </c>
      <c r="I788" t="str">
        <f t="shared" si="12"/>
        <v>update tbl_persona set apellido_paterno= 'QUISPE',apellido_materno= 'MAMANI', nombre = 'JOSE GERMAN' where dni = '70102401';</v>
      </c>
    </row>
    <row r="789" spans="1:9" x14ac:dyDescent="0.25">
      <c r="A789" t="s">
        <v>1558</v>
      </c>
      <c r="B789" t="s">
        <v>2388</v>
      </c>
      <c r="C789" t="s">
        <v>2516</v>
      </c>
      <c r="D789" t="s">
        <v>4269</v>
      </c>
      <c r="E789" s="2" t="s">
        <v>3516</v>
      </c>
      <c r="F789" t="s">
        <v>1743</v>
      </c>
      <c r="H789" t="s">
        <v>5942</v>
      </c>
      <c r="I789" t="str">
        <f t="shared" si="12"/>
        <v>update tbl_persona set apellido_paterno= 'SOLANO',apellido_materno= 'ZAVALA', nombre = 'EVER JOSÉ MANUEL' where dni = '72631147';</v>
      </c>
    </row>
  </sheetData>
  <autoFilter ref="A1:G789" xr:uid="{DDD31607-A9D4-41EB-99D5-DEFCC432C83D}">
    <sortState xmlns:xlrd2="http://schemas.microsoft.com/office/spreadsheetml/2017/richdata2" ref="A58:G681">
      <sortCondition ref="A1:A789"/>
    </sortState>
  </autoFilter>
  <conditionalFormatting sqref="A1:A1048576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606A-2F11-4BA1-BDB1-DAFFEB345EF6}">
  <dimension ref="A1:B5"/>
  <sheetViews>
    <sheetView workbookViewId="0">
      <selection activeCell="B2" sqref="B2"/>
    </sheetView>
  </sheetViews>
  <sheetFormatPr baseColWidth="10" defaultRowHeight="15" x14ac:dyDescent="0.25"/>
  <cols>
    <col min="2" max="2" width="14.7109375" bestFit="1" customWidth="1"/>
  </cols>
  <sheetData>
    <row r="1" spans="1:2" x14ac:dyDescent="0.25">
      <c r="A1" t="s">
        <v>4334</v>
      </c>
    </row>
    <row r="2" spans="1:2" x14ac:dyDescent="0.25">
      <c r="A2" t="s">
        <v>4335</v>
      </c>
      <c r="B2" t="str">
        <f>_xlfn.CONCAT("('",A2,"',","1),")</f>
        <v>('CENTRO',1),</v>
      </c>
    </row>
    <row r="3" spans="1:2" x14ac:dyDescent="0.25">
      <c r="A3" t="s">
        <v>4336</v>
      </c>
      <c r="B3" t="str">
        <f t="shared" ref="B3:B5" si="0">_xlfn.CONCAT("('",A3,"',","1),")</f>
        <v>('NORTE',1),</v>
      </c>
    </row>
    <row r="4" spans="1:2" x14ac:dyDescent="0.25">
      <c r="A4" t="s">
        <v>4337</v>
      </c>
      <c r="B4" t="str">
        <f t="shared" si="0"/>
        <v>('SUR ESTE',1),</v>
      </c>
    </row>
    <row r="5" spans="1:2" x14ac:dyDescent="0.25">
      <c r="A5" t="s">
        <v>4338</v>
      </c>
      <c r="B5" t="str">
        <f t="shared" si="0"/>
        <v>('SUR OESTE',1),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DD91-01CF-4858-A301-3AF30E6D5AC4}">
  <dimension ref="A1:B4"/>
  <sheetViews>
    <sheetView workbookViewId="0">
      <selection activeCell="C16" sqref="C16"/>
    </sheetView>
  </sheetViews>
  <sheetFormatPr baseColWidth="10" defaultRowHeight="15" x14ac:dyDescent="0.25"/>
  <cols>
    <col min="1" max="1" width="19" bestFit="1" customWidth="1"/>
    <col min="2" max="2" width="15.7109375" bestFit="1" customWidth="1"/>
  </cols>
  <sheetData>
    <row r="1" spans="1:2" x14ac:dyDescent="0.25">
      <c r="A1" t="s">
        <v>4346</v>
      </c>
    </row>
    <row r="2" spans="1:2" x14ac:dyDescent="0.25">
      <c r="A2" t="s">
        <v>4347</v>
      </c>
      <c r="B2" t="str">
        <f>_xlfn.CONCAT("('",A2,"',","1),")</f>
        <v>('DIRECCIÓN',1),</v>
      </c>
    </row>
    <row r="3" spans="1:2" x14ac:dyDescent="0.25">
      <c r="A3" t="s">
        <v>4348</v>
      </c>
      <c r="B3" t="str">
        <f t="shared" ref="B3:B4" si="0">_xlfn.CONCAT("('",A3,"',","1),")</f>
        <v>('CONFIANZA',1),</v>
      </c>
    </row>
    <row r="4" spans="1:2" x14ac:dyDescent="0.25">
      <c r="A4" t="s">
        <v>4349</v>
      </c>
      <c r="B4" t="str">
        <f t="shared" si="0"/>
        <v>('NINGUNA',1),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4725-3D19-48E5-85DA-CCBF7A65B170}">
  <dimension ref="A1:E113"/>
  <sheetViews>
    <sheetView workbookViewId="0">
      <selection activeCell="B2" sqref="B2"/>
    </sheetView>
  </sheetViews>
  <sheetFormatPr baseColWidth="10" defaultRowHeight="15" x14ac:dyDescent="0.25"/>
  <cols>
    <col min="2" max="2" width="27.28515625" bestFit="1" customWidth="1"/>
    <col min="3" max="3" width="51.42578125" bestFit="1" customWidth="1"/>
    <col min="5" max="5" width="68.85546875" bestFit="1" customWidth="1"/>
  </cols>
  <sheetData>
    <row r="1" spans="1:5" x14ac:dyDescent="0.25">
      <c r="B1" t="s">
        <v>1746</v>
      </c>
      <c r="C1" t="s">
        <v>1747</v>
      </c>
      <c r="D1" t="s">
        <v>4352</v>
      </c>
    </row>
    <row r="2" spans="1:5" x14ac:dyDescent="0.25">
      <c r="A2">
        <v>1</v>
      </c>
      <c r="B2" t="s">
        <v>1748</v>
      </c>
      <c r="C2" t="s">
        <v>1749</v>
      </c>
      <c r="D2">
        <v>1</v>
      </c>
      <c r="E2" t="str">
        <f>_xlfn.CONCAT("('",B2,"','",C2,"',","",D2,"),")</f>
        <v>('02G1001154','GERENCIA GENERAL',1),</v>
      </c>
    </row>
    <row r="3" spans="1:5" x14ac:dyDescent="0.25">
      <c r="A3">
        <v>2</v>
      </c>
      <c r="B3" t="s">
        <v>1750</v>
      </c>
      <c r="C3" t="s">
        <v>1751</v>
      </c>
      <c r="D3">
        <v>1</v>
      </c>
      <c r="E3" t="str">
        <f t="shared" ref="E3:E66" si="0">_xlfn.CONCAT("('",B3,"','",C3,"',","",D3,"),")</f>
        <v>('02A1112154','TESORERIA LURIN',1),</v>
      </c>
    </row>
    <row r="4" spans="1:5" x14ac:dyDescent="0.25">
      <c r="A4">
        <v>3</v>
      </c>
      <c r="B4" t="s">
        <v>1752</v>
      </c>
      <c r="C4" t="s">
        <v>1753</v>
      </c>
      <c r="D4">
        <v>1</v>
      </c>
      <c r="E4" t="str">
        <f t="shared" si="0"/>
        <v>('02S0865154','AREA TECNICA LURIN',1),</v>
      </c>
    </row>
    <row r="5" spans="1:5" x14ac:dyDescent="0.25">
      <c r="A5">
        <v>4</v>
      </c>
      <c r="B5" t="s">
        <v>1754</v>
      </c>
      <c r="C5" t="s">
        <v>1755</v>
      </c>
      <c r="D5">
        <v>1</v>
      </c>
      <c r="E5" t="str">
        <f t="shared" si="0"/>
        <v>('02A1109154','SISTEMAS TI LURIN',1),</v>
      </c>
    </row>
    <row r="6" spans="1:5" x14ac:dyDescent="0.25">
      <c r="A6">
        <v>5</v>
      </c>
      <c r="B6" t="s">
        <v>1756</v>
      </c>
      <c r="C6" t="s">
        <v>1757</v>
      </c>
      <c r="D6">
        <v>1</v>
      </c>
      <c r="E6" t="str">
        <f t="shared" si="0"/>
        <v>('02A1104154','SERVICIOS GENERALES LURIN',1),</v>
      </c>
    </row>
    <row r="7" spans="1:5" x14ac:dyDescent="0.25">
      <c r="A7">
        <v>6</v>
      </c>
      <c r="B7" t="s">
        <v>1758</v>
      </c>
      <c r="C7" t="s">
        <v>1759</v>
      </c>
      <c r="D7">
        <v>1</v>
      </c>
      <c r="E7" t="str">
        <f t="shared" si="0"/>
        <v>('02C1602200','ADMINISTRACION DE SUCURSALES PIURA',1),</v>
      </c>
    </row>
    <row r="8" spans="1:5" x14ac:dyDescent="0.25">
      <c r="A8">
        <v>7</v>
      </c>
      <c r="B8" t="s">
        <v>1760</v>
      </c>
      <c r="C8" t="s">
        <v>1761</v>
      </c>
      <c r="D8">
        <v>1</v>
      </c>
      <c r="E8" t="str">
        <f t="shared" si="0"/>
        <v>('02C1602080','ADMINISTRACION DE SUCURSALES CUSCO',1),</v>
      </c>
    </row>
    <row r="9" spans="1:5" x14ac:dyDescent="0.25">
      <c r="A9">
        <v>8</v>
      </c>
      <c r="B9" t="s">
        <v>1762</v>
      </c>
      <c r="C9" t="s">
        <v>1763</v>
      </c>
      <c r="D9">
        <v>1</v>
      </c>
      <c r="E9" t="str">
        <f t="shared" si="0"/>
        <v>('02S0869154','TÉCNICOS B - CAMPO LURIN',1),</v>
      </c>
    </row>
    <row r="10" spans="1:5" x14ac:dyDescent="0.25">
      <c r="A10">
        <v>9</v>
      </c>
      <c r="B10" t="s">
        <v>1764</v>
      </c>
      <c r="C10" t="s">
        <v>1765</v>
      </c>
      <c r="D10">
        <v>1</v>
      </c>
      <c r="E10" t="str">
        <f t="shared" si="0"/>
        <v>('02O1303154','COMPRAS LURIN',1),</v>
      </c>
    </row>
    <row r="11" spans="1:5" x14ac:dyDescent="0.25">
      <c r="A11">
        <v>10</v>
      </c>
      <c r="B11" t="s">
        <v>1766</v>
      </c>
      <c r="C11" t="s">
        <v>1767</v>
      </c>
      <c r="D11">
        <v>1</v>
      </c>
      <c r="E11" t="str">
        <f t="shared" si="0"/>
        <v>('02S0867040','CAMPO AREQUIPA',1),</v>
      </c>
    </row>
    <row r="12" spans="1:5" x14ac:dyDescent="0.25">
      <c r="A12">
        <v>11</v>
      </c>
      <c r="B12" t="s">
        <v>1768</v>
      </c>
      <c r="C12" t="s">
        <v>1769</v>
      </c>
      <c r="D12">
        <v>1</v>
      </c>
      <c r="E12" t="str">
        <f t="shared" si="0"/>
        <v>('02S0869040','TÉCNICOS B - CAMPO AREQUIPA',1),</v>
      </c>
    </row>
    <row r="13" spans="1:5" x14ac:dyDescent="0.25">
      <c r="A13">
        <v>12</v>
      </c>
      <c r="B13" t="s">
        <v>1770</v>
      </c>
      <c r="C13" t="s">
        <v>1771</v>
      </c>
      <c r="D13">
        <v>1</v>
      </c>
      <c r="E13" t="str">
        <f t="shared" si="0"/>
        <v>('02S0836040','TÉCNICOS C - TALLER AREQUIPA',1),</v>
      </c>
    </row>
    <row r="14" spans="1:5" x14ac:dyDescent="0.25">
      <c r="A14">
        <v>13</v>
      </c>
      <c r="B14" t="s">
        <v>1772</v>
      </c>
      <c r="C14" t="s">
        <v>1773</v>
      </c>
      <c r="D14">
        <v>1</v>
      </c>
      <c r="E14" t="str">
        <f t="shared" si="0"/>
        <v>('02S0867154','CAMPO LURIN',1),</v>
      </c>
    </row>
    <row r="15" spans="1:5" x14ac:dyDescent="0.25">
      <c r="A15">
        <v>14</v>
      </c>
      <c r="B15" t="s">
        <v>1774</v>
      </c>
      <c r="C15" t="s">
        <v>1775</v>
      </c>
      <c r="D15">
        <v>1</v>
      </c>
      <c r="E15" t="str">
        <f t="shared" si="0"/>
        <v>('02S0870200','TÉCNICOS C - CAMPO PIURA',1),</v>
      </c>
    </row>
    <row r="16" spans="1:5" x14ac:dyDescent="0.25">
      <c r="A16">
        <v>15</v>
      </c>
      <c r="B16" t="s">
        <v>1776</v>
      </c>
      <c r="C16" t="s">
        <v>1777</v>
      </c>
      <c r="D16">
        <v>1</v>
      </c>
      <c r="E16" t="str">
        <f t="shared" si="0"/>
        <v>('02A1114154','CRÉDITOS, COBRANZAS Y APALANCAMIENTO FINANCIERO',1),</v>
      </c>
    </row>
    <row r="17" spans="1:5" x14ac:dyDescent="0.25">
      <c r="A17">
        <v>16</v>
      </c>
      <c r="B17" t="s">
        <v>1778</v>
      </c>
      <c r="C17" t="s">
        <v>1779</v>
      </c>
      <c r="D17">
        <v>1</v>
      </c>
      <c r="E17" t="str">
        <f t="shared" si="0"/>
        <v>('02S0832200','TALLER PIURA',1),</v>
      </c>
    </row>
    <row r="18" spans="1:5" x14ac:dyDescent="0.25">
      <c r="A18">
        <v>17</v>
      </c>
      <c r="B18" t="s">
        <v>1780</v>
      </c>
      <c r="C18" t="s">
        <v>1781</v>
      </c>
      <c r="D18">
        <v>1</v>
      </c>
      <c r="E18" t="str">
        <f t="shared" si="0"/>
        <v>('02S0835154','TÉCNICOS B - TALLER LURIN',1),</v>
      </c>
    </row>
    <row r="19" spans="1:5" x14ac:dyDescent="0.25">
      <c r="A19">
        <v>18</v>
      </c>
      <c r="B19" t="s">
        <v>1782</v>
      </c>
      <c r="C19" t="s">
        <v>1783</v>
      </c>
      <c r="D19">
        <v>1</v>
      </c>
      <c r="E19" t="str">
        <f t="shared" si="0"/>
        <v>('02S0867200','CAMPO PIURA',1),</v>
      </c>
    </row>
    <row r="20" spans="1:5" x14ac:dyDescent="0.25">
      <c r="A20">
        <v>19</v>
      </c>
      <c r="B20" t="s">
        <v>1784</v>
      </c>
      <c r="C20" t="s">
        <v>1785</v>
      </c>
      <c r="D20">
        <v>1</v>
      </c>
      <c r="E20" t="str">
        <f t="shared" si="0"/>
        <v>('02S0832080','TALLER CUSCO',1),</v>
      </c>
    </row>
    <row r="21" spans="1:5" x14ac:dyDescent="0.25">
      <c r="A21">
        <v>20</v>
      </c>
      <c r="B21" t="s">
        <v>1786</v>
      </c>
      <c r="C21" t="s">
        <v>1787</v>
      </c>
      <c r="D21">
        <v>1</v>
      </c>
      <c r="E21" t="str">
        <f t="shared" si="0"/>
        <v>('02C1622080','VENTA USADOS CUSCO',1),</v>
      </c>
    </row>
    <row r="22" spans="1:5" x14ac:dyDescent="0.25">
      <c r="A22">
        <v>21</v>
      </c>
      <c r="B22" t="s">
        <v>1788</v>
      </c>
      <c r="C22" t="s">
        <v>1789</v>
      </c>
      <c r="D22">
        <v>1</v>
      </c>
      <c r="E22" t="str">
        <f t="shared" si="0"/>
        <v>('02S0835040','TÉCNICOS B - TALLER AREQUIPA',1),</v>
      </c>
    </row>
    <row r="23" spans="1:5" x14ac:dyDescent="0.25">
      <c r="A23">
        <v>22</v>
      </c>
      <c r="B23" t="s">
        <v>1790</v>
      </c>
      <c r="C23" t="s">
        <v>1791</v>
      </c>
      <c r="D23">
        <v>1</v>
      </c>
      <c r="E23" t="str">
        <f t="shared" si="0"/>
        <v>('02O0724152','REPUESTOS LA VICTORIA',1),</v>
      </c>
    </row>
    <row r="24" spans="1:5" x14ac:dyDescent="0.25">
      <c r="A24">
        <v>23</v>
      </c>
      <c r="B24" t="s">
        <v>1792</v>
      </c>
      <c r="C24" t="s">
        <v>1793</v>
      </c>
      <c r="D24">
        <v>1</v>
      </c>
      <c r="E24" t="str">
        <f t="shared" si="0"/>
        <v>('02C1602040','ADMINISTRACION DE SUCURSALES AREQUIPA',1),</v>
      </c>
    </row>
    <row r="25" spans="1:5" x14ac:dyDescent="0.25">
      <c r="A25">
        <v>24</v>
      </c>
      <c r="B25" t="s">
        <v>1794</v>
      </c>
      <c r="C25" t="s">
        <v>1795</v>
      </c>
      <c r="D25">
        <v>1</v>
      </c>
      <c r="E25" t="str">
        <f t="shared" si="0"/>
        <v>('02S0832154','TALLER LURIN',1),</v>
      </c>
    </row>
    <row r="26" spans="1:5" x14ac:dyDescent="0.25">
      <c r="A26">
        <v>25</v>
      </c>
      <c r="B26" t="s">
        <v>1796</v>
      </c>
      <c r="C26" t="s">
        <v>1797</v>
      </c>
      <c r="D26">
        <v>1</v>
      </c>
      <c r="E26" t="str">
        <f t="shared" si="0"/>
        <v>('02O1382154','GESTIÓN DE EQUIPOS Y CONTRATOS LURIN',1),</v>
      </c>
    </row>
    <row r="27" spans="1:5" x14ac:dyDescent="0.25">
      <c r="A27">
        <v>26</v>
      </c>
      <c r="B27" t="s">
        <v>1798</v>
      </c>
      <c r="C27" t="s">
        <v>1799</v>
      </c>
      <c r="D27">
        <v>1</v>
      </c>
      <c r="E27" t="str">
        <f t="shared" si="0"/>
        <v>('02C1463154','ARRIENDO CONSTRUCCION LURIN',1),</v>
      </c>
    </row>
    <row r="28" spans="1:5" x14ac:dyDescent="0.25">
      <c r="A28">
        <v>27</v>
      </c>
      <c r="B28" t="s">
        <v>1800</v>
      </c>
      <c r="C28" t="s">
        <v>1801</v>
      </c>
      <c r="D28">
        <v>1</v>
      </c>
      <c r="E28" t="str">
        <f t="shared" si="0"/>
        <v>('02C1622154','VENTA USADOS LURIN',1),</v>
      </c>
    </row>
    <row r="29" spans="1:5" x14ac:dyDescent="0.25">
      <c r="A29">
        <v>28</v>
      </c>
      <c r="B29" s="4" t="s">
        <v>1802</v>
      </c>
      <c r="C29" t="s">
        <v>1753</v>
      </c>
      <c r="D29">
        <v>0</v>
      </c>
      <c r="E29" t="str">
        <f t="shared" si="0"/>
        <v>('02E0865154','AREA TECNICA LURIN',0),</v>
      </c>
    </row>
    <row r="30" spans="1:5" x14ac:dyDescent="0.25">
      <c r="A30">
        <v>29</v>
      </c>
      <c r="B30" t="s">
        <v>1803</v>
      </c>
      <c r="C30" t="s">
        <v>1804</v>
      </c>
      <c r="D30">
        <v>1</v>
      </c>
      <c r="E30" t="str">
        <f t="shared" si="0"/>
        <v>('02S080D154','PLANEAMIENTO SERVICIO TECNICO LURIN',1),</v>
      </c>
    </row>
    <row r="31" spans="1:5" x14ac:dyDescent="0.25">
      <c r="A31">
        <v>30</v>
      </c>
      <c r="B31" t="s">
        <v>1805</v>
      </c>
      <c r="C31" t="s">
        <v>1806</v>
      </c>
      <c r="D31">
        <v>1</v>
      </c>
      <c r="E31" t="str">
        <f t="shared" si="0"/>
        <v>('02O1321080','ALMACENAMIENTO CUSCO',1),</v>
      </c>
    </row>
    <row r="32" spans="1:5" x14ac:dyDescent="0.25">
      <c r="A32">
        <v>31</v>
      </c>
      <c r="B32" t="s">
        <v>1807</v>
      </c>
      <c r="C32" t="s">
        <v>1808</v>
      </c>
      <c r="D32">
        <v>1</v>
      </c>
      <c r="E32" t="str">
        <f t="shared" si="0"/>
        <v>('02O1305154','DISTRIBUCIÓN LURIN',1),</v>
      </c>
    </row>
    <row r="33" spans="1:5" x14ac:dyDescent="0.25">
      <c r="A33">
        <v>32</v>
      </c>
      <c r="B33" t="s">
        <v>1809</v>
      </c>
      <c r="C33" t="s">
        <v>1810</v>
      </c>
      <c r="D33">
        <v>1</v>
      </c>
      <c r="E33" t="str">
        <f t="shared" si="0"/>
        <v>('02S0870154','TÉCNICOS C - CAMPO LURIN',1),</v>
      </c>
    </row>
    <row r="34" spans="1:5" x14ac:dyDescent="0.25">
      <c r="A34">
        <v>33</v>
      </c>
      <c r="B34" t="s">
        <v>1811</v>
      </c>
      <c r="C34" t="s">
        <v>1812</v>
      </c>
      <c r="D34">
        <v>1</v>
      </c>
      <c r="E34" t="str">
        <f t="shared" si="0"/>
        <v>('02S0835080','TÉCNICOS B - TALLER CUSCO',1),</v>
      </c>
    </row>
    <row r="35" spans="1:5" x14ac:dyDescent="0.25">
      <c r="A35">
        <v>34</v>
      </c>
      <c r="B35" t="s">
        <v>1813</v>
      </c>
      <c r="C35" t="s">
        <v>1814</v>
      </c>
      <c r="D35">
        <v>1</v>
      </c>
      <c r="E35" t="str">
        <f t="shared" si="0"/>
        <v>('02S0834200','TÉCNICOS A - TALLER PIURA',1),</v>
      </c>
    </row>
    <row r="36" spans="1:5" x14ac:dyDescent="0.25">
      <c r="A36">
        <v>35</v>
      </c>
      <c r="B36" t="s">
        <v>1815</v>
      </c>
      <c r="C36" t="s">
        <v>1816</v>
      </c>
      <c r="D36">
        <v>1</v>
      </c>
      <c r="E36" t="str">
        <f t="shared" si="0"/>
        <v>('02S0869080','TÉCNICOS B - CAMPO CUSCO',1),</v>
      </c>
    </row>
    <row r="37" spans="1:5" x14ac:dyDescent="0.25">
      <c r="A37">
        <v>36</v>
      </c>
      <c r="B37" t="s">
        <v>1817</v>
      </c>
      <c r="C37" t="s">
        <v>1818</v>
      </c>
      <c r="D37">
        <v>1</v>
      </c>
      <c r="E37" t="str">
        <f t="shared" si="0"/>
        <v>('02S0868040','TÉCNICOS A - CAMPO AREQUIPA',1),</v>
      </c>
    </row>
    <row r="38" spans="1:5" x14ac:dyDescent="0.25">
      <c r="A38">
        <v>37</v>
      </c>
      <c r="B38" t="s">
        <v>1819</v>
      </c>
      <c r="C38" t="s">
        <v>1820</v>
      </c>
      <c r="D38">
        <v>1</v>
      </c>
      <c r="E38" t="str">
        <f t="shared" si="0"/>
        <v>('02S0840154','TÉCNICOS I - TALLER LURIN',1),</v>
      </c>
    </row>
    <row r="39" spans="1:5" x14ac:dyDescent="0.25">
      <c r="A39">
        <v>38</v>
      </c>
      <c r="B39" t="s">
        <v>1821</v>
      </c>
      <c r="C39" t="s">
        <v>1822</v>
      </c>
      <c r="D39">
        <v>1</v>
      </c>
      <c r="E39" t="str">
        <f t="shared" si="0"/>
        <v>('02A1108154','FINANZAS LURIN',1),</v>
      </c>
    </row>
    <row r="40" spans="1:5" x14ac:dyDescent="0.25">
      <c r="A40">
        <v>39</v>
      </c>
      <c r="B40" t="s">
        <v>1823</v>
      </c>
      <c r="C40" t="s">
        <v>1824</v>
      </c>
      <c r="D40">
        <v>1</v>
      </c>
      <c r="E40" t="str">
        <f t="shared" si="0"/>
        <v>('02C0163154','ARRIENDO AGRICOLA LURIN',1),</v>
      </c>
    </row>
    <row r="41" spans="1:5" x14ac:dyDescent="0.25">
      <c r="A41">
        <v>40</v>
      </c>
      <c r="B41" t="s">
        <v>1825</v>
      </c>
      <c r="C41" t="s">
        <v>1826</v>
      </c>
      <c r="D41">
        <v>1</v>
      </c>
      <c r="E41" t="str">
        <f t="shared" si="0"/>
        <v>('02A1118154','RECURSOS HUMANOS LURIN',1),</v>
      </c>
    </row>
    <row r="42" spans="1:5" x14ac:dyDescent="0.25">
      <c r="A42">
        <v>41</v>
      </c>
      <c r="B42" t="s">
        <v>1827</v>
      </c>
      <c r="C42" t="s">
        <v>1828</v>
      </c>
      <c r="D42">
        <v>1</v>
      </c>
      <c r="E42" t="str">
        <f t="shared" si="0"/>
        <v>('02O0724154','REPUESTOS LURIN',1),</v>
      </c>
    </row>
    <row r="43" spans="1:5" x14ac:dyDescent="0.25">
      <c r="A43">
        <v>42</v>
      </c>
      <c r="B43" t="s">
        <v>1829</v>
      </c>
      <c r="C43" t="s">
        <v>1830</v>
      </c>
      <c r="D43">
        <v>1</v>
      </c>
      <c r="E43" t="str">
        <f t="shared" si="0"/>
        <v>('02C1463040','ARRIENDO CONSTRUCCION AREQUIPA',1),</v>
      </c>
    </row>
    <row r="44" spans="1:5" x14ac:dyDescent="0.25">
      <c r="A44">
        <v>43</v>
      </c>
      <c r="B44" t="s">
        <v>1831</v>
      </c>
      <c r="C44" t="s">
        <v>1832</v>
      </c>
      <c r="D44">
        <v>1</v>
      </c>
      <c r="E44" t="str">
        <f t="shared" si="0"/>
        <v>('02A1162154','PLANIFICACIÓN Y CONTROL LURIN',1),</v>
      </c>
    </row>
    <row r="45" spans="1:5" x14ac:dyDescent="0.25">
      <c r="A45">
        <v>44</v>
      </c>
      <c r="B45" t="s">
        <v>1833</v>
      </c>
      <c r="C45" t="s">
        <v>1834</v>
      </c>
      <c r="D45">
        <v>1</v>
      </c>
      <c r="E45" t="str">
        <f t="shared" si="0"/>
        <v>('02S0869200','TÉCNICOS B - CAMPO PIURA',1),</v>
      </c>
    </row>
    <row r="46" spans="1:5" x14ac:dyDescent="0.25">
      <c r="A46">
        <v>45</v>
      </c>
      <c r="B46" t="s">
        <v>1835</v>
      </c>
      <c r="C46" t="s">
        <v>1836</v>
      </c>
      <c r="D46">
        <v>1</v>
      </c>
      <c r="E46" t="str">
        <f t="shared" si="0"/>
        <v>('02C0163200','ARRIENDO AGRICOLA PIURA',1),</v>
      </c>
    </row>
    <row r="47" spans="1:5" x14ac:dyDescent="0.25">
      <c r="A47">
        <v>46</v>
      </c>
      <c r="B47" t="s">
        <v>1837</v>
      </c>
      <c r="C47" t="s">
        <v>1838</v>
      </c>
      <c r="D47">
        <v>1</v>
      </c>
      <c r="E47" t="str">
        <f t="shared" si="0"/>
        <v>('02O1306154','SISTEMA INTEGRADO DE GESTION LURIN',1),</v>
      </c>
    </row>
    <row r="48" spans="1:5" x14ac:dyDescent="0.25">
      <c r="A48">
        <v>47</v>
      </c>
      <c r="B48" t="s">
        <v>1839</v>
      </c>
      <c r="C48" t="s">
        <v>1840</v>
      </c>
      <c r="D48">
        <v>1</v>
      </c>
      <c r="E48" t="str">
        <f t="shared" si="0"/>
        <v>('02O1398154','VALORACION Y FACTURACION LURIN',1),</v>
      </c>
    </row>
    <row r="49" spans="1:5" x14ac:dyDescent="0.25">
      <c r="A49">
        <v>48</v>
      </c>
      <c r="B49" t="s">
        <v>1841</v>
      </c>
      <c r="C49" t="s">
        <v>1842</v>
      </c>
      <c r="D49">
        <v>1</v>
      </c>
      <c r="E49" t="str">
        <f t="shared" si="0"/>
        <v>('02S0867080','CAMPO CUSCO',1),</v>
      </c>
    </row>
    <row r="50" spans="1:5" x14ac:dyDescent="0.25">
      <c r="A50">
        <v>49</v>
      </c>
      <c r="B50" t="s">
        <v>1843</v>
      </c>
      <c r="C50" t="s">
        <v>1844</v>
      </c>
      <c r="D50">
        <v>1</v>
      </c>
      <c r="E50" t="str">
        <f t="shared" si="0"/>
        <v>('02C0463154','ARRIENDO ENERGIA LURIN',1),</v>
      </c>
    </row>
    <row r="51" spans="1:5" x14ac:dyDescent="0.25">
      <c r="A51">
        <v>50</v>
      </c>
      <c r="B51" t="s">
        <v>1845</v>
      </c>
      <c r="C51" t="s">
        <v>1846</v>
      </c>
      <c r="D51">
        <v>1</v>
      </c>
      <c r="E51" t="str">
        <f t="shared" si="0"/>
        <v>('02S0868200','TÉCNICOS A - CAMPO PIURA',1),</v>
      </c>
    </row>
    <row r="52" spans="1:5" x14ac:dyDescent="0.25">
      <c r="A52">
        <v>51</v>
      </c>
      <c r="B52" s="4" t="s">
        <v>1847</v>
      </c>
      <c r="C52" t="s">
        <v>1818</v>
      </c>
      <c r="D52">
        <v>0</v>
      </c>
      <c r="E52" t="str">
        <f t="shared" si="0"/>
        <v>('02E0868040','TÉCNICOS A - CAMPO AREQUIPA',0),</v>
      </c>
    </row>
    <row r="53" spans="1:5" x14ac:dyDescent="0.25">
      <c r="A53">
        <v>52</v>
      </c>
      <c r="B53" s="4" t="s">
        <v>1848</v>
      </c>
      <c r="C53" t="s">
        <v>1849</v>
      </c>
      <c r="D53">
        <v>0</v>
      </c>
      <c r="E53" t="str">
        <f t="shared" si="0"/>
        <v>('02E0868154','TÉCNICOS A - CAMPO LURIN',0),</v>
      </c>
    </row>
    <row r="54" spans="1:5" x14ac:dyDescent="0.25">
      <c r="A54">
        <v>53</v>
      </c>
      <c r="B54" t="s">
        <v>1850</v>
      </c>
      <c r="C54" t="s">
        <v>1849</v>
      </c>
      <c r="D54">
        <v>1</v>
      </c>
      <c r="E54" t="str">
        <f t="shared" si="0"/>
        <v>('02S0868154','TÉCNICOS A - CAMPO LURIN',1),</v>
      </c>
    </row>
    <row r="55" spans="1:5" x14ac:dyDescent="0.25">
      <c r="A55">
        <v>54</v>
      </c>
      <c r="B55" t="s">
        <v>1851</v>
      </c>
      <c r="C55" t="s">
        <v>1852</v>
      </c>
      <c r="D55">
        <v>1</v>
      </c>
      <c r="E55" t="str">
        <f t="shared" si="0"/>
        <v>('02S0839154','TÉCNICOS M - TALLER LURIN',1),</v>
      </c>
    </row>
    <row r="56" spans="1:5" x14ac:dyDescent="0.25">
      <c r="A56">
        <v>55</v>
      </c>
      <c r="B56" t="s">
        <v>1853</v>
      </c>
      <c r="C56" t="s">
        <v>1854</v>
      </c>
      <c r="D56">
        <v>1</v>
      </c>
      <c r="E56" t="str">
        <f t="shared" si="0"/>
        <v>('02A1107154','CONTABILIDAD LURIN',1),</v>
      </c>
    </row>
    <row r="57" spans="1:5" x14ac:dyDescent="0.25">
      <c r="A57">
        <v>56</v>
      </c>
      <c r="B57" t="s">
        <v>1855</v>
      </c>
      <c r="C57" t="s">
        <v>1856</v>
      </c>
      <c r="D57">
        <v>1</v>
      </c>
      <c r="E57" t="str">
        <f t="shared" si="0"/>
        <v>('02O1321152','ALMACENAMIENTO LA VICTORIA',1),</v>
      </c>
    </row>
    <row r="58" spans="1:5" x14ac:dyDescent="0.25">
      <c r="A58">
        <v>57</v>
      </c>
      <c r="B58" t="s">
        <v>1857</v>
      </c>
      <c r="C58" t="s">
        <v>1858</v>
      </c>
      <c r="D58">
        <v>1</v>
      </c>
      <c r="E58" t="str">
        <f t="shared" si="0"/>
        <v>('02O1311154','INNOVACIÓN LURIN',1),</v>
      </c>
    </row>
    <row r="59" spans="1:5" x14ac:dyDescent="0.25">
      <c r="A59">
        <v>58</v>
      </c>
      <c r="B59" t="s">
        <v>1859</v>
      </c>
      <c r="C59" t="s">
        <v>1860</v>
      </c>
      <c r="D59">
        <v>1</v>
      </c>
      <c r="E59" t="str">
        <f t="shared" si="0"/>
        <v>('02O1321154','ALMACENAMIENTO LURIN',1),</v>
      </c>
    </row>
    <row r="60" spans="1:5" x14ac:dyDescent="0.25">
      <c r="A60">
        <v>59</v>
      </c>
      <c r="B60" t="s">
        <v>1861</v>
      </c>
      <c r="C60" t="s">
        <v>1862</v>
      </c>
      <c r="D60">
        <v>1</v>
      </c>
      <c r="E60" t="str">
        <f t="shared" si="0"/>
        <v>('02C1320080','LOGISTICA CUSCO',1),</v>
      </c>
    </row>
    <row r="61" spans="1:5" x14ac:dyDescent="0.25">
      <c r="A61">
        <v>60</v>
      </c>
      <c r="B61" s="4" t="s">
        <v>1863</v>
      </c>
      <c r="C61" t="s">
        <v>1864</v>
      </c>
      <c r="D61">
        <v>0</v>
      </c>
      <c r="E61" t="str">
        <f t="shared" si="0"/>
        <v>('02E0834040','TÉCNICOS A - TALLER AREQUIPA',0),</v>
      </c>
    </row>
    <row r="62" spans="1:5" x14ac:dyDescent="0.25">
      <c r="A62">
        <v>61</v>
      </c>
      <c r="B62" t="s">
        <v>1865</v>
      </c>
      <c r="C62" t="s">
        <v>1866</v>
      </c>
      <c r="D62">
        <v>1</v>
      </c>
      <c r="E62" t="str">
        <f t="shared" si="0"/>
        <v>('02O0724040','REPUESTOS AREQUIPA',1),</v>
      </c>
    </row>
    <row r="63" spans="1:5" x14ac:dyDescent="0.25">
      <c r="A63">
        <v>62</v>
      </c>
      <c r="B63" s="4" t="s">
        <v>1867</v>
      </c>
      <c r="C63" t="s">
        <v>1868</v>
      </c>
      <c r="D63">
        <v>0</v>
      </c>
      <c r="E63" t="str">
        <f t="shared" si="0"/>
        <v>('02E0832040','TALLER AREQUIPA',0),</v>
      </c>
    </row>
    <row r="64" spans="1:5" x14ac:dyDescent="0.25">
      <c r="A64">
        <v>63</v>
      </c>
      <c r="B64" t="s">
        <v>1869</v>
      </c>
      <c r="C64" t="s">
        <v>1870</v>
      </c>
      <c r="D64">
        <v>1</v>
      </c>
      <c r="E64" t="str">
        <f t="shared" si="0"/>
        <v>('02S0868080','TÉCNICOS A - CAMPO CUSCO',1),</v>
      </c>
    </row>
    <row r="65" spans="1:5" x14ac:dyDescent="0.25">
      <c r="A65">
        <v>64</v>
      </c>
      <c r="B65" t="s">
        <v>1871</v>
      </c>
      <c r="C65" t="s">
        <v>1872</v>
      </c>
      <c r="D65">
        <v>1</v>
      </c>
      <c r="E65" t="str">
        <f t="shared" si="0"/>
        <v>('02C1622040','VENTA USADOS AREQUIPA',1),</v>
      </c>
    </row>
    <row r="66" spans="1:5" x14ac:dyDescent="0.25">
      <c r="A66">
        <v>65</v>
      </c>
      <c r="B66" t="s">
        <v>1873</v>
      </c>
      <c r="C66" t="s">
        <v>1874</v>
      </c>
      <c r="D66">
        <v>1</v>
      </c>
      <c r="E66" t="str">
        <f t="shared" si="0"/>
        <v>('02C1320154','LOGISTICA LURIN',1),</v>
      </c>
    </row>
    <row r="67" spans="1:5" x14ac:dyDescent="0.25">
      <c r="A67">
        <v>66</v>
      </c>
      <c r="B67" s="4" t="s">
        <v>1875</v>
      </c>
      <c r="C67" t="s">
        <v>1814</v>
      </c>
      <c r="D67">
        <v>0</v>
      </c>
      <c r="E67" t="str">
        <f t="shared" ref="E67:E113" si="1">_xlfn.CONCAT("('",B67,"','",C67,"',","",D67,"),")</f>
        <v>('02E0834200','TÉCNICOS A - TALLER PIURA',0),</v>
      </c>
    </row>
    <row r="68" spans="1:5" x14ac:dyDescent="0.25">
      <c r="A68">
        <v>67</v>
      </c>
      <c r="B68" t="s">
        <v>1876</v>
      </c>
      <c r="C68" t="s">
        <v>1877</v>
      </c>
      <c r="D68">
        <v>1</v>
      </c>
      <c r="E68" t="str">
        <f t="shared" si="1"/>
        <v>('02C1617154','MARKETING LURIN',1),</v>
      </c>
    </row>
    <row r="69" spans="1:5" x14ac:dyDescent="0.25">
      <c r="A69">
        <v>68</v>
      </c>
      <c r="B69" t="s">
        <v>1878</v>
      </c>
      <c r="C69" t="s">
        <v>1879</v>
      </c>
      <c r="D69">
        <v>1</v>
      </c>
      <c r="E69" t="str">
        <f t="shared" si="1"/>
        <v>('02S0835200','TÉCNICOS B - TALLER PIURA',1),</v>
      </c>
    </row>
    <row r="70" spans="1:5" x14ac:dyDescent="0.25">
      <c r="A70">
        <v>69</v>
      </c>
      <c r="B70" t="s">
        <v>1880</v>
      </c>
      <c r="C70" t="s">
        <v>1881</v>
      </c>
      <c r="D70">
        <v>1</v>
      </c>
      <c r="E70" t="str">
        <f t="shared" si="1"/>
        <v>('02S0834154','TÉCNICOS A - TALLER LURIN',1),</v>
      </c>
    </row>
    <row r="71" spans="1:5" x14ac:dyDescent="0.25">
      <c r="A71">
        <v>70</v>
      </c>
      <c r="B71" s="4" t="s">
        <v>1882</v>
      </c>
      <c r="C71" t="s">
        <v>1883</v>
      </c>
      <c r="D71">
        <v>0</v>
      </c>
      <c r="E71" t="str">
        <f t="shared" si="1"/>
        <v>('02E0834080','TÉCNICOS A - TALLER CUSCO',0),</v>
      </c>
    </row>
    <row r="72" spans="1:5" x14ac:dyDescent="0.25">
      <c r="A72">
        <v>71</v>
      </c>
      <c r="B72" s="4" t="s">
        <v>1884</v>
      </c>
      <c r="C72" t="s">
        <v>1795</v>
      </c>
      <c r="D72">
        <v>0</v>
      </c>
      <c r="E72" t="str">
        <f t="shared" si="1"/>
        <v>('02E0832154','TALLER LURIN',0),</v>
      </c>
    </row>
    <row r="73" spans="1:5" x14ac:dyDescent="0.25">
      <c r="A73">
        <v>72</v>
      </c>
      <c r="B73" t="s">
        <v>1885</v>
      </c>
      <c r="C73" t="s">
        <v>1886</v>
      </c>
      <c r="D73">
        <v>1</v>
      </c>
      <c r="E73" t="str">
        <f t="shared" si="1"/>
        <v>('02S0840200','TÉCNICOS I - TALLER PIURA',1),</v>
      </c>
    </row>
    <row r="74" spans="1:5" x14ac:dyDescent="0.25">
      <c r="A74">
        <v>73</v>
      </c>
      <c r="B74" t="s">
        <v>1887</v>
      </c>
      <c r="C74" t="s">
        <v>1799</v>
      </c>
      <c r="D74">
        <v>0</v>
      </c>
      <c r="E74" t="str">
        <f t="shared" si="1"/>
        <v>('02B1463154','ARRIENDO CONSTRUCCION LURIN',0),</v>
      </c>
    </row>
    <row r="75" spans="1:5" x14ac:dyDescent="0.25">
      <c r="A75">
        <v>74</v>
      </c>
      <c r="B75" t="s">
        <v>1888</v>
      </c>
      <c r="C75" t="s">
        <v>1889</v>
      </c>
      <c r="D75">
        <v>1</v>
      </c>
      <c r="E75" t="str">
        <f t="shared" si="1"/>
        <v>('02C1601154','GERENCIA COMERCIAL LURIN',1),</v>
      </c>
    </row>
    <row r="76" spans="1:5" x14ac:dyDescent="0.25">
      <c r="A76">
        <v>75</v>
      </c>
      <c r="B76" t="s">
        <v>1890</v>
      </c>
      <c r="C76" t="s">
        <v>1891</v>
      </c>
      <c r="D76">
        <v>1</v>
      </c>
      <c r="E76" t="str">
        <f t="shared" si="1"/>
        <v>('02O1321200','ALMACENAMIENTO PIURA',1),</v>
      </c>
    </row>
    <row r="77" spans="1:5" x14ac:dyDescent="0.25">
      <c r="A77">
        <v>76</v>
      </c>
      <c r="B77" t="s">
        <v>1892</v>
      </c>
      <c r="C77" t="s">
        <v>1797</v>
      </c>
      <c r="D77">
        <v>0</v>
      </c>
      <c r="E77" t="str">
        <f t="shared" si="1"/>
        <v>('02C1311154','GESTIÓN DE EQUIPOS Y CONTRATOS LURIN',0),</v>
      </c>
    </row>
    <row r="78" spans="1:5" x14ac:dyDescent="0.25">
      <c r="A78">
        <v>77</v>
      </c>
      <c r="B78" t="s">
        <v>1893</v>
      </c>
      <c r="C78" t="s">
        <v>1894</v>
      </c>
      <c r="D78">
        <v>1</v>
      </c>
      <c r="E78" t="str">
        <f t="shared" si="1"/>
        <v>('02C1463080','ARRIENDO CONSTRUCCION CUSCO',1),</v>
      </c>
    </row>
    <row r="79" spans="1:5" x14ac:dyDescent="0.25">
      <c r="A79">
        <v>78</v>
      </c>
      <c r="B79" s="4" t="s">
        <v>1895</v>
      </c>
      <c r="C79" t="s">
        <v>1783</v>
      </c>
      <c r="D79">
        <v>0</v>
      </c>
      <c r="E79" t="str">
        <f t="shared" si="1"/>
        <v>('02E0867200','CAMPO PIURA',0),</v>
      </c>
    </row>
    <row r="80" spans="1:5" x14ac:dyDescent="0.25">
      <c r="A80">
        <v>79</v>
      </c>
      <c r="B80" t="s">
        <v>1896</v>
      </c>
      <c r="C80" t="s">
        <v>1897</v>
      </c>
      <c r="D80">
        <v>1</v>
      </c>
      <c r="E80" t="str">
        <f t="shared" si="1"/>
        <v>('02S0839040','TÉCNICOS M - TALLER AREQUIPA',1),</v>
      </c>
    </row>
    <row r="81" spans="1:5" x14ac:dyDescent="0.25">
      <c r="A81">
        <v>80</v>
      </c>
      <c r="B81" t="s">
        <v>1898</v>
      </c>
      <c r="C81" t="s">
        <v>1899</v>
      </c>
      <c r="D81">
        <v>1</v>
      </c>
      <c r="E81" t="str">
        <f t="shared" si="1"/>
        <v>('02C1463200','ARRIENDO CONSTRUCCION PIURA',1),</v>
      </c>
    </row>
    <row r="82" spans="1:5" x14ac:dyDescent="0.25">
      <c r="A82">
        <v>81</v>
      </c>
      <c r="B82" s="4" t="s">
        <v>1900</v>
      </c>
      <c r="C82" t="s">
        <v>1881</v>
      </c>
      <c r="D82">
        <v>0</v>
      </c>
      <c r="E82" t="str">
        <f t="shared" si="1"/>
        <v>('02E0834154','TÉCNICOS A - TALLER LURIN',0),</v>
      </c>
    </row>
    <row r="83" spans="1:5" x14ac:dyDescent="0.25">
      <c r="A83">
        <v>82</v>
      </c>
      <c r="B83" s="4" t="s">
        <v>1901</v>
      </c>
      <c r="C83" t="s">
        <v>1773</v>
      </c>
      <c r="D83">
        <v>0</v>
      </c>
      <c r="E83" t="str">
        <f t="shared" si="1"/>
        <v>('02E0867154','CAMPO LURIN',0),</v>
      </c>
    </row>
    <row r="84" spans="1:5" x14ac:dyDescent="0.25">
      <c r="A84">
        <v>83</v>
      </c>
      <c r="B84" t="s">
        <v>1902</v>
      </c>
      <c r="C84" t="s">
        <v>1903</v>
      </c>
      <c r="D84">
        <v>1</v>
      </c>
      <c r="E84" t="str">
        <f t="shared" si="1"/>
        <v>('02O1305200','DISTRIBUCIÓN PIURA',1),</v>
      </c>
    </row>
    <row r="85" spans="1:5" x14ac:dyDescent="0.25">
      <c r="A85">
        <v>84</v>
      </c>
      <c r="B85" s="4" t="s">
        <v>1904</v>
      </c>
      <c r="C85" t="s">
        <v>1870</v>
      </c>
      <c r="D85">
        <v>0</v>
      </c>
      <c r="E85" t="str">
        <f t="shared" si="1"/>
        <v>('02E0868080','TÉCNICOS A - CAMPO CUSCO',0),</v>
      </c>
    </row>
    <row r="86" spans="1:5" x14ac:dyDescent="0.25">
      <c r="A86">
        <v>85</v>
      </c>
      <c r="B86" t="s">
        <v>1905</v>
      </c>
      <c r="C86" t="s">
        <v>1906</v>
      </c>
      <c r="D86">
        <v>1</v>
      </c>
      <c r="E86" t="str">
        <f t="shared" si="1"/>
        <v>('02C160C154','INTELIGENCIA COMERCIAL LURIN',1),</v>
      </c>
    </row>
    <row r="87" spans="1:5" x14ac:dyDescent="0.25">
      <c r="A87">
        <v>86</v>
      </c>
      <c r="B87" t="s">
        <v>1907</v>
      </c>
      <c r="C87" t="s">
        <v>1877</v>
      </c>
      <c r="D87">
        <v>0</v>
      </c>
      <c r="E87" t="str">
        <f t="shared" si="1"/>
        <v>('02B1617154','MARKETING LURIN',0),</v>
      </c>
    </row>
    <row r="88" spans="1:5" x14ac:dyDescent="0.25">
      <c r="A88">
        <v>87</v>
      </c>
      <c r="B88" t="s">
        <v>1908</v>
      </c>
      <c r="C88" t="s">
        <v>1909</v>
      </c>
      <c r="D88">
        <v>1</v>
      </c>
      <c r="E88" t="str">
        <f t="shared" si="1"/>
        <v>('02S0836154','TÉCNICOS C - TALLER LURIN',1),</v>
      </c>
    </row>
    <row r="89" spans="1:5" x14ac:dyDescent="0.25">
      <c r="A89">
        <v>88</v>
      </c>
      <c r="B89" t="s">
        <v>1910</v>
      </c>
      <c r="C89" t="s">
        <v>1864</v>
      </c>
      <c r="D89">
        <v>1</v>
      </c>
      <c r="E89" t="str">
        <f t="shared" si="1"/>
        <v>('02S0834040','TÉCNICOS A - TALLER AREQUIPA',1),</v>
      </c>
    </row>
    <row r="90" spans="1:5" x14ac:dyDescent="0.25">
      <c r="A90">
        <v>89</v>
      </c>
      <c r="B90" t="s">
        <v>1911</v>
      </c>
      <c r="C90" t="s">
        <v>1912</v>
      </c>
      <c r="D90">
        <v>1</v>
      </c>
      <c r="E90" t="str">
        <f t="shared" si="1"/>
        <v>('02A1104040','SERVICIOS GENERALES AREQUIPA',1),</v>
      </c>
    </row>
    <row r="91" spans="1:5" x14ac:dyDescent="0.25">
      <c r="A91">
        <v>90</v>
      </c>
      <c r="B91" t="s">
        <v>1913</v>
      </c>
      <c r="C91" t="s">
        <v>1868</v>
      </c>
      <c r="D91">
        <v>1</v>
      </c>
      <c r="E91" t="str">
        <f t="shared" si="1"/>
        <v>('02S0832040','TALLER AREQUIPA',1),</v>
      </c>
    </row>
    <row r="92" spans="1:5" x14ac:dyDescent="0.25">
      <c r="A92">
        <v>91</v>
      </c>
      <c r="B92" t="s">
        <v>1914</v>
      </c>
      <c r="C92" t="s">
        <v>1915</v>
      </c>
      <c r="D92">
        <v>1</v>
      </c>
      <c r="E92" t="str">
        <f t="shared" si="1"/>
        <v>('02O1321040','ALMACENAMIENTO AREQUIPA',1),</v>
      </c>
    </row>
    <row r="93" spans="1:5" x14ac:dyDescent="0.25">
      <c r="A93">
        <v>92</v>
      </c>
      <c r="B93" t="s">
        <v>1916</v>
      </c>
      <c r="C93" t="s">
        <v>1917</v>
      </c>
      <c r="D93">
        <v>1</v>
      </c>
      <c r="E93" t="str">
        <f t="shared" si="1"/>
        <v>('02C1563154','ARRIENDO MEDIANA MINERIA LURIN',1),</v>
      </c>
    </row>
    <row r="94" spans="1:5" x14ac:dyDescent="0.25">
      <c r="A94">
        <v>93</v>
      </c>
      <c r="B94" t="s">
        <v>1918</v>
      </c>
      <c r="C94" t="s">
        <v>1919</v>
      </c>
      <c r="D94">
        <v>0</v>
      </c>
      <c r="E94" t="str">
        <f t="shared" si="1"/>
        <v>('02C1364154','CAPACITA LURIN',0),</v>
      </c>
    </row>
    <row r="95" spans="1:5" x14ac:dyDescent="0.25">
      <c r="A95">
        <v>94</v>
      </c>
      <c r="B95" t="s">
        <v>1920</v>
      </c>
      <c r="C95" t="s">
        <v>1921</v>
      </c>
      <c r="D95">
        <v>1</v>
      </c>
      <c r="E95" t="str">
        <f t="shared" si="1"/>
        <v>('02C1320040','LOGISTICA AREQUIPA',1),</v>
      </c>
    </row>
    <row r="96" spans="1:5" x14ac:dyDescent="0.25">
      <c r="A96">
        <v>95</v>
      </c>
      <c r="B96" t="s">
        <v>1922</v>
      </c>
      <c r="C96" t="s">
        <v>1923</v>
      </c>
      <c r="D96">
        <v>1</v>
      </c>
      <c r="E96" t="str">
        <f t="shared" si="1"/>
        <v>('02O1303152','COMPRAS LA VICTORIA',1),</v>
      </c>
    </row>
    <row r="97" spans="1:5" x14ac:dyDescent="0.25">
      <c r="A97">
        <v>96</v>
      </c>
      <c r="B97" t="s">
        <v>1924</v>
      </c>
      <c r="C97" t="s">
        <v>1919</v>
      </c>
      <c r="D97">
        <v>1</v>
      </c>
      <c r="E97" t="str">
        <f t="shared" si="1"/>
        <v>('02S0864154','CAPACITA LURIN',1),</v>
      </c>
    </row>
    <row r="98" spans="1:5" x14ac:dyDescent="0.25">
      <c r="A98">
        <v>97</v>
      </c>
      <c r="B98" t="s">
        <v>4350</v>
      </c>
      <c r="C98" t="s">
        <v>1925</v>
      </c>
      <c r="D98">
        <v>1</v>
      </c>
      <c r="E98" t="str">
        <f t="shared" si="1"/>
        <v>('02C160D154','COORDINACION COMERCIAL LURIN',1),</v>
      </c>
    </row>
    <row r="99" spans="1:5" x14ac:dyDescent="0.25">
      <c r="A99">
        <v>98</v>
      </c>
      <c r="B99" t="s">
        <v>1926</v>
      </c>
      <c r="C99" t="s">
        <v>1927</v>
      </c>
      <c r="D99">
        <v>1</v>
      </c>
      <c r="E99" t="str">
        <f t="shared" si="1"/>
        <v>('02O0724200','REPUESTOS PIURA',1),</v>
      </c>
    </row>
    <row r="100" spans="1:5" x14ac:dyDescent="0.25">
      <c r="A100">
        <v>99</v>
      </c>
      <c r="B100" t="s">
        <v>1928</v>
      </c>
      <c r="C100" t="s">
        <v>1883</v>
      </c>
      <c r="D100">
        <v>1</v>
      </c>
      <c r="E100" t="str">
        <f t="shared" si="1"/>
        <v>('02S0834080','TÉCNICOS A - TALLER CUSCO',1),</v>
      </c>
    </row>
    <row r="101" spans="1:5" x14ac:dyDescent="0.25">
      <c r="A101">
        <v>100</v>
      </c>
      <c r="B101" t="s">
        <v>1929</v>
      </c>
      <c r="C101" t="s">
        <v>1930</v>
      </c>
      <c r="D101">
        <v>1</v>
      </c>
      <c r="E101" t="str">
        <f t="shared" si="1"/>
        <v>('02O1303200','COMPRAS PIURA',1),</v>
      </c>
    </row>
    <row r="102" spans="1:5" x14ac:dyDescent="0.25">
      <c r="A102">
        <v>101</v>
      </c>
      <c r="B102" t="s">
        <v>4351</v>
      </c>
      <c r="C102" t="s">
        <v>1931</v>
      </c>
      <c r="D102">
        <v>1</v>
      </c>
      <c r="E102" t="str">
        <f t="shared" si="1"/>
        <v>('02O1303040','COMPRAS AREQUIPA',1),</v>
      </c>
    </row>
    <row r="103" spans="1:5" x14ac:dyDescent="0.25">
      <c r="A103">
        <v>102</v>
      </c>
      <c r="B103" t="s">
        <v>1932</v>
      </c>
      <c r="C103" t="s">
        <v>1933</v>
      </c>
      <c r="D103">
        <v>1</v>
      </c>
      <c r="E103" t="str">
        <f t="shared" si="1"/>
        <v>('02A1104200','SERVICIOS GENERALES PIURA',1),</v>
      </c>
    </row>
    <row r="104" spans="1:5" x14ac:dyDescent="0.25">
      <c r="A104">
        <v>103</v>
      </c>
      <c r="B104" t="s">
        <v>1934</v>
      </c>
      <c r="C104" t="s">
        <v>1935</v>
      </c>
      <c r="D104">
        <v>1</v>
      </c>
      <c r="E104" t="str">
        <f t="shared" si="1"/>
        <v>('02S0866154','ESPECIALISTAS ST LURIN',1),</v>
      </c>
    </row>
    <row r="105" spans="1:5" x14ac:dyDescent="0.25">
      <c r="A105">
        <v>104</v>
      </c>
      <c r="B105" t="s">
        <v>1936</v>
      </c>
      <c r="C105" t="s">
        <v>1937</v>
      </c>
      <c r="D105">
        <v>1</v>
      </c>
      <c r="E105" t="str">
        <f t="shared" si="1"/>
        <v>('02O1305152','DISTRIBUCIÓN LA VICTORIA',1),</v>
      </c>
    </row>
    <row r="106" spans="1:5" x14ac:dyDescent="0.25">
      <c r="A106">
        <v>105</v>
      </c>
      <c r="B106" t="s">
        <v>1938</v>
      </c>
      <c r="C106" t="s">
        <v>1939</v>
      </c>
      <c r="D106">
        <v>1</v>
      </c>
      <c r="E106" t="str">
        <f t="shared" si="1"/>
        <v>('02C1622200','VENTA USADOS PIURA',1),</v>
      </c>
    </row>
    <row r="107" spans="1:5" x14ac:dyDescent="0.25">
      <c r="A107">
        <v>106</v>
      </c>
      <c r="B107" t="s">
        <v>1940</v>
      </c>
      <c r="C107" t="s">
        <v>1941</v>
      </c>
      <c r="D107">
        <v>1</v>
      </c>
      <c r="E107" t="str">
        <f t="shared" si="1"/>
        <v>('02A110B154','SSOMA LURIN',1),</v>
      </c>
    </row>
    <row r="108" spans="1:5" x14ac:dyDescent="0.25">
      <c r="A108">
        <v>107</v>
      </c>
      <c r="B108" t="s">
        <v>1942</v>
      </c>
      <c r="C108" t="s">
        <v>1943</v>
      </c>
      <c r="D108">
        <v>1</v>
      </c>
      <c r="E108" t="str">
        <f t="shared" si="1"/>
        <v>('02O0724080','REPUESTOS CUSCO',1),</v>
      </c>
    </row>
    <row r="109" spans="1:5" x14ac:dyDescent="0.25">
      <c r="A109">
        <v>108</v>
      </c>
      <c r="B109" t="s">
        <v>1944</v>
      </c>
      <c r="C109" t="s">
        <v>1945</v>
      </c>
      <c r="D109">
        <v>1</v>
      </c>
      <c r="E109" t="str">
        <f t="shared" si="1"/>
        <v>('02S0888154','CAMPO MATRIZ LURIN',1),</v>
      </c>
    </row>
    <row r="110" spans="1:5" x14ac:dyDescent="0.25">
      <c r="A110">
        <v>109</v>
      </c>
      <c r="B110" t="s">
        <v>1946</v>
      </c>
      <c r="C110" t="s">
        <v>1947</v>
      </c>
      <c r="D110">
        <v>1</v>
      </c>
      <c r="E110" t="str">
        <f t="shared" si="1"/>
        <v>('02O1305040','DISTRIBUCIÓN AREQUIPA',1),</v>
      </c>
    </row>
    <row r="111" spans="1:5" x14ac:dyDescent="0.25">
      <c r="A111">
        <v>110</v>
      </c>
      <c r="B111" t="s">
        <v>1948</v>
      </c>
      <c r="C111" t="s">
        <v>1949</v>
      </c>
      <c r="D111">
        <v>1</v>
      </c>
      <c r="E111" t="str">
        <f t="shared" si="1"/>
        <v>('02S0892154','TALLER MATRIZ LURIN',1),</v>
      </c>
    </row>
    <row r="112" spans="1:5" x14ac:dyDescent="0.25">
      <c r="A112">
        <v>111</v>
      </c>
      <c r="B112" t="s">
        <v>1950</v>
      </c>
      <c r="C112" t="s">
        <v>1951</v>
      </c>
      <c r="D112">
        <v>1</v>
      </c>
      <c r="E112" t="str">
        <f t="shared" si="1"/>
        <v>('02O1397154','TRANSPORTE CGM LURIN',1),</v>
      </c>
    </row>
    <row r="113" spans="1:5" x14ac:dyDescent="0.25">
      <c r="A113">
        <v>112</v>
      </c>
      <c r="B113" t="s">
        <v>1952</v>
      </c>
      <c r="C113" t="s">
        <v>1953</v>
      </c>
      <c r="D113">
        <v>1</v>
      </c>
      <c r="E113" t="str">
        <f t="shared" si="1"/>
        <v>('02A110A154','LEGAL LURIN',1),</v>
      </c>
    </row>
  </sheetData>
  <autoFilter ref="B1:E113" xr:uid="{D66E4725-3D19-48E5-85DA-CCBF7A65B170}"/>
  <conditionalFormatting sqref="B928:B1048576 B1:B114">
    <cfRule type="duplicateValues" dxfId="8" priority="2"/>
  </conditionalFormatting>
  <conditionalFormatting sqref="C928:C1048576 C1:C114">
    <cfRule type="duplicateValues" dxfId="7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C4CF-EFEB-48F5-9196-2E7ED5B0E802}">
  <dimension ref="A1:I538"/>
  <sheetViews>
    <sheetView workbookViewId="0">
      <selection activeCell="C4" sqref="C4"/>
    </sheetView>
  </sheetViews>
  <sheetFormatPr baseColWidth="10" defaultRowHeight="15" x14ac:dyDescent="0.25"/>
  <cols>
    <col min="2" max="2" width="16.7109375" bestFit="1" customWidth="1"/>
    <col min="3" max="3" width="12.85546875" bestFit="1" customWidth="1"/>
    <col min="4" max="4" width="19" bestFit="1" customWidth="1"/>
    <col min="5" max="5" width="25.85546875" bestFit="1" customWidth="1"/>
    <col min="6" max="6" width="17.140625" style="8" bestFit="1" customWidth="1"/>
    <col min="7" max="7" width="16.42578125" bestFit="1" customWidth="1"/>
    <col min="8" max="8" width="11.42578125" bestFit="1" customWidth="1"/>
    <col min="9" max="9" width="84.7109375" bestFit="1" customWidth="1"/>
  </cols>
  <sheetData>
    <row r="1" spans="1:9" x14ac:dyDescent="0.25">
      <c r="B1" t="s">
        <v>6872</v>
      </c>
      <c r="C1" t="s">
        <v>7290</v>
      </c>
      <c r="D1" t="s">
        <v>6873</v>
      </c>
      <c r="E1" t="s">
        <v>7291</v>
      </c>
      <c r="F1" s="8" t="s">
        <v>6874</v>
      </c>
      <c r="G1" t="s">
        <v>6875</v>
      </c>
      <c r="H1" t="s">
        <v>4352</v>
      </c>
    </row>
    <row r="2" spans="1:9" x14ac:dyDescent="0.25">
      <c r="A2">
        <v>1</v>
      </c>
      <c r="B2" t="s">
        <v>6876</v>
      </c>
      <c r="C2" t="s">
        <v>4353</v>
      </c>
      <c r="E2" t="s">
        <v>7222</v>
      </c>
      <c r="F2" s="8" t="s">
        <v>9118</v>
      </c>
      <c r="G2" t="s">
        <v>6877</v>
      </c>
      <c r="H2">
        <v>1</v>
      </c>
      <c r="I2" t="str">
        <f>_xlfn.CONCAT("('",B2,"','",C2,"','",D2,"','",E2,"','",F2,"','",G2,"',",H2,"),")</f>
        <v>('CGM-PH-001','celular','','REDMI NOTE 11 PRO','863183063495501','OCUPADO',1),</v>
      </c>
    </row>
    <row r="3" spans="1:9" x14ac:dyDescent="0.25">
      <c r="A3">
        <v>2</v>
      </c>
      <c r="B3" t="s">
        <v>6878</v>
      </c>
      <c r="C3" t="s">
        <v>4353</v>
      </c>
      <c r="E3" t="s">
        <v>7215</v>
      </c>
      <c r="F3" s="8" t="s">
        <v>9119</v>
      </c>
      <c r="G3" t="s">
        <v>6877</v>
      </c>
      <c r="H3">
        <v>1</v>
      </c>
      <c r="I3" t="str">
        <f t="shared" ref="I3:I66" si="0">_xlfn.CONCAT("('",B3,"','",C3,"','",D3,"','",E3,"','",F3,"','",G3,"',",H3,"),")</f>
        <v>('CGM-PH-002','celular','','MOTOROLA G53 5G','352295461830','OCUPADO',1),</v>
      </c>
    </row>
    <row r="4" spans="1:9" x14ac:dyDescent="0.25">
      <c r="A4">
        <v>3</v>
      </c>
      <c r="B4" t="s">
        <v>6879</v>
      </c>
      <c r="C4" t="s">
        <v>4353</v>
      </c>
      <c r="E4" t="s">
        <v>7222</v>
      </c>
      <c r="F4" s="8" t="s">
        <v>9120</v>
      </c>
      <c r="G4" t="s">
        <v>6877</v>
      </c>
      <c r="H4">
        <v>1</v>
      </c>
      <c r="I4" t="str">
        <f t="shared" si="0"/>
        <v>('CGM-PH-003','celular','','REDMI NOTE 11 PRO','863183062174644','OCUPADO',1),</v>
      </c>
    </row>
    <row r="5" spans="1:9" x14ac:dyDescent="0.25">
      <c r="A5">
        <v>4</v>
      </c>
      <c r="B5" t="s">
        <v>6880</v>
      </c>
      <c r="C5" t="s">
        <v>4353</v>
      </c>
      <c r="E5" t="s">
        <v>7222</v>
      </c>
      <c r="F5" s="8" t="s">
        <v>9121</v>
      </c>
      <c r="G5" t="s">
        <v>6877</v>
      </c>
      <c r="H5">
        <v>1</v>
      </c>
      <c r="I5" t="str">
        <f t="shared" si="0"/>
        <v>('CGM-PH-004','celular','','REDMI NOTE 11 PRO','863183062505466','OCUPADO',1),</v>
      </c>
    </row>
    <row r="6" spans="1:9" x14ac:dyDescent="0.25">
      <c r="A6">
        <v>5</v>
      </c>
      <c r="B6" t="s">
        <v>6881</v>
      </c>
      <c r="C6" t="s">
        <v>4353</v>
      </c>
      <c r="E6" t="s">
        <v>7222</v>
      </c>
      <c r="F6" s="8" t="s">
        <v>9122</v>
      </c>
      <c r="G6" t="s">
        <v>6877</v>
      </c>
      <c r="H6">
        <v>1</v>
      </c>
      <c r="I6" t="str">
        <f t="shared" si="0"/>
        <v>('CGM-PH-005','celular','','REDMI NOTE 11 PRO','864048065013785','OCUPADO',1),</v>
      </c>
    </row>
    <row r="7" spans="1:9" x14ac:dyDescent="0.25">
      <c r="A7">
        <v>6</v>
      </c>
      <c r="B7" t="s">
        <v>6882</v>
      </c>
      <c r="C7" t="s">
        <v>4353</v>
      </c>
      <c r="E7" t="s">
        <v>7212</v>
      </c>
      <c r="F7" s="8" t="s">
        <v>9123</v>
      </c>
      <c r="G7" t="s">
        <v>6877</v>
      </c>
      <c r="H7">
        <v>1</v>
      </c>
      <c r="I7" t="str">
        <f t="shared" si="0"/>
        <v>('CGM-PH-006','celular','','MOTOROLA G23','353417142345981','OCUPADO',1),</v>
      </c>
    </row>
    <row r="8" spans="1:9" x14ac:dyDescent="0.25">
      <c r="A8">
        <v>7</v>
      </c>
      <c r="B8" t="s">
        <v>6883</v>
      </c>
      <c r="C8" t="s">
        <v>4353</v>
      </c>
      <c r="E8" t="s">
        <v>7210</v>
      </c>
      <c r="F8" s="8" t="s">
        <v>9124</v>
      </c>
      <c r="G8" t="s">
        <v>6877</v>
      </c>
      <c r="H8">
        <v>1</v>
      </c>
      <c r="I8" t="str">
        <f t="shared" si="0"/>
        <v>('CGM-PH-007','celular','','MOTOROLA EDGE 50 FUSION','354612456522576','OCUPADO',1),</v>
      </c>
    </row>
    <row r="9" spans="1:9" x14ac:dyDescent="0.25">
      <c r="A9">
        <v>8</v>
      </c>
      <c r="B9" t="s">
        <v>6884</v>
      </c>
      <c r="C9" t="s">
        <v>4353</v>
      </c>
      <c r="E9" t="s">
        <v>7222</v>
      </c>
      <c r="F9" s="8" t="s">
        <v>9125</v>
      </c>
      <c r="G9" t="s">
        <v>6877</v>
      </c>
      <c r="H9">
        <v>1</v>
      </c>
      <c r="I9" t="str">
        <f t="shared" si="0"/>
        <v>('CGM-PH-008','celular','','REDMI NOTE 11 PRO','864451052329240','OCUPADO',1),</v>
      </c>
    </row>
    <row r="10" spans="1:9" x14ac:dyDescent="0.25">
      <c r="A10">
        <v>9</v>
      </c>
      <c r="B10" t="s">
        <v>6885</v>
      </c>
      <c r="C10" t="s">
        <v>4353</v>
      </c>
      <c r="E10" t="s">
        <v>7212</v>
      </c>
      <c r="F10" s="8" t="s">
        <v>9126</v>
      </c>
      <c r="G10" t="s">
        <v>6877</v>
      </c>
      <c r="H10">
        <v>1</v>
      </c>
      <c r="I10" t="str">
        <f t="shared" si="0"/>
        <v>('CGM-PH-009','celular','','MOTOROLA G23','352295695397802','OCUPADO',1),</v>
      </c>
    </row>
    <row r="11" spans="1:9" x14ac:dyDescent="0.25">
      <c r="A11">
        <v>10</v>
      </c>
      <c r="B11" t="s">
        <v>6886</v>
      </c>
      <c r="C11" t="s">
        <v>4353</v>
      </c>
      <c r="E11" t="s">
        <v>7216</v>
      </c>
      <c r="F11" s="8" t="s">
        <v>9127</v>
      </c>
      <c r="G11" t="s">
        <v>6877</v>
      </c>
      <c r="H11">
        <v>1</v>
      </c>
      <c r="I11" t="str">
        <f t="shared" si="0"/>
        <v>('CGM-PH-010','celular','','MOTOROLA G54 5G','354964995080925','OCUPADO',1),</v>
      </c>
    </row>
    <row r="12" spans="1:9" x14ac:dyDescent="0.25">
      <c r="A12">
        <v>11</v>
      </c>
      <c r="B12" t="s">
        <v>6887</v>
      </c>
      <c r="C12" t="s">
        <v>4353</v>
      </c>
      <c r="E12" t="s">
        <v>7216</v>
      </c>
      <c r="F12" s="8" t="s">
        <v>9128</v>
      </c>
      <c r="G12" t="s">
        <v>6877</v>
      </c>
      <c r="H12">
        <v>1</v>
      </c>
      <c r="I12" t="str">
        <f t="shared" si="0"/>
        <v>('CGM-PH-011','celular','','MOTOROLA G54 5G','354964995778411','OCUPADO',1),</v>
      </c>
    </row>
    <row r="13" spans="1:9" x14ac:dyDescent="0.25">
      <c r="A13">
        <v>12</v>
      </c>
      <c r="B13" t="s">
        <v>6888</v>
      </c>
      <c r="C13" t="s">
        <v>4353</v>
      </c>
      <c r="E13" t="s">
        <v>7216</v>
      </c>
      <c r="F13" s="8" t="s">
        <v>9129</v>
      </c>
      <c r="G13" t="s">
        <v>6877</v>
      </c>
      <c r="H13">
        <v>1</v>
      </c>
      <c r="I13" t="str">
        <f t="shared" si="0"/>
        <v>('CGM-PH-012','celular','','MOTOROLA G54 5G','354964995776191','OCUPADO',1),</v>
      </c>
    </row>
    <row r="14" spans="1:9" x14ac:dyDescent="0.25">
      <c r="A14">
        <v>13</v>
      </c>
      <c r="B14" t="s">
        <v>6889</v>
      </c>
      <c r="C14" t="s">
        <v>4353</v>
      </c>
      <c r="E14" t="s">
        <v>7210</v>
      </c>
      <c r="F14" s="8" t="s">
        <v>9130</v>
      </c>
      <c r="G14" t="s">
        <v>6877</v>
      </c>
      <c r="H14">
        <v>1</v>
      </c>
      <c r="I14" t="str">
        <f t="shared" si="0"/>
        <v>('CGM-PH-013','celular','','MOTOROLA EDGE 50 FUSION','354612456525751','OCUPADO',1),</v>
      </c>
    </row>
    <row r="15" spans="1:9" x14ac:dyDescent="0.25">
      <c r="A15">
        <v>14</v>
      </c>
      <c r="B15" t="s">
        <v>6890</v>
      </c>
      <c r="C15" t="s">
        <v>4353</v>
      </c>
      <c r="E15" t="s">
        <v>7216</v>
      </c>
      <c r="F15" s="8" t="s">
        <v>9131</v>
      </c>
      <c r="G15" t="s">
        <v>6877</v>
      </c>
      <c r="H15">
        <v>1</v>
      </c>
      <c r="I15" t="str">
        <f t="shared" si="0"/>
        <v>('CGM-PH-014','celular','','MOTOROLA G54 5G','354964995766630','OCUPADO',1),</v>
      </c>
    </row>
    <row r="16" spans="1:9" x14ac:dyDescent="0.25">
      <c r="A16">
        <v>15</v>
      </c>
      <c r="B16" t="s">
        <v>6891</v>
      </c>
      <c r="C16" t="s">
        <v>4353</v>
      </c>
      <c r="E16" t="s">
        <v>7216</v>
      </c>
      <c r="F16" s="8" t="s">
        <v>9132</v>
      </c>
      <c r="G16" t="s">
        <v>6877</v>
      </c>
      <c r="H16">
        <v>1</v>
      </c>
      <c r="I16" t="str">
        <f t="shared" si="0"/>
        <v>('CGM-PH-015','celular','','MOTOROLA G54 5G','354964995775649','OCUPADO',1),</v>
      </c>
    </row>
    <row r="17" spans="1:9" x14ac:dyDescent="0.25">
      <c r="A17">
        <v>16</v>
      </c>
      <c r="B17" t="s">
        <v>6892</v>
      </c>
      <c r="C17" t="s">
        <v>4353</v>
      </c>
      <c r="E17" t="s">
        <v>7216</v>
      </c>
      <c r="F17" s="8" t="s">
        <v>9133</v>
      </c>
      <c r="G17" t="s">
        <v>6877</v>
      </c>
      <c r="H17">
        <v>1</v>
      </c>
      <c r="I17" t="str">
        <f t="shared" si="0"/>
        <v>('CGM-PH-016','celular','','MOTOROLA G54 5G','354964997282214','OCUPADO',1),</v>
      </c>
    </row>
    <row r="18" spans="1:9" x14ac:dyDescent="0.25">
      <c r="A18">
        <v>17</v>
      </c>
      <c r="B18" t="s">
        <v>6893</v>
      </c>
      <c r="C18" t="s">
        <v>4353</v>
      </c>
      <c r="E18" t="s">
        <v>7216</v>
      </c>
      <c r="F18" s="8" t="s">
        <v>9134</v>
      </c>
      <c r="G18" t="s">
        <v>6877</v>
      </c>
      <c r="H18">
        <v>1</v>
      </c>
      <c r="I18" t="str">
        <f t="shared" si="0"/>
        <v>('CGM-PH-017','celular','','MOTOROLA G54 5G','354964995777777','OCUPADO',1),</v>
      </c>
    </row>
    <row r="19" spans="1:9" x14ac:dyDescent="0.25">
      <c r="A19">
        <v>18</v>
      </c>
      <c r="B19" t="s">
        <v>6894</v>
      </c>
      <c r="C19" t="s">
        <v>4353</v>
      </c>
      <c r="E19" t="s">
        <v>7216</v>
      </c>
      <c r="F19" s="8" t="s">
        <v>9135</v>
      </c>
      <c r="G19" t="s">
        <v>6877</v>
      </c>
      <c r="H19">
        <v>1</v>
      </c>
      <c r="I19" t="str">
        <f t="shared" si="0"/>
        <v>('CGM-PH-018','celular','','MOTOROLA G54 5G','354964996481213','OCUPADO',1),</v>
      </c>
    </row>
    <row r="20" spans="1:9" x14ac:dyDescent="0.25">
      <c r="A20">
        <v>19</v>
      </c>
      <c r="B20" t="s">
        <v>6895</v>
      </c>
      <c r="C20" t="s">
        <v>4353</v>
      </c>
      <c r="E20" t="s">
        <v>7227</v>
      </c>
      <c r="F20" s="8" t="s">
        <v>9136</v>
      </c>
      <c r="G20" t="s">
        <v>6877</v>
      </c>
      <c r="H20">
        <v>1</v>
      </c>
      <c r="I20" t="str">
        <f t="shared" si="0"/>
        <v>('CGM-PH-019','celular','','SAMSUNG A10S','357079105920022','OCUPADO',1),</v>
      </c>
    </row>
    <row r="21" spans="1:9" x14ac:dyDescent="0.25">
      <c r="A21">
        <v>20</v>
      </c>
      <c r="B21" t="s">
        <v>6896</v>
      </c>
      <c r="C21" t="s">
        <v>4353</v>
      </c>
      <c r="E21" t="s">
        <v>7227</v>
      </c>
      <c r="F21" s="8" t="s">
        <v>9137</v>
      </c>
      <c r="G21" t="s">
        <v>6877</v>
      </c>
      <c r="H21">
        <v>1</v>
      </c>
      <c r="I21" t="str">
        <f t="shared" si="0"/>
        <v>('CGM-PH-020','celular','','SAMSUNG A10S','354301566406488','OCUPADO',1),</v>
      </c>
    </row>
    <row r="22" spans="1:9" x14ac:dyDescent="0.25">
      <c r="A22">
        <v>21</v>
      </c>
      <c r="B22" t="s">
        <v>6897</v>
      </c>
      <c r="C22" t="s">
        <v>4353</v>
      </c>
      <c r="E22" t="s">
        <v>7210</v>
      </c>
      <c r="F22" s="8" t="s">
        <v>9138</v>
      </c>
      <c r="G22" t="s">
        <v>6877</v>
      </c>
      <c r="H22">
        <v>1</v>
      </c>
      <c r="I22" t="str">
        <f t="shared" si="0"/>
        <v>('CGM-PH-021','celular','','MOTOROLA EDGE 50 FUSION','354612456524119','OCUPADO',1),</v>
      </c>
    </row>
    <row r="23" spans="1:9" x14ac:dyDescent="0.25">
      <c r="A23">
        <v>22</v>
      </c>
      <c r="B23" t="s">
        <v>6898</v>
      </c>
      <c r="C23" t="s">
        <v>4353</v>
      </c>
      <c r="E23" t="s">
        <v>7222</v>
      </c>
      <c r="F23" s="8" t="s">
        <v>9139</v>
      </c>
      <c r="G23" t="s">
        <v>6877</v>
      </c>
      <c r="H23">
        <v>1</v>
      </c>
      <c r="I23" t="str">
        <f t="shared" si="0"/>
        <v>('CGM-PH-022','celular','','REDMI NOTE 11 PRO','864451052445186','OCUPADO',1),</v>
      </c>
    </row>
    <row r="24" spans="1:9" x14ac:dyDescent="0.25">
      <c r="A24">
        <v>23</v>
      </c>
      <c r="B24" t="s">
        <v>6899</v>
      </c>
      <c r="C24" t="s">
        <v>4353</v>
      </c>
      <c r="E24" t="s">
        <v>7223</v>
      </c>
      <c r="F24" s="8" t="s">
        <v>9140</v>
      </c>
      <c r="G24" t="s">
        <v>6877</v>
      </c>
      <c r="H24">
        <v>1</v>
      </c>
      <c r="I24" t="str">
        <f t="shared" si="0"/>
        <v>('CGM-PH-023','celular','','REDMI NOTE 11 PRO 5G','863183062866124','OCUPADO',1),</v>
      </c>
    </row>
    <row r="25" spans="1:9" x14ac:dyDescent="0.25">
      <c r="A25">
        <v>24</v>
      </c>
      <c r="B25" t="s">
        <v>6900</v>
      </c>
      <c r="C25" t="s">
        <v>4353</v>
      </c>
      <c r="E25" t="s">
        <v>7222</v>
      </c>
      <c r="F25" s="8" t="s">
        <v>9141</v>
      </c>
      <c r="G25" t="s">
        <v>6877</v>
      </c>
      <c r="H25">
        <v>1</v>
      </c>
      <c r="I25" t="str">
        <f t="shared" si="0"/>
        <v>('CGM-PH-024','celular','','REDMI NOTE 11 PRO','863183063205900','OCUPADO',1),</v>
      </c>
    </row>
    <row r="26" spans="1:9" x14ac:dyDescent="0.25">
      <c r="A26">
        <v>25</v>
      </c>
      <c r="B26" t="s">
        <v>6901</v>
      </c>
      <c r="C26" t="s">
        <v>4353</v>
      </c>
      <c r="E26" t="s">
        <v>7221</v>
      </c>
      <c r="F26" s="8" t="s">
        <v>9142</v>
      </c>
      <c r="G26" t="s">
        <v>6877</v>
      </c>
      <c r="H26">
        <v>1</v>
      </c>
      <c r="I26" t="str">
        <f t="shared" si="0"/>
        <v>('CGM-PH-025','celular','','REDMI NOTE 11','864469067416729','OCUPADO',1),</v>
      </c>
    </row>
    <row r="27" spans="1:9" x14ac:dyDescent="0.25">
      <c r="A27">
        <v>26</v>
      </c>
      <c r="B27" t="s">
        <v>6902</v>
      </c>
      <c r="C27" t="s">
        <v>4353</v>
      </c>
      <c r="E27" t="s">
        <v>7222</v>
      </c>
      <c r="F27" s="8" t="s">
        <v>9143</v>
      </c>
      <c r="G27" t="s">
        <v>6877</v>
      </c>
      <c r="H27">
        <v>1</v>
      </c>
      <c r="I27" t="str">
        <f t="shared" si="0"/>
        <v>('CGM-PH-026','celular','','REDMI NOTE 11 PRO','863183062856885','OCUPADO',1),</v>
      </c>
    </row>
    <row r="28" spans="1:9" x14ac:dyDescent="0.25">
      <c r="A28">
        <v>27</v>
      </c>
      <c r="B28" t="s">
        <v>6903</v>
      </c>
      <c r="C28" t="s">
        <v>4353</v>
      </c>
      <c r="E28" t="s">
        <v>7222</v>
      </c>
      <c r="F28" s="8" t="s">
        <v>9144</v>
      </c>
      <c r="G28" t="s">
        <v>6877</v>
      </c>
      <c r="H28">
        <v>1</v>
      </c>
      <c r="I28" t="str">
        <f t="shared" si="0"/>
        <v>('CGM-PH-027','celular','','REDMI NOTE 11 PRO','863183061775862','OCUPADO',1),</v>
      </c>
    </row>
    <row r="29" spans="1:9" x14ac:dyDescent="0.25">
      <c r="A29">
        <v>28</v>
      </c>
      <c r="B29" t="s">
        <v>6904</v>
      </c>
      <c r="C29" t="s">
        <v>4353</v>
      </c>
      <c r="E29" t="s">
        <v>7220</v>
      </c>
      <c r="F29" s="8" t="s">
        <v>9145</v>
      </c>
      <c r="G29" t="s">
        <v>6877</v>
      </c>
      <c r="H29">
        <v>1</v>
      </c>
      <c r="I29" t="str">
        <f t="shared" si="0"/>
        <v>('CGM-PH-028','celular','','REDMI NOTE 10S','86139205098141','OCUPADO',1),</v>
      </c>
    </row>
    <row r="30" spans="1:9" x14ac:dyDescent="0.25">
      <c r="A30">
        <v>29</v>
      </c>
      <c r="B30" t="s">
        <v>6905</v>
      </c>
      <c r="C30" t="s">
        <v>4353</v>
      </c>
      <c r="E30" t="s">
        <v>7230</v>
      </c>
      <c r="F30" s="8" t="s">
        <v>9146</v>
      </c>
      <c r="G30" t="s">
        <v>6877</v>
      </c>
      <c r="H30">
        <v>1</v>
      </c>
      <c r="I30" t="str">
        <f t="shared" si="0"/>
        <v>('CGM-PH-029','celular','','SAMSUNG J4','357774167457422','OCUPADO',1),</v>
      </c>
    </row>
    <row r="31" spans="1:9" x14ac:dyDescent="0.25">
      <c r="A31">
        <v>30</v>
      </c>
      <c r="B31" t="s">
        <v>6906</v>
      </c>
      <c r="C31" t="s">
        <v>4353</v>
      </c>
      <c r="E31" t="s">
        <v>7206</v>
      </c>
      <c r="F31" s="8" t="s">
        <v>9147</v>
      </c>
      <c r="G31" t="s">
        <v>6877</v>
      </c>
      <c r="H31">
        <v>1</v>
      </c>
      <c r="I31" t="str">
        <f t="shared" si="0"/>
        <v>('CGM-PH-030','celular','','GALAXY A25 5G','354432552756766','OCUPADO',1),</v>
      </c>
    </row>
    <row r="32" spans="1:9" x14ac:dyDescent="0.25">
      <c r="A32">
        <v>31</v>
      </c>
      <c r="B32" t="s">
        <v>6907</v>
      </c>
      <c r="C32" t="s">
        <v>4353</v>
      </c>
      <c r="E32" t="s">
        <v>7222</v>
      </c>
      <c r="F32" s="8" t="s">
        <v>9148</v>
      </c>
      <c r="G32" t="s">
        <v>6877</v>
      </c>
      <c r="H32">
        <v>1</v>
      </c>
      <c r="I32" t="str">
        <f t="shared" si="0"/>
        <v>('CGM-PH-031','celular','','REDMI NOTE 11 PRO','863183062837182','OCUPADO',1),</v>
      </c>
    </row>
    <row r="33" spans="1:9" x14ac:dyDescent="0.25">
      <c r="A33">
        <v>32</v>
      </c>
      <c r="B33" t="s">
        <v>6908</v>
      </c>
      <c r="C33" t="s">
        <v>4353</v>
      </c>
      <c r="E33" t="s">
        <v>7216</v>
      </c>
      <c r="F33" s="8" t="s">
        <v>9149</v>
      </c>
      <c r="G33" t="s">
        <v>6877</v>
      </c>
      <c r="H33">
        <v>1</v>
      </c>
      <c r="I33" t="str">
        <f t="shared" si="0"/>
        <v>('CGM-PH-032','celular','','MOTOROLA G54 5G','354964997219760','OCUPADO',1),</v>
      </c>
    </row>
    <row r="34" spans="1:9" x14ac:dyDescent="0.25">
      <c r="A34">
        <v>33</v>
      </c>
      <c r="B34" t="s">
        <v>6909</v>
      </c>
      <c r="C34" t="s">
        <v>4353</v>
      </c>
      <c r="E34" t="s">
        <v>7212</v>
      </c>
      <c r="F34" s="8" t="s">
        <v>9150</v>
      </c>
      <c r="G34" t="s">
        <v>6877</v>
      </c>
      <c r="H34">
        <v>1</v>
      </c>
      <c r="I34" t="str">
        <f t="shared" si="0"/>
        <v>('CGM-PH-033','celular','','MOTOROLA G23','353417142347466','OCUPADO',1),</v>
      </c>
    </row>
    <row r="35" spans="1:9" x14ac:dyDescent="0.25">
      <c r="A35">
        <v>34</v>
      </c>
      <c r="B35" t="s">
        <v>6910</v>
      </c>
      <c r="C35" t="s">
        <v>4353</v>
      </c>
      <c r="E35" t="s">
        <v>7210</v>
      </c>
      <c r="F35" s="8" t="s">
        <v>9151</v>
      </c>
      <c r="G35" t="s">
        <v>6877</v>
      </c>
      <c r="H35">
        <v>1</v>
      </c>
      <c r="I35" t="str">
        <f t="shared" si="0"/>
        <v>('CGM-PH-034','celular','','MOTOROLA EDGE 50 FUSION','354612456515257','OCUPADO',1),</v>
      </c>
    </row>
    <row r="36" spans="1:9" x14ac:dyDescent="0.25">
      <c r="A36">
        <v>35</v>
      </c>
      <c r="B36" t="s">
        <v>6911</v>
      </c>
      <c r="C36" t="s">
        <v>4353</v>
      </c>
      <c r="E36" t="s">
        <v>7215</v>
      </c>
      <c r="F36" s="8" t="s">
        <v>9152</v>
      </c>
      <c r="G36" t="s">
        <v>6877</v>
      </c>
      <c r="H36">
        <v>1</v>
      </c>
      <c r="I36" t="str">
        <f t="shared" si="0"/>
        <v>('CGM-PH-035','celular','','MOTOROLA G53 5G','352295692872112','OCUPADO',1),</v>
      </c>
    </row>
    <row r="37" spans="1:9" x14ac:dyDescent="0.25">
      <c r="A37">
        <v>36</v>
      </c>
      <c r="B37" t="s">
        <v>6912</v>
      </c>
      <c r="C37" t="s">
        <v>4353</v>
      </c>
      <c r="E37" t="s">
        <v>7216</v>
      </c>
      <c r="F37" s="8" t="s">
        <v>9153</v>
      </c>
      <c r="G37" t="s">
        <v>6877</v>
      </c>
      <c r="H37">
        <v>1</v>
      </c>
      <c r="I37" t="str">
        <f t="shared" si="0"/>
        <v>('CGM-PH-036','celular','','MOTOROLA G54 5G','354964996483326','OCUPADO',1),</v>
      </c>
    </row>
    <row r="38" spans="1:9" x14ac:dyDescent="0.25">
      <c r="A38">
        <v>37</v>
      </c>
      <c r="B38" t="s">
        <v>6913</v>
      </c>
      <c r="C38" t="s">
        <v>4353</v>
      </c>
      <c r="E38" t="s">
        <v>7223</v>
      </c>
      <c r="F38" s="8" t="s">
        <v>9154</v>
      </c>
      <c r="G38" t="s">
        <v>6877</v>
      </c>
      <c r="H38">
        <v>1</v>
      </c>
      <c r="I38" t="str">
        <f t="shared" si="0"/>
        <v>('CGM-PH-037','celular','','REDMI NOTE 11 PRO 5G','863183063602726','OCUPADO',1),</v>
      </c>
    </row>
    <row r="39" spans="1:9" x14ac:dyDescent="0.25">
      <c r="A39">
        <v>38</v>
      </c>
      <c r="B39" t="s">
        <v>6914</v>
      </c>
      <c r="C39" t="s">
        <v>4353</v>
      </c>
      <c r="E39" t="s">
        <v>7210</v>
      </c>
      <c r="F39" s="8" t="s">
        <v>9155</v>
      </c>
      <c r="G39" t="s">
        <v>6877</v>
      </c>
      <c r="H39">
        <v>1</v>
      </c>
      <c r="I39" t="str">
        <f t="shared" si="0"/>
        <v>('CGM-PH-038','celular','','MOTOROLA EDGE 50 FUSION','354612456525538','OCUPADO',1),</v>
      </c>
    </row>
    <row r="40" spans="1:9" x14ac:dyDescent="0.25">
      <c r="A40">
        <v>39</v>
      </c>
      <c r="B40" t="s">
        <v>6915</v>
      </c>
      <c r="C40" t="s">
        <v>4353</v>
      </c>
      <c r="E40" t="s">
        <v>7222</v>
      </c>
      <c r="F40" s="8" t="s">
        <v>9156</v>
      </c>
      <c r="G40" t="s">
        <v>6877</v>
      </c>
      <c r="H40">
        <v>1</v>
      </c>
      <c r="I40" t="str">
        <f t="shared" si="0"/>
        <v>('CGM-PH-039','celular','','REDMI NOTE 11 PRO','86318306280369','OCUPADO',1),</v>
      </c>
    </row>
    <row r="41" spans="1:9" x14ac:dyDescent="0.25">
      <c r="A41">
        <v>40</v>
      </c>
      <c r="B41" t="s">
        <v>6916</v>
      </c>
      <c r="C41" t="s">
        <v>4353</v>
      </c>
      <c r="E41" t="s">
        <v>7212</v>
      </c>
      <c r="F41" s="8" t="s">
        <v>9157</v>
      </c>
      <c r="G41" t="s">
        <v>6877</v>
      </c>
      <c r="H41">
        <v>1</v>
      </c>
      <c r="I41" t="str">
        <f t="shared" si="0"/>
        <v>('CGM-PH-040','celular','','MOTOROLA G23','353417142327203','OCUPADO',1),</v>
      </c>
    </row>
    <row r="42" spans="1:9" x14ac:dyDescent="0.25">
      <c r="A42">
        <v>41</v>
      </c>
      <c r="B42" t="s">
        <v>6917</v>
      </c>
      <c r="C42" t="s">
        <v>4353</v>
      </c>
      <c r="E42" t="s">
        <v>7222</v>
      </c>
      <c r="F42" s="8" t="s">
        <v>9158</v>
      </c>
      <c r="G42" t="s">
        <v>6877</v>
      </c>
      <c r="H42">
        <v>1</v>
      </c>
      <c r="I42" t="str">
        <f t="shared" si="0"/>
        <v>('CGM-PH-041','celular','','REDMI NOTE 11 PRO','863183062183884','OCUPADO',1),</v>
      </c>
    </row>
    <row r="43" spans="1:9" x14ac:dyDescent="0.25">
      <c r="A43">
        <v>42</v>
      </c>
      <c r="B43" t="s">
        <v>6918</v>
      </c>
      <c r="C43" t="s">
        <v>4353</v>
      </c>
      <c r="E43" t="s">
        <v>7210</v>
      </c>
      <c r="F43" s="8" t="s">
        <v>9159</v>
      </c>
      <c r="G43" t="s">
        <v>6877</v>
      </c>
      <c r="H43">
        <v>1</v>
      </c>
      <c r="I43" t="str">
        <f t="shared" si="0"/>
        <v>('CGM-PH-042','celular','','MOTOROLA EDGE 50 FUSION','354612456519754','OCUPADO',1),</v>
      </c>
    </row>
    <row r="44" spans="1:9" x14ac:dyDescent="0.25">
      <c r="A44">
        <v>43</v>
      </c>
      <c r="B44" t="s">
        <v>6919</v>
      </c>
      <c r="C44" t="s">
        <v>4353</v>
      </c>
      <c r="E44" t="s">
        <v>7222</v>
      </c>
      <c r="F44" s="8" t="s">
        <v>9160</v>
      </c>
      <c r="G44" t="s">
        <v>6877</v>
      </c>
      <c r="H44">
        <v>1</v>
      </c>
      <c r="I44" t="str">
        <f t="shared" si="0"/>
        <v>('CGM-PH-043','celular','','REDMI NOTE 11 PRO','863183061626123','OCUPADO',1),</v>
      </c>
    </row>
    <row r="45" spans="1:9" x14ac:dyDescent="0.25">
      <c r="A45">
        <v>44</v>
      </c>
      <c r="B45" t="s">
        <v>6920</v>
      </c>
      <c r="C45" t="s">
        <v>4353</v>
      </c>
      <c r="E45" t="s">
        <v>7221</v>
      </c>
      <c r="F45" s="8" t="s">
        <v>9161</v>
      </c>
      <c r="G45" t="s">
        <v>6877</v>
      </c>
      <c r="H45">
        <v>1</v>
      </c>
      <c r="I45" t="str">
        <f t="shared" si="0"/>
        <v>('CGM-PH-044','celular','','REDMI NOTE 11','864469066729221','OCUPADO',1),</v>
      </c>
    </row>
    <row r="46" spans="1:9" x14ac:dyDescent="0.25">
      <c r="A46">
        <v>45</v>
      </c>
      <c r="B46" t="s">
        <v>6921</v>
      </c>
      <c r="C46" t="s">
        <v>4353</v>
      </c>
      <c r="E46" t="s">
        <v>7222</v>
      </c>
      <c r="F46" s="8" t="s">
        <v>9162</v>
      </c>
      <c r="G46" t="s">
        <v>6877</v>
      </c>
      <c r="H46">
        <v>1</v>
      </c>
      <c r="I46" t="str">
        <f t="shared" si="0"/>
        <v>('CGM-PH-045','celular','','REDMI NOTE 11 PRO','863183062858428','OCUPADO',1),</v>
      </c>
    </row>
    <row r="47" spans="1:9" x14ac:dyDescent="0.25">
      <c r="A47">
        <v>46</v>
      </c>
      <c r="B47" t="s">
        <v>6922</v>
      </c>
      <c r="C47" t="s">
        <v>4353</v>
      </c>
      <c r="E47" t="s">
        <v>7222</v>
      </c>
      <c r="F47" s="8" t="s">
        <v>9163</v>
      </c>
      <c r="G47" t="s">
        <v>6877</v>
      </c>
      <c r="H47">
        <v>1</v>
      </c>
      <c r="I47" t="str">
        <f t="shared" si="0"/>
        <v>('CGM-PH-046','celular','','REDMI NOTE 11 PRO','861929068747524','OCUPADO',1),</v>
      </c>
    </row>
    <row r="48" spans="1:9" x14ac:dyDescent="0.25">
      <c r="A48">
        <v>47</v>
      </c>
      <c r="B48" t="s">
        <v>6923</v>
      </c>
      <c r="C48" t="s">
        <v>4353</v>
      </c>
      <c r="E48" t="s">
        <v>7212</v>
      </c>
      <c r="F48" s="8" t="s">
        <v>9164</v>
      </c>
      <c r="G48" t="s">
        <v>6877</v>
      </c>
      <c r="H48">
        <v>1</v>
      </c>
      <c r="I48" t="str">
        <f t="shared" si="0"/>
        <v>('CGM-PH-047','celular','','MOTOROLA G23','353417142345593','OCUPADO',1),</v>
      </c>
    </row>
    <row r="49" spans="1:9" x14ac:dyDescent="0.25">
      <c r="A49">
        <v>48</v>
      </c>
      <c r="B49" t="s">
        <v>6924</v>
      </c>
      <c r="C49" t="s">
        <v>4353</v>
      </c>
      <c r="E49" t="s">
        <v>7222</v>
      </c>
      <c r="F49" s="8" t="s">
        <v>9165</v>
      </c>
      <c r="G49" t="s">
        <v>6877</v>
      </c>
      <c r="H49">
        <v>1</v>
      </c>
      <c r="I49" t="str">
        <f t="shared" si="0"/>
        <v>('CGM-PH-048','celular','','REDMI NOTE 11 PRO','863183061716940','OCUPADO',1),</v>
      </c>
    </row>
    <row r="50" spans="1:9" x14ac:dyDescent="0.25">
      <c r="A50">
        <v>49</v>
      </c>
      <c r="B50" t="s">
        <v>6925</v>
      </c>
      <c r="C50" t="s">
        <v>4353</v>
      </c>
      <c r="E50" t="s">
        <v>7210</v>
      </c>
      <c r="F50" s="8" t="s">
        <v>9166</v>
      </c>
      <c r="G50" t="s">
        <v>6877</v>
      </c>
      <c r="H50">
        <v>1</v>
      </c>
      <c r="I50" t="str">
        <f t="shared" si="0"/>
        <v>('CGM-PH-049','celular','','MOTOROLA EDGE 50 FUSION','354612456517717','OCUPADO',1),</v>
      </c>
    </row>
    <row r="51" spans="1:9" x14ac:dyDescent="0.25">
      <c r="A51">
        <v>50</v>
      </c>
      <c r="B51" t="s">
        <v>6926</v>
      </c>
      <c r="C51" t="s">
        <v>4353</v>
      </c>
      <c r="E51" t="s">
        <v>7222</v>
      </c>
      <c r="F51" s="8" t="s">
        <v>9167</v>
      </c>
      <c r="G51" t="s">
        <v>6877</v>
      </c>
      <c r="H51">
        <v>1</v>
      </c>
      <c r="I51" t="str">
        <f t="shared" si="0"/>
        <v>('CGM-PH-050','celular','','REDMI NOTE 11 PRO','863183063134902','OCUPADO',1),</v>
      </c>
    </row>
    <row r="52" spans="1:9" x14ac:dyDescent="0.25">
      <c r="A52">
        <v>51</v>
      </c>
      <c r="B52" t="s">
        <v>6927</v>
      </c>
      <c r="C52" t="s">
        <v>4353</v>
      </c>
      <c r="E52" t="s">
        <v>7215</v>
      </c>
      <c r="F52" s="8" t="s">
        <v>9168</v>
      </c>
      <c r="G52" t="s">
        <v>6877</v>
      </c>
      <c r="H52">
        <v>1</v>
      </c>
      <c r="I52" t="str">
        <f t="shared" si="0"/>
        <v>('CGM-PH-051','celular','','MOTOROLA G53 5G','352295692343940','OCUPADO',1),</v>
      </c>
    </row>
    <row r="53" spans="1:9" x14ac:dyDescent="0.25">
      <c r="A53">
        <v>52</v>
      </c>
      <c r="B53" t="s">
        <v>6928</v>
      </c>
      <c r="C53" t="s">
        <v>4353</v>
      </c>
      <c r="E53" t="s">
        <v>7208</v>
      </c>
      <c r="F53" s="8" t="s">
        <v>9169</v>
      </c>
      <c r="G53" t="s">
        <v>6877</v>
      </c>
      <c r="H53">
        <v>1</v>
      </c>
      <c r="I53" t="str">
        <f t="shared" si="0"/>
        <v>('CGM-PH-052','celular','','IPHONE X','353043099767124','OCUPADO',1),</v>
      </c>
    </row>
    <row r="54" spans="1:9" x14ac:dyDescent="0.25">
      <c r="A54">
        <v>53</v>
      </c>
      <c r="B54" t="s">
        <v>6929</v>
      </c>
      <c r="C54" t="s">
        <v>4353</v>
      </c>
      <c r="E54" t="s">
        <v>7222</v>
      </c>
      <c r="F54" s="8" t="s">
        <v>9170</v>
      </c>
      <c r="G54" t="s">
        <v>6877</v>
      </c>
      <c r="H54">
        <v>1</v>
      </c>
      <c r="I54" t="str">
        <f t="shared" si="0"/>
        <v>('CGM-PH-053','celular','','REDMI NOTE 11 PRO','863183063501704','OCUPADO',1),</v>
      </c>
    </row>
    <row r="55" spans="1:9" x14ac:dyDescent="0.25">
      <c r="A55">
        <v>54</v>
      </c>
      <c r="B55" t="s">
        <v>6930</v>
      </c>
      <c r="C55" t="s">
        <v>4353</v>
      </c>
      <c r="E55" t="s">
        <v>7222</v>
      </c>
      <c r="F55" s="8" t="s">
        <v>9171</v>
      </c>
      <c r="G55" t="s">
        <v>6877</v>
      </c>
      <c r="H55">
        <v>1</v>
      </c>
      <c r="I55" t="str">
        <f t="shared" si="0"/>
        <v>('CGM-PH-054','celular','','REDMI NOTE 11 PRO','863183062938121','OCUPADO',1),</v>
      </c>
    </row>
    <row r="56" spans="1:9" x14ac:dyDescent="0.25">
      <c r="A56">
        <v>55</v>
      </c>
      <c r="B56" t="s">
        <v>6931</v>
      </c>
      <c r="C56" t="s">
        <v>4353</v>
      </c>
      <c r="E56" t="s">
        <v>7210</v>
      </c>
      <c r="F56" s="8" t="s">
        <v>9172</v>
      </c>
      <c r="G56" t="s">
        <v>6877</v>
      </c>
      <c r="H56">
        <v>1</v>
      </c>
      <c r="I56" t="str">
        <f t="shared" si="0"/>
        <v>('CGM-PH-055','celular','','MOTOROLA EDGE 50 FUSION','354612456524135','OCUPADO',1),</v>
      </c>
    </row>
    <row r="57" spans="1:9" x14ac:dyDescent="0.25">
      <c r="A57">
        <v>56</v>
      </c>
      <c r="B57" t="s">
        <v>6932</v>
      </c>
      <c r="C57" t="s">
        <v>4353</v>
      </c>
      <c r="E57" t="s">
        <v>7223</v>
      </c>
      <c r="F57" s="8" t="s">
        <v>9173</v>
      </c>
      <c r="G57" t="s">
        <v>6877</v>
      </c>
      <c r="H57">
        <v>1</v>
      </c>
      <c r="I57" t="str">
        <f t="shared" si="0"/>
        <v>('CGM-PH-056','celular','','REDMI NOTE 11 PRO 5G','863183062844220','OCUPADO',1),</v>
      </c>
    </row>
    <row r="58" spans="1:9" x14ac:dyDescent="0.25">
      <c r="A58">
        <v>57</v>
      </c>
      <c r="B58" t="s">
        <v>6933</v>
      </c>
      <c r="C58" t="s">
        <v>4353</v>
      </c>
      <c r="E58" t="s">
        <v>7222</v>
      </c>
      <c r="F58" s="8" t="s">
        <v>9174</v>
      </c>
      <c r="G58" t="s">
        <v>6877</v>
      </c>
      <c r="H58">
        <v>1</v>
      </c>
      <c r="I58" t="str">
        <f t="shared" si="0"/>
        <v>('CGM-PH-057','celular','','REDMI NOTE 11 PRO','863183063215388','OCUPADO',1),</v>
      </c>
    </row>
    <row r="59" spans="1:9" x14ac:dyDescent="0.25">
      <c r="A59">
        <v>58</v>
      </c>
      <c r="B59" t="s">
        <v>6934</v>
      </c>
      <c r="C59" t="s">
        <v>4353</v>
      </c>
      <c r="E59" t="s">
        <v>7210</v>
      </c>
      <c r="F59" s="8" t="s">
        <v>9175</v>
      </c>
      <c r="G59" t="s">
        <v>6877</v>
      </c>
      <c r="H59">
        <v>1</v>
      </c>
      <c r="I59" t="str">
        <f t="shared" si="0"/>
        <v>('CGM-PH-058','celular','','MOTOROLA EDGE 50 FUSION','354612456524234','OCUPADO',1),</v>
      </c>
    </row>
    <row r="60" spans="1:9" x14ac:dyDescent="0.25">
      <c r="A60">
        <v>59</v>
      </c>
      <c r="B60" t="s">
        <v>6935</v>
      </c>
      <c r="C60" t="s">
        <v>4353</v>
      </c>
      <c r="E60" t="s">
        <v>7213</v>
      </c>
      <c r="F60" s="8" t="s">
        <v>9176</v>
      </c>
      <c r="G60" t="s">
        <v>6877</v>
      </c>
      <c r="H60">
        <v>1</v>
      </c>
      <c r="I60" t="str">
        <f t="shared" si="0"/>
        <v>('CGM-PH-059','celular','','MOTOROLA G24 POWER','353270601065347','OCUPADO',1),</v>
      </c>
    </row>
    <row r="61" spans="1:9" x14ac:dyDescent="0.25">
      <c r="A61">
        <v>60</v>
      </c>
      <c r="B61" t="s">
        <v>6936</v>
      </c>
      <c r="C61" t="s">
        <v>4353</v>
      </c>
      <c r="E61" t="s">
        <v>7209</v>
      </c>
      <c r="F61" s="8" t="s">
        <v>9177</v>
      </c>
      <c r="G61" t="s">
        <v>6877</v>
      </c>
      <c r="H61">
        <v>1</v>
      </c>
      <c r="I61" t="str">
        <f t="shared" si="0"/>
        <v>('CGM-PH-060','celular','','MOTOROLA 54G 5G','354964996498431','OCUPADO',1),</v>
      </c>
    </row>
    <row r="62" spans="1:9" x14ac:dyDescent="0.25">
      <c r="A62">
        <v>61</v>
      </c>
      <c r="B62" t="s">
        <v>6937</v>
      </c>
      <c r="C62" t="s">
        <v>4353</v>
      </c>
      <c r="E62" t="s">
        <v>7233</v>
      </c>
      <c r="F62" s="8" t="s">
        <v>9178</v>
      </c>
      <c r="G62" t="s">
        <v>6877</v>
      </c>
      <c r="H62">
        <v>1</v>
      </c>
      <c r="I62" t="str">
        <f t="shared" si="0"/>
        <v>('CGM-PH-061','celular','','XIAOMI REDMI NOTE 11','864469066732662','OCUPADO',1),</v>
      </c>
    </row>
    <row r="63" spans="1:9" x14ac:dyDescent="0.25">
      <c r="A63">
        <v>62</v>
      </c>
      <c r="B63" t="s">
        <v>6938</v>
      </c>
      <c r="C63" t="s">
        <v>4353</v>
      </c>
      <c r="E63" t="s">
        <v>7210</v>
      </c>
      <c r="F63" s="8" t="s">
        <v>9179</v>
      </c>
      <c r="G63" t="s">
        <v>6877</v>
      </c>
      <c r="H63">
        <v>1</v>
      </c>
      <c r="I63" t="str">
        <f t="shared" si="0"/>
        <v>('CGM-PH-062','celular','','MOTOROLA EDGE 50 FUSION','354612456516370','OCUPADO',1),</v>
      </c>
    </row>
    <row r="64" spans="1:9" x14ac:dyDescent="0.25">
      <c r="A64">
        <v>63</v>
      </c>
      <c r="B64" t="s">
        <v>6939</v>
      </c>
      <c r="C64" t="s">
        <v>4353</v>
      </c>
      <c r="E64" t="s">
        <v>7223</v>
      </c>
      <c r="F64" s="8" t="s">
        <v>9180</v>
      </c>
      <c r="G64" t="s">
        <v>6877</v>
      </c>
      <c r="H64">
        <v>1</v>
      </c>
      <c r="I64" t="str">
        <f t="shared" si="0"/>
        <v>('CGM-PH-063','celular','','REDMI NOTE 11 PRO 5G','863183063097380','OCUPADO',1),</v>
      </c>
    </row>
    <row r="65" spans="1:9" x14ac:dyDescent="0.25">
      <c r="A65">
        <v>64</v>
      </c>
      <c r="B65" t="s">
        <v>6940</v>
      </c>
      <c r="C65" t="s">
        <v>4353</v>
      </c>
      <c r="E65" t="s">
        <v>7221</v>
      </c>
      <c r="F65" s="8" t="s">
        <v>9181</v>
      </c>
      <c r="G65" t="s">
        <v>6877</v>
      </c>
      <c r="H65">
        <v>1</v>
      </c>
      <c r="I65" t="str">
        <f t="shared" si="0"/>
        <v>('CGM-PH-064','celular','','REDMI NOTE 11','864469067346413','OCUPADO',1),</v>
      </c>
    </row>
    <row r="66" spans="1:9" x14ac:dyDescent="0.25">
      <c r="A66">
        <v>65</v>
      </c>
      <c r="B66" t="s">
        <v>6941</v>
      </c>
      <c r="C66" t="s">
        <v>4353</v>
      </c>
      <c r="E66" t="s">
        <v>7222</v>
      </c>
      <c r="F66" s="8" t="s">
        <v>9182</v>
      </c>
      <c r="G66" t="s">
        <v>6877</v>
      </c>
      <c r="H66">
        <v>1</v>
      </c>
      <c r="I66" t="str">
        <f t="shared" si="0"/>
        <v>('CGM-PH-065','celular','','REDMI NOTE 11 PRO','863183062377049','OCUPADO',1),</v>
      </c>
    </row>
    <row r="67" spans="1:9" x14ac:dyDescent="0.25">
      <c r="A67">
        <v>66</v>
      </c>
      <c r="B67" t="s">
        <v>6942</v>
      </c>
      <c r="C67" t="s">
        <v>4353</v>
      </c>
      <c r="E67" t="s">
        <v>7216</v>
      </c>
      <c r="F67" s="8" t="s">
        <v>9183</v>
      </c>
      <c r="G67" t="s">
        <v>6877</v>
      </c>
      <c r="H67">
        <v>1</v>
      </c>
      <c r="I67" t="str">
        <f t="shared" ref="I67:I130" si="1">_xlfn.CONCAT("('",B67,"','",C67,"','",D67,"','",E67,"','",F67,"','",G67,"',",H67,"),")</f>
        <v>('CGM-PH-066','celular','','MOTOROLA G54 5G','354964996481296','OCUPADO',1),</v>
      </c>
    </row>
    <row r="68" spans="1:9" x14ac:dyDescent="0.25">
      <c r="A68">
        <v>67</v>
      </c>
      <c r="B68" t="s">
        <v>6943</v>
      </c>
      <c r="C68" t="s">
        <v>4353</v>
      </c>
      <c r="E68" t="s">
        <v>7222</v>
      </c>
      <c r="F68" s="8" t="s">
        <v>9184</v>
      </c>
      <c r="G68" t="s">
        <v>6877</v>
      </c>
      <c r="H68">
        <v>1</v>
      </c>
      <c r="I68" t="str">
        <f t="shared" si="1"/>
        <v>('CGM-PH-067','celular','','REDMI NOTE 11 PRO','861929069552741','OCUPADO',1),</v>
      </c>
    </row>
    <row r="69" spans="1:9" x14ac:dyDescent="0.25">
      <c r="A69">
        <v>68</v>
      </c>
      <c r="B69" t="s">
        <v>6944</v>
      </c>
      <c r="C69" t="s">
        <v>4353</v>
      </c>
      <c r="E69" t="s">
        <v>7210</v>
      </c>
      <c r="F69" s="8" t="s">
        <v>9185</v>
      </c>
      <c r="G69" t="s">
        <v>6877</v>
      </c>
      <c r="H69">
        <v>1</v>
      </c>
      <c r="I69" t="str">
        <f t="shared" si="1"/>
        <v>('CGM-PH-068','celular','','MOTOROLA EDGE 50 FUSION','354612456522592','OCUPADO',1),</v>
      </c>
    </row>
    <row r="70" spans="1:9" x14ac:dyDescent="0.25">
      <c r="A70">
        <v>69</v>
      </c>
      <c r="B70" t="s">
        <v>6945</v>
      </c>
      <c r="C70" t="s">
        <v>4353</v>
      </c>
      <c r="E70" t="s">
        <v>7214</v>
      </c>
      <c r="F70" s="8" t="s">
        <v>9186</v>
      </c>
      <c r="G70" t="s">
        <v>6877</v>
      </c>
      <c r="H70">
        <v>1</v>
      </c>
      <c r="I70" t="str">
        <f t="shared" si="1"/>
        <v>('CGM-PH-069','celular','','MOTOROLA G51 5G','35561431045769','OCUPADO',1),</v>
      </c>
    </row>
    <row r="71" spans="1:9" x14ac:dyDescent="0.25">
      <c r="A71">
        <v>70</v>
      </c>
      <c r="B71" t="s">
        <v>6946</v>
      </c>
      <c r="C71" t="s">
        <v>4353</v>
      </c>
      <c r="E71" t="s">
        <v>7222</v>
      </c>
      <c r="F71" s="8" t="s">
        <v>9187</v>
      </c>
      <c r="G71" t="s">
        <v>6877</v>
      </c>
      <c r="H71">
        <v>1</v>
      </c>
      <c r="I71" t="str">
        <f t="shared" si="1"/>
        <v>('CGM-PH-070','celular','','REDMI NOTE 11 PRO','863183062956768','OCUPADO',1),</v>
      </c>
    </row>
    <row r="72" spans="1:9" x14ac:dyDescent="0.25">
      <c r="A72">
        <v>71</v>
      </c>
      <c r="B72" t="s">
        <v>6947</v>
      </c>
      <c r="C72" t="s">
        <v>4353</v>
      </c>
      <c r="E72" t="s">
        <v>7216</v>
      </c>
      <c r="F72" s="8" t="s">
        <v>9188</v>
      </c>
      <c r="G72" t="s">
        <v>6877</v>
      </c>
      <c r="H72">
        <v>1</v>
      </c>
      <c r="I72" t="str">
        <f t="shared" si="1"/>
        <v>('CGM-PH-071','celular','','MOTOROLA G54 5G','354964996498415','OCUPADO',1),</v>
      </c>
    </row>
    <row r="73" spans="1:9" x14ac:dyDescent="0.25">
      <c r="A73">
        <v>72</v>
      </c>
      <c r="B73" t="s">
        <v>6948</v>
      </c>
      <c r="C73" t="s">
        <v>4353</v>
      </c>
      <c r="E73" t="s">
        <v>7224</v>
      </c>
      <c r="F73" s="8" t="s">
        <v>9189</v>
      </c>
      <c r="G73" t="s">
        <v>6877</v>
      </c>
      <c r="H73">
        <v>1</v>
      </c>
      <c r="I73" t="str">
        <f t="shared" si="1"/>
        <v>('CGM-PH-072','celular','','REDMI NOTE 11S','863837054043642','OCUPADO',1),</v>
      </c>
    </row>
    <row r="74" spans="1:9" x14ac:dyDescent="0.25">
      <c r="A74">
        <v>73</v>
      </c>
      <c r="B74" t="s">
        <v>6949</v>
      </c>
      <c r="C74" t="s">
        <v>4353</v>
      </c>
      <c r="E74" t="s">
        <v>7212</v>
      </c>
      <c r="F74" s="8" t="s">
        <v>9190</v>
      </c>
      <c r="G74" t="s">
        <v>6877</v>
      </c>
      <c r="H74">
        <v>1</v>
      </c>
      <c r="I74" t="str">
        <f t="shared" si="1"/>
        <v>('CGM-PH-073','celular','','MOTOROLA G23','353417140413757','OCUPADO',1),</v>
      </c>
    </row>
    <row r="75" spans="1:9" x14ac:dyDescent="0.25">
      <c r="A75">
        <v>74</v>
      </c>
      <c r="B75" t="s">
        <v>6950</v>
      </c>
      <c r="C75" t="s">
        <v>4353</v>
      </c>
      <c r="E75" t="s">
        <v>7210</v>
      </c>
      <c r="F75" s="8" t="s">
        <v>9191</v>
      </c>
      <c r="G75" t="s">
        <v>6877</v>
      </c>
      <c r="H75">
        <v>1</v>
      </c>
      <c r="I75" t="str">
        <f t="shared" si="1"/>
        <v>('CGM-PH-074','celular','','MOTOROLA EDGE 50 FUSION','864469066732969','OCUPADO',1),</v>
      </c>
    </row>
    <row r="76" spans="1:9" x14ac:dyDescent="0.25">
      <c r="A76">
        <v>75</v>
      </c>
      <c r="B76" t="s">
        <v>6951</v>
      </c>
      <c r="C76" t="s">
        <v>4353</v>
      </c>
      <c r="E76" t="s">
        <v>7215</v>
      </c>
      <c r="F76" s="8" t="s">
        <v>9192</v>
      </c>
      <c r="G76" t="s">
        <v>6877</v>
      </c>
      <c r="H76">
        <v>1</v>
      </c>
      <c r="I76" t="str">
        <f t="shared" si="1"/>
        <v>('CGM-PH-075','celular','','MOTOROLA G53 5G','352295695460691','OCUPADO',1),</v>
      </c>
    </row>
    <row r="77" spans="1:9" x14ac:dyDescent="0.25">
      <c r="A77">
        <v>76</v>
      </c>
      <c r="B77" t="s">
        <v>6952</v>
      </c>
      <c r="C77" t="s">
        <v>4353</v>
      </c>
      <c r="E77" t="s">
        <v>7216</v>
      </c>
      <c r="F77" s="8" t="s">
        <v>9193</v>
      </c>
      <c r="G77" t="s">
        <v>6877</v>
      </c>
      <c r="H77">
        <v>1</v>
      </c>
      <c r="I77" t="str">
        <f t="shared" si="1"/>
        <v>('CGM-PH-076','celular','','MOTOROLA G54 5G','354964996480223','OCUPADO',1),</v>
      </c>
    </row>
    <row r="78" spans="1:9" x14ac:dyDescent="0.25">
      <c r="A78">
        <v>77</v>
      </c>
      <c r="B78" t="s">
        <v>6953</v>
      </c>
      <c r="C78" t="s">
        <v>4353</v>
      </c>
      <c r="E78" t="s">
        <v>7222</v>
      </c>
      <c r="F78" s="8" t="s">
        <v>9194</v>
      </c>
      <c r="G78" t="s">
        <v>6877</v>
      </c>
      <c r="H78">
        <v>1</v>
      </c>
      <c r="I78" t="str">
        <f t="shared" si="1"/>
        <v>('CGM-PH-077','celular','','REDMI NOTE 11 PRO','863183061912127','OCUPADO',1),</v>
      </c>
    </row>
    <row r="79" spans="1:9" x14ac:dyDescent="0.25">
      <c r="A79">
        <v>78</v>
      </c>
      <c r="B79" t="s">
        <v>6954</v>
      </c>
      <c r="C79" t="s">
        <v>4353</v>
      </c>
      <c r="E79" t="s">
        <v>7212</v>
      </c>
      <c r="F79" s="8" t="s">
        <v>9195</v>
      </c>
      <c r="G79" t="s">
        <v>6877</v>
      </c>
      <c r="H79">
        <v>1</v>
      </c>
      <c r="I79" t="str">
        <f t="shared" si="1"/>
        <v>('CGM-PH-078','celular','','MOTOROLA G23','353417141786532','OCUPADO',1),</v>
      </c>
    </row>
    <row r="80" spans="1:9" x14ac:dyDescent="0.25">
      <c r="A80">
        <v>79</v>
      </c>
      <c r="B80" t="s">
        <v>6955</v>
      </c>
      <c r="C80" t="s">
        <v>4353</v>
      </c>
      <c r="E80" t="s">
        <v>7222</v>
      </c>
      <c r="F80" s="8" t="s">
        <v>9196</v>
      </c>
      <c r="G80" t="s">
        <v>6877</v>
      </c>
      <c r="H80">
        <v>1</v>
      </c>
      <c r="I80" t="str">
        <f t="shared" si="1"/>
        <v>('CGM-PH-079','celular','','REDMI NOTE 11 PRO','863183061893541','OCUPADO',1),</v>
      </c>
    </row>
    <row r="81" spans="1:9" x14ac:dyDescent="0.25">
      <c r="A81">
        <v>80</v>
      </c>
      <c r="B81" t="s">
        <v>6956</v>
      </c>
      <c r="C81" t="s">
        <v>4353</v>
      </c>
      <c r="E81" t="s">
        <v>7213</v>
      </c>
      <c r="F81" s="8" t="s">
        <v>9197</v>
      </c>
      <c r="G81" t="s">
        <v>6877</v>
      </c>
      <c r="H81">
        <v>1</v>
      </c>
      <c r="I81" t="str">
        <f t="shared" si="1"/>
        <v>('CGM-PH-080','celular','','MOTOROLA G24 POWER','353270601065669','OCUPADO',1),</v>
      </c>
    </row>
    <row r="82" spans="1:9" x14ac:dyDescent="0.25">
      <c r="A82">
        <v>81</v>
      </c>
      <c r="B82" t="s">
        <v>6957</v>
      </c>
      <c r="C82" t="s">
        <v>4353</v>
      </c>
      <c r="E82" t="s">
        <v>7213</v>
      </c>
      <c r="F82" s="8" t="s">
        <v>9198</v>
      </c>
      <c r="G82" t="s">
        <v>6877</v>
      </c>
      <c r="H82">
        <v>1</v>
      </c>
      <c r="I82" t="str">
        <f t="shared" si="1"/>
        <v>('CGM-PH-081','celular','','MOTOROLA G24 POWER','353270601090014','OCUPADO',1),</v>
      </c>
    </row>
    <row r="83" spans="1:9" x14ac:dyDescent="0.25">
      <c r="A83">
        <v>82</v>
      </c>
      <c r="B83" t="s">
        <v>6958</v>
      </c>
      <c r="C83" t="s">
        <v>4353</v>
      </c>
      <c r="E83" t="s">
        <v>7203</v>
      </c>
      <c r="F83" s="8" t="s">
        <v>9199</v>
      </c>
      <c r="G83" t="s">
        <v>6877</v>
      </c>
      <c r="H83">
        <v>1</v>
      </c>
      <c r="I83" t="str">
        <f t="shared" si="1"/>
        <v>('CGM-PH-082','celular','','GALAXY A10','357859103315600','OCUPADO',1),</v>
      </c>
    </row>
    <row r="84" spans="1:9" x14ac:dyDescent="0.25">
      <c r="A84">
        <v>83</v>
      </c>
      <c r="B84" t="s">
        <v>6959</v>
      </c>
      <c r="C84" t="s">
        <v>4353</v>
      </c>
      <c r="E84" t="s">
        <v>7233</v>
      </c>
      <c r="F84" s="8" t="s">
        <v>9200</v>
      </c>
      <c r="G84" t="s">
        <v>6877</v>
      </c>
      <c r="H84">
        <v>1</v>
      </c>
      <c r="I84" t="str">
        <f t="shared" si="1"/>
        <v>('CGM-PH-083','celular','','XIAOMI REDMI NOTE 11','864469067369100','OCUPADO',1),</v>
      </c>
    </row>
    <row r="85" spans="1:9" x14ac:dyDescent="0.25">
      <c r="A85">
        <v>84</v>
      </c>
      <c r="B85" t="s">
        <v>6960</v>
      </c>
      <c r="C85" t="s">
        <v>4353</v>
      </c>
      <c r="E85" t="s">
        <v>7216</v>
      </c>
      <c r="F85" s="8" t="s">
        <v>9201</v>
      </c>
      <c r="G85" t="s">
        <v>6877</v>
      </c>
      <c r="H85">
        <v>1</v>
      </c>
      <c r="I85" t="str">
        <f t="shared" si="1"/>
        <v>('CGM-PH-084','celular','','MOTOROLA G54 5G','354964996498332','OCUPADO',1),</v>
      </c>
    </row>
    <row r="86" spans="1:9" x14ac:dyDescent="0.25">
      <c r="A86">
        <v>85</v>
      </c>
      <c r="B86" t="s">
        <v>6961</v>
      </c>
      <c r="C86" t="s">
        <v>4353</v>
      </c>
      <c r="E86" t="s">
        <v>7215</v>
      </c>
      <c r="F86" s="8" t="s">
        <v>9202</v>
      </c>
      <c r="G86" t="s">
        <v>6877</v>
      </c>
      <c r="H86">
        <v>1</v>
      </c>
      <c r="I86" t="str">
        <f t="shared" si="1"/>
        <v>('CGM-PH-085','celular','','MOTOROLA G53 5G','352295695461921','OCUPADO',1),</v>
      </c>
    </row>
    <row r="87" spans="1:9" x14ac:dyDescent="0.25">
      <c r="A87">
        <v>86</v>
      </c>
      <c r="B87" t="s">
        <v>6962</v>
      </c>
      <c r="C87" t="s">
        <v>4353</v>
      </c>
      <c r="E87" t="s">
        <v>7202</v>
      </c>
      <c r="F87" s="8" t="s">
        <v>9203</v>
      </c>
      <c r="G87" t="s">
        <v>6877</v>
      </c>
      <c r="H87">
        <v>1</v>
      </c>
      <c r="I87" t="str">
        <f t="shared" si="1"/>
        <v>('CGM-PH-086','celular','','GALAXY A 10S','354301566826297','OCUPADO',1),</v>
      </c>
    </row>
    <row r="88" spans="1:9" x14ac:dyDescent="0.25">
      <c r="A88">
        <v>87</v>
      </c>
      <c r="B88" t="s">
        <v>6963</v>
      </c>
      <c r="C88" t="s">
        <v>4353</v>
      </c>
      <c r="E88" t="s">
        <v>7206</v>
      </c>
      <c r="F88" s="8" t="s">
        <v>9204</v>
      </c>
      <c r="G88" t="s">
        <v>6877</v>
      </c>
      <c r="H88">
        <v>1</v>
      </c>
      <c r="I88" t="str">
        <f t="shared" si="1"/>
        <v>('CGM-PH-087','celular','','GALAXY A25 5G','354432553000727','OCUPADO',1),</v>
      </c>
    </row>
    <row r="89" spans="1:9" x14ac:dyDescent="0.25">
      <c r="A89">
        <v>88</v>
      </c>
      <c r="B89" t="s">
        <v>6964</v>
      </c>
      <c r="C89" t="s">
        <v>4353</v>
      </c>
      <c r="E89" t="s">
        <v>7213</v>
      </c>
      <c r="F89" s="8" t="s">
        <v>9205</v>
      </c>
      <c r="G89" t="s">
        <v>6877</v>
      </c>
      <c r="H89">
        <v>1</v>
      </c>
      <c r="I89" t="str">
        <f t="shared" si="1"/>
        <v>('CGM-PH-088','celular','','MOTOROLA G24 POWER','353270601057617','OCUPADO',1),</v>
      </c>
    </row>
    <row r="90" spans="1:9" x14ac:dyDescent="0.25">
      <c r="A90">
        <v>89</v>
      </c>
      <c r="B90" t="s">
        <v>6965</v>
      </c>
      <c r="C90" t="s">
        <v>4353</v>
      </c>
      <c r="E90" t="s">
        <v>7216</v>
      </c>
      <c r="F90" s="8" t="s">
        <v>9206</v>
      </c>
      <c r="G90" t="s">
        <v>6877</v>
      </c>
      <c r="H90">
        <v>1</v>
      </c>
      <c r="I90" t="str">
        <f t="shared" si="1"/>
        <v>('CGM-PH-089','celular','','MOTOROLA G54 5G','354964997111942','OCUPADO',1),</v>
      </c>
    </row>
    <row r="91" spans="1:9" x14ac:dyDescent="0.25">
      <c r="A91">
        <v>90</v>
      </c>
      <c r="B91" t="s">
        <v>6966</v>
      </c>
      <c r="C91" t="s">
        <v>4353</v>
      </c>
      <c r="E91" t="s">
        <v>7216</v>
      </c>
      <c r="F91" s="8" t="s">
        <v>9207</v>
      </c>
      <c r="G91" t="s">
        <v>6877</v>
      </c>
      <c r="H91">
        <v>1</v>
      </c>
      <c r="I91" t="str">
        <f t="shared" si="1"/>
        <v>('CGM-PH-090','celular','','MOTOROLA G54 5G','354964993724854','OCUPADO',1),</v>
      </c>
    </row>
    <row r="92" spans="1:9" x14ac:dyDescent="0.25">
      <c r="A92">
        <v>91</v>
      </c>
      <c r="B92" t="s">
        <v>6967</v>
      </c>
      <c r="C92" t="s">
        <v>4353</v>
      </c>
      <c r="E92" t="s">
        <v>7216</v>
      </c>
      <c r="F92" s="8" t="s">
        <v>9208</v>
      </c>
      <c r="G92" t="s">
        <v>6877</v>
      </c>
      <c r="H92">
        <v>1</v>
      </c>
      <c r="I92" t="str">
        <f t="shared" si="1"/>
        <v>('CGM-PH-091','celular','','MOTOROLA G54 5G','354964995777157','OCUPADO',1),</v>
      </c>
    </row>
    <row r="93" spans="1:9" x14ac:dyDescent="0.25">
      <c r="A93">
        <v>92</v>
      </c>
      <c r="B93" t="s">
        <v>6968</v>
      </c>
      <c r="C93" t="s">
        <v>4353</v>
      </c>
      <c r="E93" t="s">
        <v>7216</v>
      </c>
      <c r="F93" s="8" t="s">
        <v>9209</v>
      </c>
      <c r="G93" t="s">
        <v>6877</v>
      </c>
      <c r="H93">
        <v>1</v>
      </c>
      <c r="I93" t="str">
        <f t="shared" si="1"/>
        <v>('CGM-PH-092','celular','','MOTOROLA G54 5G','354964996481270','OCUPADO',1),</v>
      </c>
    </row>
    <row r="94" spans="1:9" x14ac:dyDescent="0.25">
      <c r="A94">
        <v>93</v>
      </c>
      <c r="B94" t="s">
        <v>6969</v>
      </c>
      <c r="C94" t="s">
        <v>4353</v>
      </c>
      <c r="E94" t="s">
        <v>7222</v>
      </c>
      <c r="F94" s="8" t="s">
        <v>9210</v>
      </c>
      <c r="G94" t="s">
        <v>6877</v>
      </c>
      <c r="H94">
        <v>1</v>
      </c>
      <c r="I94" t="str">
        <f t="shared" si="1"/>
        <v>('CGM-PH-093','celular','','REDMI NOTE 11 PRO','863183062679808','OCUPADO',1),</v>
      </c>
    </row>
    <row r="95" spans="1:9" x14ac:dyDescent="0.25">
      <c r="A95">
        <v>94</v>
      </c>
      <c r="B95" t="s">
        <v>6970</v>
      </c>
      <c r="C95" t="s">
        <v>4353</v>
      </c>
      <c r="E95" t="s">
        <v>7227</v>
      </c>
      <c r="F95" s="8" t="s">
        <v>9211</v>
      </c>
      <c r="G95" t="s">
        <v>6877</v>
      </c>
      <c r="H95">
        <v>1</v>
      </c>
      <c r="I95" t="str">
        <f t="shared" si="1"/>
        <v>('CGM-PH-094','celular','','SAMSUNG A10S','354301566406355','OCUPADO',1),</v>
      </c>
    </row>
    <row r="96" spans="1:9" x14ac:dyDescent="0.25">
      <c r="A96">
        <v>95</v>
      </c>
      <c r="B96" t="s">
        <v>6971</v>
      </c>
      <c r="C96" t="s">
        <v>4353</v>
      </c>
      <c r="E96" t="s">
        <v>7222</v>
      </c>
      <c r="F96" s="8" t="s">
        <v>9212</v>
      </c>
      <c r="G96" t="s">
        <v>6877</v>
      </c>
      <c r="H96">
        <v>1</v>
      </c>
      <c r="I96" t="str">
        <f t="shared" si="1"/>
        <v>('CGM-PH-095','celular','','REDMI NOTE 11 PRO','863183062880687','OCUPADO',1),</v>
      </c>
    </row>
    <row r="97" spans="1:9" x14ac:dyDescent="0.25">
      <c r="A97">
        <v>96</v>
      </c>
      <c r="B97" t="s">
        <v>6972</v>
      </c>
      <c r="C97" t="s">
        <v>4353</v>
      </c>
      <c r="E97" t="s">
        <v>7222</v>
      </c>
      <c r="F97" s="8" t="s">
        <v>9213</v>
      </c>
      <c r="G97" t="s">
        <v>6877</v>
      </c>
      <c r="H97">
        <v>1</v>
      </c>
      <c r="I97" t="str">
        <f t="shared" si="1"/>
        <v>('CGM-PH-096','celular','','REDMI NOTE 11 PRO','863183063091102','OCUPADO',1),</v>
      </c>
    </row>
    <row r="98" spans="1:9" x14ac:dyDescent="0.25">
      <c r="A98">
        <v>97</v>
      </c>
      <c r="B98" t="s">
        <v>6973</v>
      </c>
      <c r="C98" t="s">
        <v>4353</v>
      </c>
      <c r="E98" t="s">
        <v>7206</v>
      </c>
      <c r="F98" s="8" t="s">
        <v>9214</v>
      </c>
      <c r="G98" t="s">
        <v>6877</v>
      </c>
      <c r="H98">
        <v>1</v>
      </c>
      <c r="I98" t="str">
        <f t="shared" si="1"/>
        <v>('CGM-PH-097','celular','','GALAXY A25 5G','354432552982651','OCUPADO',1),</v>
      </c>
    </row>
    <row r="99" spans="1:9" x14ac:dyDescent="0.25">
      <c r="A99">
        <v>98</v>
      </c>
      <c r="B99" t="s">
        <v>6974</v>
      </c>
      <c r="C99" t="s">
        <v>4353</v>
      </c>
      <c r="E99" t="s">
        <v>7212</v>
      </c>
      <c r="F99" s="8" t="s">
        <v>9215</v>
      </c>
      <c r="G99" t="s">
        <v>6877</v>
      </c>
      <c r="H99">
        <v>1</v>
      </c>
      <c r="I99" t="str">
        <f t="shared" si="1"/>
        <v>('CGM-PH-098','celular','','MOTOROLA G23','352295692340631','OCUPADO',1),</v>
      </c>
    </row>
    <row r="100" spans="1:9" x14ac:dyDescent="0.25">
      <c r="A100">
        <v>99</v>
      </c>
      <c r="B100" t="s">
        <v>6975</v>
      </c>
      <c r="C100" t="s">
        <v>4353</v>
      </c>
      <c r="E100" t="s">
        <v>7216</v>
      </c>
      <c r="F100" s="8" t="s">
        <v>9216</v>
      </c>
      <c r="G100" t="s">
        <v>6877</v>
      </c>
      <c r="H100">
        <v>1</v>
      </c>
      <c r="I100" t="str">
        <f t="shared" si="1"/>
        <v>('CGM-PH-099','celular','','MOTOROLA G54 5G','861392050943108','OCUPADO',1),</v>
      </c>
    </row>
    <row r="101" spans="1:9" x14ac:dyDescent="0.25">
      <c r="A101">
        <v>100</v>
      </c>
      <c r="B101" t="s">
        <v>6976</v>
      </c>
      <c r="C101" t="s">
        <v>4353</v>
      </c>
      <c r="E101" t="s">
        <v>7232</v>
      </c>
      <c r="F101" s="8" t="s">
        <v>9217</v>
      </c>
      <c r="G101" t="s">
        <v>6877</v>
      </c>
      <c r="H101">
        <v>1</v>
      </c>
      <c r="I101" t="str">
        <f t="shared" si="1"/>
        <v>('CGM-PH-100','celular','','XIAOMI REDMI NOTE 10 PRO','863600057041926','OCUPADO',1),</v>
      </c>
    </row>
    <row r="102" spans="1:9" x14ac:dyDescent="0.25">
      <c r="A102">
        <v>101</v>
      </c>
      <c r="B102" t="s">
        <v>6977</v>
      </c>
      <c r="C102" t="s">
        <v>4353</v>
      </c>
      <c r="E102" t="s">
        <v>7219</v>
      </c>
      <c r="F102" s="8" t="s">
        <v>9218</v>
      </c>
      <c r="G102" t="s">
        <v>6877</v>
      </c>
      <c r="H102">
        <v>1</v>
      </c>
      <c r="I102" t="str">
        <f t="shared" si="1"/>
        <v>('CGM-PH-101','celular','','REDMI NOTE 10 PRO','863600056715744','OCUPADO',1),</v>
      </c>
    </row>
    <row r="103" spans="1:9" x14ac:dyDescent="0.25">
      <c r="A103">
        <v>102</v>
      </c>
      <c r="B103" t="s">
        <v>6978</v>
      </c>
      <c r="C103" t="s">
        <v>4353</v>
      </c>
      <c r="E103" t="s">
        <v>7222</v>
      </c>
      <c r="F103" s="8" t="s">
        <v>9219</v>
      </c>
      <c r="G103" t="s">
        <v>6877</v>
      </c>
      <c r="H103">
        <v>1</v>
      </c>
      <c r="I103" t="str">
        <f t="shared" si="1"/>
        <v>('CGM-PH-102','celular','','REDMI NOTE 11 PRO','863183062784822','OCUPADO',1),</v>
      </c>
    </row>
    <row r="104" spans="1:9" x14ac:dyDescent="0.25">
      <c r="A104">
        <v>103</v>
      </c>
      <c r="B104" t="s">
        <v>6979</v>
      </c>
      <c r="C104" t="s">
        <v>4353</v>
      </c>
      <c r="E104" t="s">
        <v>7215</v>
      </c>
      <c r="F104" s="8" t="s">
        <v>9220</v>
      </c>
      <c r="G104" t="s">
        <v>6877</v>
      </c>
      <c r="H104">
        <v>1</v>
      </c>
      <c r="I104" t="str">
        <f t="shared" si="1"/>
        <v>('CGM-PH-103','celular','','MOTOROLA G53 5G','352295693780348','OCUPADO',1),</v>
      </c>
    </row>
    <row r="105" spans="1:9" x14ac:dyDescent="0.25">
      <c r="A105">
        <v>104</v>
      </c>
      <c r="B105" t="s">
        <v>6980</v>
      </c>
      <c r="C105" t="s">
        <v>4353</v>
      </c>
      <c r="E105" t="s">
        <v>7210</v>
      </c>
      <c r="F105" s="8" t="s">
        <v>9221</v>
      </c>
      <c r="G105" t="s">
        <v>6877</v>
      </c>
      <c r="H105">
        <v>1</v>
      </c>
      <c r="I105" t="str">
        <f t="shared" si="1"/>
        <v>('CGM-PH-104','celular','','MOTOROLA EDGE 50 FUSION','354612456520570','OCUPADO',1),</v>
      </c>
    </row>
    <row r="106" spans="1:9" x14ac:dyDescent="0.25">
      <c r="A106">
        <v>105</v>
      </c>
      <c r="B106" t="s">
        <v>6981</v>
      </c>
      <c r="C106" t="s">
        <v>4353</v>
      </c>
      <c r="E106" t="s">
        <v>7214</v>
      </c>
      <c r="F106" s="8" t="s">
        <v>9222</v>
      </c>
      <c r="G106" t="s">
        <v>6877</v>
      </c>
      <c r="H106">
        <v>1</v>
      </c>
      <c r="I106" t="str">
        <f t="shared" si="1"/>
        <v>('CGM-PH-105','celular','','MOTOROLA G51 5G','355611433707523','OCUPADO',1),</v>
      </c>
    </row>
    <row r="107" spans="1:9" x14ac:dyDescent="0.25">
      <c r="A107">
        <v>106</v>
      </c>
      <c r="B107" t="s">
        <v>6982</v>
      </c>
      <c r="C107" t="s">
        <v>4353</v>
      </c>
      <c r="E107" t="s">
        <v>7220</v>
      </c>
      <c r="F107" s="8" t="s">
        <v>9223</v>
      </c>
      <c r="G107" t="s">
        <v>6877</v>
      </c>
      <c r="H107">
        <v>1</v>
      </c>
      <c r="I107" t="str">
        <f t="shared" si="1"/>
        <v>('CGM-PH-106','celular','','REDMI NOTE 10S','861392054757405','OCUPADO',1),</v>
      </c>
    </row>
    <row r="108" spans="1:9" x14ac:dyDescent="0.25">
      <c r="A108">
        <v>107</v>
      </c>
      <c r="B108" t="s">
        <v>6983</v>
      </c>
      <c r="C108" t="s">
        <v>4353</v>
      </c>
      <c r="E108" t="s">
        <v>7222</v>
      </c>
      <c r="F108" s="8" t="s">
        <v>9224</v>
      </c>
      <c r="G108" t="s">
        <v>6877</v>
      </c>
      <c r="H108">
        <v>1</v>
      </c>
      <c r="I108" t="str">
        <f t="shared" si="1"/>
        <v>('CGM-PH-107','celular','','REDMI NOTE 11 PRO','863183061850400','OCUPADO',1),</v>
      </c>
    </row>
    <row r="109" spans="1:9" x14ac:dyDescent="0.25">
      <c r="A109">
        <v>108</v>
      </c>
      <c r="B109" t="s">
        <v>6984</v>
      </c>
      <c r="C109" t="s">
        <v>4353</v>
      </c>
      <c r="E109" t="s">
        <v>7214</v>
      </c>
      <c r="F109" s="8" t="s">
        <v>9225</v>
      </c>
      <c r="G109" t="s">
        <v>6877</v>
      </c>
      <c r="H109">
        <v>1</v>
      </c>
      <c r="I109" t="str">
        <f t="shared" si="1"/>
        <v>('CGM-PH-108','celular','','MOTOROLA G51 5G','355611433705444','OCUPADO',1),</v>
      </c>
    </row>
    <row r="110" spans="1:9" x14ac:dyDescent="0.25">
      <c r="A110">
        <v>109</v>
      </c>
      <c r="B110" t="s">
        <v>6985</v>
      </c>
      <c r="C110" t="s">
        <v>4353</v>
      </c>
      <c r="E110" t="s">
        <v>7235</v>
      </c>
      <c r="F110" s="8" t="s">
        <v>9226</v>
      </c>
      <c r="G110" t="s">
        <v>6877</v>
      </c>
      <c r="H110">
        <v>1</v>
      </c>
      <c r="I110" t="str">
        <f t="shared" si="1"/>
        <v>('CGM-PH-109','celular','','ZTE BLADE A71','860031055025190','OCUPADO',1),</v>
      </c>
    </row>
    <row r="111" spans="1:9" x14ac:dyDescent="0.25">
      <c r="A111">
        <v>110</v>
      </c>
      <c r="B111" t="s">
        <v>6986</v>
      </c>
      <c r="C111" t="s">
        <v>4353</v>
      </c>
      <c r="E111" t="s">
        <v>7206</v>
      </c>
      <c r="F111" s="8" t="s">
        <v>9227</v>
      </c>
      <c r="G111" t="s">
        <v>6877</v>
      </c>
      <c r="H111">
        <v>1</v>
      </c>
      <c r="I111" t="str">
        <f t="shared" si="1"/>
        <v>('CGM-PH-110','celular','','GALAXY A25 5G','354432552369362','OCUPADO',1),</v>
      </c>
    </row>
    <row r="112" spans="1:9" x14ac:dyDescent="0.25">
      <c r="A112">
        <v>111</v>
      </c>
      <c r="B112" t="s">
        <v>6987</v>
      </c>
      <c r="C112" t="s">
        <v>4353</v>
      </c>
      <c r="E112" t="s">
        <v>7215</v>
      </c>
      <c r="F112" s="8" t="s">
        <v>9228</v>
      </c>
      <c r="G112" t="s">
        <v>6877</v>
      </c>
      <c r="H112">
        <v>1</v>
      </c>
      <c r="I112" t="str">
        <f t="shared" si="1"/>
        <v>('CGM-PH-111','celular','','MOTOROLA G53 5G','352295695461855','OCUPADO',1),</v>
      </c>
    </row>
    <row r="113" spans="1:9" x14ac:dyDescent="0.25">
      <c r="A113">
        <v>112</v>
      </c>
      <c r="B113" t="s">
        <v>6988</v>
      </c>
      <c r="C113" t="s">
        <v>4353</v>
      </c>
      <c r="E113" t="s">
        <v>7216</v>
      </c>
      <c r="F113" s="8" t="s">
        <v>9229</v>
      </c>
      <c r="G113" t="s">
        <v>6877</v>
      </c>
      <c r="H113">
        <v>1</v>
      </c>
      <c r="I113" t="str">
        <f t="shared" si="1"/>
        <v>('CGM-PH-112','celular','','MOTOROLA G54 5G','354964997270896','OCUPADO',1),</v>
      </c>
    </row>
    <row r="114" spans="1:9" x14ac:dyDescent="0.25">
      <c r="A114">
        <v>113</v>
      </c>
      <c r="B114" t="s">
        <v>6989</v>
      </c>
      <c r="C114" t="s">
        <v>4353</v>
      </c>
      <c r="E114" t="s">
        <v>7222</v>
      </c>
      <c r="F114" s="8" t="s">
        <v>9230</v>
      </c>
      <c r="G114" t="s">
        <v>6877</v>
      </c>
      <c r="H114">
        <v>1</v>
      </c>
      <c r="I114" t="str">
        <f t="shared" si="1"/>
        <v>('CGM-PH-113','celular','','REDMI NOTE 11 PRO','863183063090708','OCUPADO',1),</v>
      </c>
    </row>
    <row r="115" spans="1:9" x14ac:dyDescent="0.25">
      <c r="A115">
        <v>114</v>
      </c>
      <c r="B115" t="s">
        <v>6990</v>
      </c>
      <c r="C115" t="s">
        <v>4353</v>
      </c>
      <c r="E115" t="s">
        <v>7231</v>
      </c>
      <c r="F115" s="8" t="s">
        <v>9231</v>
      </c>
      <c r="G115" t="s">
        <v>6877</v>
      </c>
      <c r="H115">
        <v>1</v>
      </c>
      <c r="I115" t="str">
        <f t="shared" si="1"/>
        <v>('CGM-PH-114','celular','','SAMSUNG J6 PLUS','353779103639987','OCUPADO',1),</v>
      </c>
    </row>
    <row r="116" spans="1:9" x14ac:dyDescent="0.25">
      <c r="A116">
        <v>115</v>
      </c>
      <c r="B116" t="s">
        <v>6991</v>
      </c>
      <c r="C116" t="s">
        <v>4353</v>
      </c>
      <c r="E116" t="s">
        <v>7212</v>
      </c>
      <c r="F116" s="8" t="s">
        <v>9232</v>
      </c>
      <c r="G116" t="s">
        <v>6877</v>
      </c>
      <c r="H116">
        <v>1</v>
      </c>
      <c r="I116" t="str">
        <f t="shared" si="1"/>
        <v>('CGM-PH-115','celular','','MOTOROLA G23','353417140413096','OCUPADO',1),</v>
      </c>
    </row>
    <row r="117" spans="1:9" x14ac:dyDescent="0.25">
      <c r="A117">
        <v>116</v>
      </c>
      <c r="B117" t="s">
        <v>6992</v>
      </c>
      <c r="C117" t="s">
        <v>4353</v>
      </c>
      <c r="E117" t="s">
        <v>7215</v>
      </c>
      <c r="F117" s="8" t="s">
        <v>9233</v>
      </c>
      <c r="G117" t="s">
        <v>6877</v>
      </c>
      <c r="H117">
        <v>1</v>
      </c>
      <c r="I117" t="str">
        <f t="shared" si="1"/>
        <v>('CGM-PH-116','celular','','MOTOROLA G53 5G','352295695399832','OCUPADO',1),</v>
      </c>
    </row>
    <row r="118" spans="1:9" x14ac:dyDescent="0.25">
      <c r="A118">
        <v>117</v>
      </c>
      <c r="B118" t="s">
        <v>6993</v>
      </c>
      <c r="C118" t="s">
        <v>4353</v>
      </c>
      <c r="E118" t="s">
        <v>7215</v>
      </c>
      <c r="F118" s="8" t="s">
        <v>9234</v>
      </c>
      <c r="G118" t="s">
        <v>6877</v>
      </c>
      <c r="H118">
        <v>1</v>
      </c>
      <c r="I118" t="str">
        <f t="shared" si="1"/>
        <v>('CGM-PH-117','celular','','MOTOROLA G53 5G','3522956937746130','OCUPADO',1),</v>
      </c>
    </row>
    <row r="119" spans="1:9" x14ac:dyDescent="0.25">
      <c r="A119">
        <v>118</v>
      </c>
      <c r="B119" t="s">
        <v>6994</v>
      </c>
      <c r="C119" t="s">
        <v>4353</v>
      </c>
      <c r="E119" t="s">
        <v>7222</v>
      </c>
      <c r="F119" s="8" t="s">
        <v>9235</v>
      </c>
      <c r="G119" t="s">
        <v>6877</v>
      </c>
      <c r="H119">
        <v>1</v>
      </c>
      <c r="I119" t="str">
        <f t="shared" si="1"/>
        <v>('CGM-PH-118','celular','','REDMI NOTE 11 PRO','863183062859624','OCUPADO',1),</v>
      </c>
    </row>
    <row r="120" spans="1:9" x14ac:dyDescent="0.25">
      <c r="A120">
        <v>119</v>
      </c>
      <c r="B120" t="s">
        <v>6995</v>
      </c>
      <c r="C120" t="s">
        <v>4353</v>
      </c>
      <c r="E120" t="s">
        <v>7213</v>
      </c>
      <c r="F120" s="8" t="s">
        <v>9236</v>
      </c>
      <c r="G120" t="s">
        <v>6877</v>
      </c>
      <c r="H120">
        <v>1</v>
      </c>
      <c r="I120" t="str">
        <f t="shared" si="1"/>
        <v>('CGM-PH-119','celular','','MOTOROLA G24 POWER','353270600607230','OCUPADO',1),</v>
      </c>
    </row>
    <row r="121" spans="1:9" x14ac:dyDescent="0.25">
      <c r="A121">
        <v>120</v>
      </c>
      <c r="B121" t="s">
        <v>6996</v>
      </c>
      <c r="C121" t="s">
        <v>4353</v>
      </c>
      <c r="E121" t="s">
        <v>7216</v>
      </c>
      <c r="F121" s="8" t="s">
        <v>9237</v>
      </c>
      <c r="G121" t="s">
        <v>6877</v>
      </c>
      <c r="H121">
        <v>1</v>
      </c>
      <c r="I121" t="str">
        <f t="shared" si="1"/>
        <v>('CGM-PH-120','celular','','MOTOROLA G54 5G','354964996484704','OCUPADO',1),</v>
      </c>
    </row>
    <row r="122" spans="1:9" x14ac:dyDescent="0.25">
      <c r="A122">
        <v>121</v>
      </c>
      <c r="B122" t="s">
        <v>6997</v>
      </c>
      <c r="C122" t="s">
        <v>4353</v>
      </c>
      <c r="E122" t="s">
        <v>7210</v>
      </c>
      <c r="F122" s="8" t="s">
        <v>9238</v>
      </c>
      <c r="G122" t="s">
        <v>6877</v>
      </c>
      <c r="H122">
        <v>1</v>
      </c>
      <c r="I122" t="str">
        <f t="shared" si="1"/>
        <v>('CGM-PH-121','celular','','MOTOROLA EDGE 50 FUSION','354612456523533','OCUPADO',1),</v>
      </c>
    </row>
    <row r="123" spans="1:9" x14ac:dyDescent="0.25">
      <c r="A123">
        <v>122</v>
      </c>
      <c r="B123" t="s">
        <v>6998</v>
      </c>
      <c r="C123" t="s">
        <v>4353</v>
      </c>
      <c r="E123" t="s">
        <v>7222</v>
      </c>
      <c r="F123" s="8" t="s">
        <v>9239</v>
      </c>
      <c r="G123" t="s">
        <v>6877</v>
      </c>
      <c r="H123">
        <v>1</v>
      </c>
      <c r="I123" t="str">
        <f t="shared" si="1"/>
        <v>('CGM-PH-122','celular','','REDMI NOTE 11 PRO','863183063151120','OCUPADO',1),</v>
      </c>
    </row>
    <row r="124" spans="1:9" x14ac:dyDescent="0.25">
      <c r="A124">
        <v>123</v>
      </c>
      <c r="B124" t="s">
        <v>6999</v>
      </c>
      <c r="C124" t="s">
        <v>4353</v>
      </c>
      <c r="E124" t="s">
        <v>7216</v>
      </c>
      <c r="F124" s="8" t="s">
        <v>9240</v>
      </c>
      <c r="G124" t="s">
        <v>6877</v>
      </c>
      <c r="H124">
        <v>1</v>
      </c>
      <c r="I124" t="str">
        <f t="shared" si="1"/>
        <v>('CGM-PH-123','celular','','MOTOROLA G54 5G','354964993632016','OCUPADO',1),</v>
      </c>
    </row>
    <row r="125" spans="1:9" x14ac:dyDescent="0.25">
      <c r="A125">
        <v>124</v>
      </c>
      <c r="B125" t="s">
        <v>7000</v>
      </c>
      <c r="C125" t="s">
        <v>4353</v>
      </c>
      <c r="E125" t="s">
        <v>7216</v>
      </c>
      <c r="F125" s="8" t="s">
        <v>9241</v>
      </c>
      <c r="G125" t="s">
        <v>6877</v>
      </c>
      <c r="H125">
        <v>1</v>
      </c>
      <c r="I125" t="str">
        <f t="shared" si="1"/>
        <v>('CGM-PH-124','celular','','MOTOROLA G54 5G','354964996498407','OCUPADO',1),</v>
      </c>
    </row>
    <row r="126" spans="1:9" x14ac:dyDescent="0.25">
      <c r="A126">
        <v>125</v>
      </c>
      <c r="B126" t="s">
        <v>7001</v>
      </c>
      <c r="C126" t="s">
        <v>4353</v>
      </c>
      <c r="E126" t="s">
        <v>7210</v>
      </c>
      <c r="F126" s="8" t="s">
        <v>9242</v>
      </c>
      <c r="G126" t="s">
        <v>6877</v>
      </c>
      <c r="H126">
        <v>1</v>
      </c>
      <c r="I126" t="str">
        <f t="shared" si="1"/>
        <v>('CGM-PH-125','celular','','MOTOROLA EDGE 50 FUSION','354612456517733','OCUPADO',1),</v>
      </c>
    </row>
    <row r="127" spans="1:9" x14ac:dyDescent="0.25">
      <c r="A127">
        <v>126</v>
      </c>
      <c r="B127" t="s">
        <v>7002</v>
      </c>
      <c r="C127" t="s">
        <v>4353</v>
      </c>
      <c r="E127" t="s">
        <v>7214</v>
      </c>
      <c r="F127" s="8" t="s">
        <v>9243</v>
      </c>
      <c r="G127" t="s">
        <v>6877</v>
      </c>
      <c r="H127">
        <v>1</v>
      </c>
      <c r="I127" t="str">
        <f t="shared" si="1"/>
        <v>('CGM-PH-126','celular','','MOTOROLA G51 5G','355611433699548','OCUPADO',1),</v>
      </c>
    </row>
    <row r="128" spans="1:9" x14ac:dyDescent="0.25">
      <c r="A128">
        <v>127</v>
      </c>
      <c r="B128" t="s">
        <v>7003</v>
      </c>
      <c r="C128" t="s">
        <v>4353</v>
      </c>
      <c r="E128" t="s">
        <v>7222</v>
      </c>
      <c r="F128" s="8" t="s">
        <v>9244</v>
      </c>
      <c r="G128" t="s">
        <v>6877</v>
      </c>
      <c r="H128">
        <v>1</v>
      </c>
      <c r="I128" t="str">
        <f t="shared" si="1"/>
        <v>('CGM-PH-127','celular','','REDMI NOTE 11 PRO','863183062860564','OCUPADO',1),</v>
      </c>
    </row>
    <row r="129" spans="1:9" x14ac:dyDescent="0.25">
      <c r="A129">
        <v>128</v>
      </c>
      <c r="B129" t="s">
        <v>7004</v>
      </c>
      <c r="C129" t="s">
        <v>4353</v>
      </c>
      <c r="E129" t="s">
        <v>7222</v>
      </c>
      <c r="F129" s="8" t="s">
        <v>9245</v>
      </c>
      <c r="G129" t="s">
        <v>6877</v>
      </c>
      <c r="H129">
        <v>1</v>
      </c>
      <c r="I129" t="str">
        <f t="shared" si="1"/>
        <v>('CGM-PH-128','celular','','REDMI NOTE 11 PRO','860677060430968','OCUPADO',1),</v>
      </c>
    </row>
    <row r="130" spans="1:9" x14ac:dyDescent="0.25">
      <c r="A130">
        <v>129</v>
      </c>
      <c r="B130" t="s">
        <v>7005</v>
      </c>
      <c r="C130" t="s">
        <v>4353</v>
      </c>
      <c r="E130" t="s">
        <v>7222</v>
      </c>
      <c r="F130" s="8" t="s">
        <v>9246</v>
      </c>
      <c r="G130" t="s">
        <v>6877</v>
      </c>
      <c r="H130">
        <v>1</v>
      </c>
      <c r="I130" t="str">
        <f t="shared" si="1"/>
        <v>('CGM-PH-129','celular','','REDMI NOTE 11 PRO','863183063160485','OCUPADO',1),</v>
      </c>
    </row>
    <row r="131" spans="1:9" x14ac:dyDescent="0.25">
      <c r="A131">
        <v>130</v>
      </c>
      <c r="B131" t="s">
        <v>7006</v>
      </c>
      <c r="C131" t="s">
        <v>4353</v>
      </c>
      <c r="E131" t="s">
        <v>7222</v>
      </c>
      <c r="F131" s="8" t="s">
        <v>9247</v>
      </c>
      <c r="G131" t="s">
        <v>6877</v>
      </c>
      <c r="H131">
        <v>1</v>
      </c>
      <c r="I131" t="str">
        <f t="shared" ref="I131:I194" si="2">_xlfn.CONCAT("('",B131,"','",C131,"','",D131,"','",E131,"','",F131,"','",G131,"',",H131,"),")</f>
        <v>('CGM-PH-130','celular','','REDMI NOTE 11 PRO','863183063197982','OCUPADO',1),</v>
      </c>
    </row>
    <row r="132" spans="1:9" x14ac:dyDescent="0.25">
      <c r="A132">
        <v>131</v>
      </c>
      <c r="B132" t="s">
        <v>7007</v>
      </c>
      <c r="C132" t="s">
        <v>4353</v>
      </c>
      <c r="E132" t="s">
        <v>7222</v>
      </c>
      <c r="F132" s="8" t="s">
        <v>9248</v>
      </c>
      <c r="G132" t="s">
        <v>6877</v>
      </c>
      <c r="H132">
        <v>1</v>
      </c>
      <c r="I132" t="str">
        <f t="shared" si="2"/>
        <v>('CGM-PH-131','celular','','REDMI NOTE 11 PRO','863183063183784','OCUPADO',1),</v>
      </c>
    </row>
    <row r="133" spans="1:9" x14ac:dyDescent="0.25">
      <c r="A133">
        <v>132</v>
      </c>
      <c r="B133" t="s">
        <v>7008</v>
      </c>
      <c r="C133" t="s">
        <v>4353</v>
      </c>
      <c r="E133" t="s">
        <v>7228</v>
      </c>
      <c r="F133" s="8" t="s">
        <v>9249</v>
      </c>
      <c r="G133" t="s">
        <v>6877</v>
      </c>
      <c r="H133">
        <v>1</v>
      </c>
      <c r="I133" t="str">
        <f t="shared" si="2"/>
        <v>('CGM-PH-132','celular','','SAMSUNG A22','358055380964280','OCUPADO',1),</v>
      </c>
    </row>
    <row r="134" spans="1:9" x14ac:dyDescent="0.25">
      <c r="A134">
        <v>133</v>
      </c>
      <c r="B134" t="s">
        <v>7009</v>
      </c>
      <c r="C134" t="s">
        <v>4353</v>
      </c>
      <c r="E134" t="s">
        <v>7222</v>
      </c>
      <c r="F134" s="8" t="s">
        <v>9250</v>
      </c>
      <c r="G134" t="s">
        <v>6877</v>
      </c>
      <c r="H134">
        <v>1</v>
      </c>
      <c r="I134" t="str">
        <f t="shared" si="2"/>
        <v>('CGM-PH-133','celular','','REDMI NOTE 11 PRO','863183063340327','OCUPADO',1),</v>
      </c>
    </row>
    <row r="135" spans="1:9" x14ac:dyDescent="0.25">
      <c r="A135">
        <v>134</v>
      </c>
      <c r="B135" t="s">
        <v>7010</v>
      </c>
      <c r="C135" t="s">
        <v>4353</v>
      </c>
      <c r="E135" t="s">
        <v>7226</v>
      </c>
      <c r="F135" s="8" t="s">
        <v>9251</v>
      </c>
      <c r="G135" t="s">
        <v>6877</v>
      </c>
      <c r="H135">
        <v>1</v>
      </c>
      <c r="I135" t="str">
        <f t="shared" si="2"/>
        <v>('CGM-PH-134','celular','','SAMSUNG A10','357859101770855','OCUPADO',1),</v>
      </c>
    </row>
    <row r="136" spans="1:9" x14ac:dyDescent="0.25">
      <c r="A136">
        <v>135</v>
      </c>
      <c r="B136" t="s">
        <v>7011</v>
      </c>
      <c r="C136" t="s">
        <v>4353</v>
      </c>
      <c r="E136" t="s">
        <v>7222</v>
      </c>
      <c r="F136" s="8" t="s">
        <v>9252</v>
      </c>
      <c r="G136" t="s">
        <v>6877</v>
      </c>
      <c r="H136">
        <v>1</v>
      </c>
      <c r="I136" t="str">
        <f t="shared" si="2"/>
        <v>('CGM-PH-135','celular','','REDMI NOTE 11 PRO','863183063070189','OCUPADO',1),</v>
      </c>
    </row>
    <row r="137" spans="1:9" x14ac:dyDescent="0.25">
      <c r="A137">
        <v>136</v>
      </c>
      <c r="B137" t="s">
        <v>7012</v>
      </c>
      <c r="C137" t="s">
        <v>4353</v>
      </c>
      <c r="E137" t="s">
        <v>7210</v>
      </c>
      <c r="F137" s="8" t="s">
        <v>9253</v>
      </c>
      <c r="G137" t="s">
        <v>6877</v>
      </c>
      <c r="H137">
        <v>1</v>
      </c>
      <c r="I137" t="str">
        <f t="shared" si="2"/>
        <v>('CGM-PH-136','celular','','MOTOROLA EDGE 50 FUSION','354612456514870','OCUPADO',1),</v>
      </c>
    </row>
    <row r="138" spans="1:9" x14ac:dyDescent="0.25">
      <c r="A138">
        <v>137</v>
      </c>
      <c r="B138" t="s">
        <v>7013</v>
      </c>
      <c r="C138" t="s">
        <v>4353</v>
      </c>
      <c r="E138" t="s">
        <v>7220</v>
      </c>
      <c r="F138" s="8" t="s">
        <v>9254</v>
      </c>
      <c r="G138" t="s">
        <v>6877</v>
      </c>
      <c r="H138">
        <v>1</v>
      </c>
      <c r="I138" t="str">
        <f t="shared" si="2"/>
        <v>('CGM-PH-137','celular','','REDMI NOTE 10S','865565058127024','OCUPADO',1),</v>
      </c>
    </row>
    <row r="139" spans="1:9" x14ac:dyDescent="0.25">
      <c r="A139">
        <v>138</v>
      </c>
      <c r="B139" t="s">
        <v>7014</v>
      </c>
      <c r="C139" t="s">
        <v>4353</v>
      </c>
      <c r="E139" t="s">
        <v>7220</v>
      </c>
      <c r="F139" s="8" t="s">
        <v>9255</v>
      </c>
      <c r="G139" t="s">
        <v>6877</v>
      </c>
      <c r="H139">
        <v>1</v>
      </c>
      <c r="I139" t="str">
        <f t="shared" si="2"/>
        <v>('CGM-PH-138','celular','','REDMI NOTE 10S','865565058097789','OCUPADO',1),</v>
      </c>
    </row>
    <row r="140" spans="1:9" x14ac:dyDescent="0.25">
      <c r="A140">
        <v>139</v>
      </c>
      <c r="B140" t="s">
        <v>7015</v>
      </c>
      <c r="C140" t="s">
        <v>4353</v>
      </c>
      <c r="E140" t="s">
        <v>7222</v>
      </c>
      <c r="F140" s="8" t="s">
        <v>9256</v>
      </c>
      <c r="G140" t="s">
        <v>6877</v>
      </c>
      <c r="H140">
        <v>1</v>
      </c>
      <c r="I140" t="str">
        <f t="shared" si="2"/>
        <v>('CGM-PH-139','celular','','REDMI NOTE 11 PRO','863183063229165','OCUPADO',1),</v>
      </c>
    </row>
    <row r="141" spans="1:9" x14ac:dyDescent="0.25">
      <c r="A141">
        <v>140</v>
      </c>
      <c r="B141" t="s">
        <v>7016</v>
      </c>
      <c r="C141" t="s">
        <v>4353</v>
      </c>
      <c r="E141" t="s">
        <v>7222</v>
      </c>
      <c r="F141" s="8" t="s">
        <v>9257</v>
      </c>
      <c r="G141" t="s">
        <v>6877</v>
      </c>
      <c r="H141">
        <v>1</v>
      </c>
      <c r="I141" t="str">
        <f t="shared" si="2"/>
        <v>('CGM-PH-140','celular','','REDMI NOTE 11 PRO','863183063028385','OCUPADO',1),</v>
      </c>
    </row>
    <row r="142" spans="1:9" x14ac:dyDescent="0.25">
      <c r="A142">
        <v>141</v>
      </c>
      <c r="B142" t="s">
        <v>7017</v>
      </c>
      <c r="C142" t="s">
        <v>4353</v>
      </c>
      <c r="E142" t="s">
        <v>7216</v>
      </c>
      <c r="F142" s="8" t="s">
        <v>9258</v>
      </c>
      <c r="G142" t="s">
        <v>6877</v>
      </c>
      <c r="H142">
        <v>1</v>
      </c>
      <c r="I142" t="str">
        <f t="shared" si="2"/>
        <v>('CGM-PH-141','celular','','MOTOROLA G54 5G','354964997378640','OCUPADO',1),</v>
      </c>
    </row>
    <row r="143" spans="1:9" x14ac:dyDescent="0.25">
      <c r="A143">
        <v>142</v>
      </c>
      <c r="B143" t="s">
        <v>7018</v>
      </c>
      <c r="C143" t="s">
        <v>4353</v>
      </c>
      <c r="E143" t="s">
        <v>7212</v>
      </c>
      <c r="F143" s="8" t="s">
        <v>9259</v>
      </c>
      <c r="G143" t="s">
        <v>6877</v>
      </c>
      <c r="H143">
        <v>1</v>
      </c>
      <c r="I143" t="str">
        <f t="shared" si="2"/>
        <v>('CGM-PH-142','celular','','MOTOROLA G23','3523417142345600','OCUPADO',1),</v>
      </c>
    </row>
    <row r="144" spans="1:9" x14ac:dyDescent="0.25">
      <c r="A144">
        <v>143</v>
      </c>
      <c r="B144" t="s">
        <v>7019</v>
      </c>
      <c r="C144" t="s">
        <v>4353</v>
      </c>
      <c r="E144" t="s">
        <v>7233</v>
      </c>
      <c r="F144" s="8" t="s">
        <v>9260</v>
      </c>
      <c r="G144" t="s">
        <v>6877</v>
      </c>
      <c r="H144">
        <v>1</v>
      </c>
      <c r="I144" t="str">
        <f t="shared" si="2"/>
        <v>('CGM-PH-143','celular','','XIAOMI REDMI NOTE 11','864469066713787','OCUPADO',1),</v>
      </c>
    </row>
    <row r="145" spans="1:9" x14ac:dyDescent="0.25">
      <c r="A145">
        <v>144</v>
      </c>
      <c r="B145" t="s">
        <v>7020</v>
      </c>
      <c r="C145" t="s">
        <v>4353</v>
      </c>
      <c r="E145" t="s">
        <v>7234</v>
      </c>
      <c r="F145" s="8" t="s">
        <v>9261</v>
      </c>
      <c r="G145" t="s">
        <v>6877</v>
      </c>
      <c r="H145">
        <v>1</v>
      </c>
      <c r="I145" t="str">
        <f t="shared" si="2"/>
        <v>('CGM-PH-144','celular','','XIAOMI REDMI NOTE 11S','863837055768080','OCUPADO',1),</v>
      </c>
    </row>
    <row r="146" spans="1:9" x14ac:dyDescent="0.25">
      <c r="A146">
        <v>145</v>
      </c>
      <c r="B146" t="s">
        <v>7021</v>
      </c>
      <c r="C146" t="s">
        <v>4353</v>
      </c>
      <c r="E146" t="s">
        <v>7233</v>
      </c>
      <c r="F146" s="8" t="s">
        <v>9262</v>
      </c>
      <c r="G146" t="s">
        <v>6877</v>
      </c>
      <c r="H146">
        <v>1</v>
      </c>
      <c r="I146" t="str">
        <f t="shared" si="2"/>
        <v>('CGM-PH-145','celular','','XIAOMI REDMI NOTE 11','864469066594021','OCUPADO',1),</v>
      </c>
    </row>
    <row r="147" spans="1:9" x14ac:dyDescent="0.25">
      <c r="A147">
        <v>146</v>
      </c>
      <c r="B147" t="s">
        <v>7022</v>
      </c>
      <c r="C147" t="s">
        <v>4353</v>
      </c>
      <c r="E147" t="s">
        <v>7216</v>
      </c>
      <c r="F147" s="8" t="s">
        <v>9263</v>
      </c>
      <c r="G147" t="s">
        <v>6877</v>
      </c>
      <c r="H147">
        <v>1</v>
      </c>
      <c r="I147" t="str">
        <f t="shared" si="2"/>
        <v>('CGM-PH-146','celular','','MOTOROLA G54 5G','354964997363949','OCUPADO',1),</v>
      </c>
    </row>
    <row r="148" spans="1:9" x14ac:dyDescent="0.25">
      <c r="A148">
        <v>147</v>
      </c>
      <c r="B148" t="s">
        <v>7023</v>
      </c>
      <c r="C148" t="s">
        <v>4353</v>
      </c>
      <c r="E148" t="s">
        <v>7216</v>
      </c>
      <c r="F148" s="8" t="s">
        <v>9264</v>
      </c>
      <c r="G148" t="s">
        <v>6877</v>
      </c>
      <c r="H148">
        <v>1</v>
      </c>
      <c r="I148" t="str">
        <f t="shared" si="2"/>
        <v>('CGM-PH-147','celular','','MOTOROLA G54 5G','344964996481239','OCUPADO',1),</v>
      </c>
    </row>
    <row r="149" spans="1:9" x14ac:dyDescent="0.25">
      <c r="A149">
        <v>148</v>
      </c>
      <c r="B149" t="s">
        <v>7024</v>
      </c>
      <c r="C149" t="s">
        <v>4353</v>
      </c>
      <c r="E149" t="s">
        <v>7235</v>
      </c>
      <c r="F149" s="8" t="s">
        <v>9265</v>
      </c>
      <c r="G149" t="s">
        <v>6877</v>
      </c>
      <c r="H149">
        <v>1</v>
      </c>
      <c r="I149" t="str">
        <f t="shared" si="2"/>
        <v>('CGM-PH-148','celular','','ZTE BLADE A71','860031055023190','OCUPADO',1),</v>
      </c>
    </row>
    <row r="150" spans="1:9" x14ac:dyDescent="0.25">
      <c r="A150">
        <v>149</v>
      </c>
      <c r="B150" t="s">
        <v>7025</v>
      </c>
      <c r="C150" t="s">
        <v>4353</v>
      </c>
      <c r="E150" t="s">
        <v>7212</v>
      </c>
      <c r="F150" s="8" t="s">
        <v>9266</v>
      </c>
      <c r="G150" t="s">
        <v>6877</v>
      </c>
      <c r="H150">
        <v>1</v>
      </c>
      <c r="I150" t="str">
        <f t="shared" si="2"/>
        <v>('CGM-PH-149','celular','','MOTOROLA G23','352295692341829','OCUPADO',1),</v>
      </c>
    </row>
    <row r="151" spans="1:9" x14ac:dyDescent="0.25">
      <c r="A151">
        <v>150</v>
      </c>
      <c r="B151" t="s">
        <v>7026</v>
      </c>
      <c r="C151" t="s">
        <v>4353</v>
      </c>
      <c r="E151" t="s">
        <v>7215</v>
      </c>
      <c r="F151" s="8" t="s">
        <v>9267</v>
      </c>
      <c r="G151" t="s">
        <v>6877</v>
      </c>
      <c r="H151">
        <v>1</v>
      </c>
      <c r="I151" t="str">
        <f t="shared" si="2"/>
        <v>('CGM-PH-150','celular','','MOTOROLA G53 5G','352295692343429','OCUPADO',1),</v>
      </c>
    </row>
    <row r="152" spans="1:9" x14ac:dyDescent="0.25">
      <c r="A152">
        <v>151</v>
      </c>
      <c r="B152" t="s">
        <v>7027</v>
      </c>
      <c r="C152" t="s">
        <v>4353</v>
      </c>
      <c r="E152" t="s">
        <v>7215</v>
      </c>
      <c r="F152" s="8" t="s">
        <v>9268</v>
      </c>
      <c r="G152" t="s">
        <v>6877</v>
      </c>
      <c r="H152">
        <v>1</v>
      </c>
      <c r="I152" t="str">
        <f t="shared" si="2"/>
        <v>('CGM-PH-151','celular','','MOTOROLA G53 5G','352295692342504','OCUPADO',1),</v>
      </c>
    </row>
    <row r="153" spans="1:9" x14ac:dyDescent="0.25">
      <c r="A153">
        <v>152</v>
      </c>
      <c r="B153" t="s">
        <v>7028</v>
      </c>
      <c r="C153" t="s">
        <v>4353</v>
      </c>
      <c r="E153" t="s">
        <v>7212</v>
      </c>
      <c r="F153" s="8" t="s">
        <v>9269</v>
      </c>
      <c r="G153" t="s">
        <v>6877</v>
      </c>
      <c r="H153">
        <v>1</v>
      </c>
      <c r="I153" t="str">
        <f t="shared" si="2"/>
        <v>('CGM-PH-152','celular','','MOTOROLA G23','353417140846113','OCUPADO',1),</v>
      </c>
    </row>
    <row r="154" spans="1:9" x14ac:dyDescent="0.25">
      <c r="A154">
        <v>153</v>
      </c>
      <c r="B154" t="s">
        <v>7029</v>
      </c>
      <c r="C154" t="s">
        <v>4353</v>
      </c>
      <c r="E154" t="s">
        <v>7212</v>
      </c>
      <c r="F154" s="8" t="s">
        <v>9270</v>
      </c>
      <c r="G154" t="s">
        <v>6877</v>
      </c>
      <c r="H154">
        <v>1</v>
      </c>
      <c r="I154" t="str">
        <f t="shared" si="2"/>
        <v>('CGM-PH-153','celular','','MOTOROLA G23','353417141763648','OCUPADO',1),</v>
      </c>
    </row>
    <row r="155" spans="1:9" x14ac:dyDescent="0.25">
      <c r="A155">
        <v>154</v>
      </c>
      <c r="B155" t="s">
        <v>7030</v>
      </c>
      <c r="C155" t="s">
        <v>4353</v>
      </c>
      <c r="E155" t="s">
        <v>7215</v>
      </c>
      <c r="F155" s="8" t="s">
        <v>9271</v>
      </c>
      <c r="G155" t="s">
        <v>6877</v>
      </c>
      <c r="H155">
        <v>1</v>
      </c>
      <c r="I155" t="str">
        <f t="shared" si="2"/>
        <v>('CGM-PH-154','celular','','MOTOROLA G53 5G','352295692343056','OCUPADO',1),</v>
      </c>
    </row>
    <row r="156" spans="1:9" x14ac:dyDescent="0.25">
      <c r="A156">
        <v>155</v>
      </c>
      <c r="B156" t="s">
        <v>7031</v>
      </c>
      <c r="C156" t="s">
        <v>4353</v>
      </c>
      <c r="E156" t="s">
        <v>7216</v>
      </c>
      <c r="F156" s="8" t="s">
        <v>9272</v>
      </c>
      <c r="G156" t="s">
        <v>6877</v>
      </c>
      <c r="H156">
        <v>1</v>
      </c>
      <c r="I156" t="str">
        <f t="shared" si="2"/>
        <v>('CGM-PH-155','celular','','MOTOROLA G54 5G','354964995777223','OCUPADO',1),</v>
      </c>
    </row>
    <row r="157" spans="1:9" x14ac:dyDescent="0.25">
      <c r="A157">
        <v>156</v>
      </c>
      <c r="B157" t="s">
        <v>7032</v>
      </c>
      <c r="C157" t="s">
        <v>4353</v>
      </c>
      <c r="E157" t="s">
        <v>7215</v>
      </c>
      <c r="F157" s="8" t="s">
        <v>9273</v>
      </c>
      <c r="G157" t="s">
        <v>6877</v>
      </c>
      <c r="H157">
        <v>1</v>
      </c>
      <c r="I157" t="str">
        <f t="shared" si="2"/>
        <v>('CGM-PH-156','celular','','MOTOROLA G53 5G','352295692341076','OCUPADO',1),</v>
      </c>
    </row>
    <row r="158" spans="1:9" x14ac:dyDescent="0.25">
      <c r="A158">
        <v>157</v>
      </c>
      <c r="B158" t="s">
        <v>7033</v>
      </c>
      <c r="C158" t="s">
        <v>4353</v>
      </c>
      <c r="E158" t="s">
        <v>7212</v>
      </c>
      <c r="F158" s="8" t="s">
        <v>9274</v>
      </c>
      <c r="G158" t="s">
        <v>6877</v>
      </c>
      <c r="H158">
        <v>1</v>
      </c>
      <c r="I158" t="str">
        <f t="shared" si="2"/>
        <v>('CGM-PH-157','celular','','MOTOROLA G23','353417140867614','OCUPADO',1),</v>
      </c>
    </row>
    <row r="159" spans="1:9" x14ac:dyDescent="0.25">
      <c r="A159">
        <v>158</v>
      </c>
      <c r="B159" t="s">
        <v>7034</v>
      </c>
      <c r="C159" t="s">
        <v>4353</v>
      </c>
      <c r="E159" t="s">
        <v>7229</v>
      </c>
      <c r="F159" s="8" t="s">
        <v>9275</v>
      </c>
      <c r="G159" t="s">
        <v>6877</v>
      </c>
      <c r="H159">
        <v>1</v>
      </c>
      <c r="I159" t="str">
        <f t="shared" si="2"/>
        <v>('CGM-PH-158','celular','','SAMSUNG A12','351374434319020','OCUPADO',1),</v>
      </c>
    </row>
    <row r="160" spans="1:9" x14ac:dyDescent="0.25">
      <c r="A160">
        <v>159</v>
      </c>
      <c r="B160" t="s">
        <v>7035</v>
      </c>
      <c r="C160" t="s">
        <v>4353</v>
      </c>
      <c r="E160" t="s">
        <v>7212</v>
      </c>
      <c r="F160" s="8" t="s">
        <v>9276</v>
      </c>
      <c r="G160" t="s">
        <v>6877</v>
      </c>
      <c r="H160">
        <v>1</v>
      </c>
      <c r="I160" t="str">
        <f t="shared" si="2"/>
        <v>('CGM-PH-159','celular','','MOTOROLA G23','353417140858142','OCUPADO',1),</v>
      </c>
    </row>
    <row r="161" spans="1:9" x14ac:dyDescent="0.25">
      <c r="A161">
        <v>160</v>
      </c>
      <c r="B161" t="s">
        <v>7036</v>
      </c>
      <c r="C161" t="s">
        <v>4353</v>
      </c>
      <c r="E161" t="s">
        <v>7222</v>
      </c>
      <c r="F161" s="8" t="s">
        <v>9277</v>
      </c>
      <c r="G161" t="s">
        <v>6877</v>
      </c>
      <c r="H161">
        <v>1</v>
      </c>
      <c r="I161" t="str">
        <f t="shared" si="2"/>
        <v>('CGM-PH-160','celular','','REDMI NOTE 11 PRO','863183062395421','OCUPADO',1),</v>
      </c>
    </row>
    <row r="162" spans="1:9" x14ac:dyDescent="0.25">
      <c r="A162">
        <v>161</v>
      </c>
      <c r="B162" t="s">
        <v>7037</v>
      </c>
      <c r="C162" t="s">
        <v>4353</v>
      </c>
      <c r="E162" t="s">
        <v>7216</v>
      </c>
      <c r="F162" s="8" t="s">
        <v>9278</v>
      </c>
      <c r="G162" t="s">
        <v>6877</v>
      </c>
      <c r="H162">
        <v>1</v>
      </c>
      <c r="I162" t="str">
        <f t="shared" si="2"/>
        <v>('CGM-PH-161','celular','','MOTOROLA G54 5G','354964996480991','OCUPADO',1),</v>
      </c>
    </row>
    <row r="163" spans="1:9" x14ac:dyDescent="0.25">
      <c r="A163">
        <v>162</v>
      </c>
      <c r="B163" t="s">
        <v>7038</v>
      </c>
      <c r="C163" t="s">
        <v>4353</v>
      </c>
      <c r="E163" t="s">
        <v>7216</v>
      </c>
      <c r="F163" s="8" t="s">
        <v>9279</v>
      </c>
      <c r="G163" t="s">
        <v>6877</v>
      </c>
      <c r="H163">
        <v>1</v>
      </c>
      <c r="I163" t="str">
        <f t="shared" si="2"/>
        <v>('CGM-PH-162','celular','','MOTOROLA G54 5G','354964996480314','OCUPADO',1),</v>
      </c>
    </row>
    <row r="164" spans="1:9" x14ac:dyDescent="0.25">
      <c r="A164">
        <v>163</v>
      </c>
      <c r="B164" t="s">
        <v>7039</v>
      </c>
      <c r="C164" t="s">
        <v>4353</v>
      </c>
      <c r="E164" t="s">
        <v>7222</v>
      </c>
      <c r="F164" s="8" t="s">
        <v>9280</v>
      </c>
      <c r="G164" t="s">
        <v>6877</v>
      </c>
      <c r="H164">
        <v>1</v>
      </c>
      <c r="I164" t="str">
        <f t="shared" si="2"/>
        <v>('CGM-PH-163','celular','','REDMI NOTE 11 PRO','863837058787186','OCUPADO',1),</v>
      </c>
    </row>
    <row r="165" spans="1:9" x14ac:dyDescent="0.25">
      <c r="A165">
        <v>164</v>
      </c>
      <c r="B165" t="s">
        <v>7040</v>
      </c>
      <c r="C165" t="s">
        <v>4353</v>
      </c>
      <c r="E165" t="s">
        <v>7234</v>
      </c>
      <c r="F165" s="8" t="s">
        <v>9281</v>
      </c>
      <c r="G165" t="s">
        <v>6877</v>
      </c>
      <c r="H165">
        <v>1</v>
      </c>
      <c r="I165" t="str">
        <f t="shared" si="2"/>
        <v>('CGM-PH-164','celular','','XIAOMI REDMI NOTE 11S','863837054075024','OCUPADO',1),</v>
      </c>
    </row>
    <row r="166" spans="1:9" x14ac:dyDescent="0.25">
      <c r="A166">
        <v>165</v>
      </c>
      <c r="B166" t="s">
        <v>7041</v>
      </c>
      <c r="C166" t="s">
        <v>4353</v>
      </c>
      <c r="E166" t="s">
        <v>7234</v>
      </c>
      <c r="F166" s="8" t="s">
        <v>9282</v>
      </c>
      <c r="G166" t="s">
        <v>6877</v>
      </c>
      <c r="H166">
        <v>1</v>
      </c>
      <c r="I166" t="str">
        <f t="shared" si="2"/>
        <v>('CGM-PH-165','celular','','XIAOMI REDMI NOTE 11S','863837053842366','OCUPADO',1),</v>
      </c>
    </row>
    <row r="167" spans="1:9" x14ac:dyDescent="0.25">
      <c r="A167">
        <v>166</v>
      </c>
      <c r="B167" t="s">
        <v>7042</v>
      </c>
      <c r="C167" t="s">
        <v>4353</v>
      </c>
      <c r="E167" t="s">
        <v>7213</v>
      </c>
      <c r="F167" s="8" t="s">
        <v>9283</v>
      </c>
      <c r="G167" t="s">
        <v>6877</v>
      </c>
      <c r="H167">
        <v>1</v>
      </c>
      <c r="I167" t="str">
        <f t="shared" si="2"/>
        <v>('CGM-PH-166','celular','','MOTOROLA G24 POWER','353270601069083','OCUPADO',1),</v>
      </c>
    </row>
    <row r="168" spans="1:9" x14ac:dyDescent="0.25">
      <c r="A168">
        <v>167</v>
      </c>
      <c r="B168" t="s">
        <v>7043</v>
      </c>
      <c r="C168" t="s">
        <v>4353</v>
      </c>
      <c r="E168" t="s">
        <v>7212</v>
      </c>
      <c r="F168" s="8" t="s">
        <v>9284</v>
      </c>
      <c r="G168" t="s">
        <v>6877</v>
      </c>
      <c r="H168">
        <v>1</v>
      </c>
      <c r="I168" t="str">
        <f t="shared" si="2"/>
        <v>('CGM-PH-167','celular','','MOTOROLA G23','353417140858217','OCUPADO',1),</v>
      </c>
    </row>
    <row r="169" spans="1:9" x14ac:dyDescent="0.25">
      <c r="A169">
        <v>168</v>
      </c>
      <c r="B169" t="s">
        <v>7044</v>
      </c>
      <c r="C169" t="s">
        <v>4353</v>
      </c>
      <c r="E169" t="s">
        <v>7216</v>
      </c>
      <c r="F169" s="8" t="s">
        <v>9285</v>
      </c>
      <c r="G169" t="s">
        <v>6877</v>
      </c>
      <c r="H169">
        <v>1</v>
      </c>
      <c r="I169" t="str">
        <f t="shared" si="2"/>
        <v>('CGM-PH-168','celular','','MOTOROLA G54 5G','354964996481221','OCUPADO',1),</v>
      </c>
    </row>
    <row r="170" spans="1:9" x14ac:dyDescent="0.25">
      <c r="A170">
        <v>169</v>
      </c>
      <c r="B170" t="s">
        <v>7045</v>
      </c>
      <c r="C170" t="s">
        <v>4353</v>
      </c>
      <c r="E170" t="s">
        <v>7212</v>
      </c>
      <c r="F170" s="8" t="s">
        <v>9286</v>
      </c>
      <c r="G170" t="s">
        <v>6877</v>
      </c>
      <c r="H170">
        <v>1</v>
      </c>
      <c r="I170" t="str">
        <f t="shared" si="2"/>
        <v>('CGM-PH-169','celular','','MOTOROLA G23','353417142347920','OCUPADO',1),</v>
      </c>
    </row>
    <row r="171" spans="1:9" x14ac:dyDescent="0.25">
      <c r="A171">
        <v>170</v>
      </c>
      <c r="B171" t="s">
        <v>7046</v>
      </c>
      <c r="C171" t="s">
        <v>4353</v>
      </c>
      <c r="E171" t="s">
        <v>7222</v>
      </c>
      <c r="F171" s="8" t="s">
        <v>9287</v>
      </c>
      <c r="G171" t="s">
        <v>6877</v>
      </c>
      <c r="H171">
        <v>1</v>
      </c>
      <c r="I171" t="str">
        <f t="shared" si="2"/>
        <v>('CGM-PH-170','celular','','REDMI NOTE 11 PRO','863183062850060','OCUPADO',1),</v>
      </c>
    </row>
    <row r="172" spans="1:9" x14ac:dyDescent="0.25">
      <c r="A172">
        <v>171</v>
      </c>
      <c r="B172" t="s">
        <v>7047</v>
      </c>
      <c r="C172" t="s">
        <v>4353</v>
      </c>
      <c r="E172" t="s">
        <v>7213</v>
      </c>
      <c r="F172" s="8" t="s">
        <v>9288</v>
      </c>
      <c r="G172" t="s">
        <v>6877</v>
      </c>
      <c r="H172">
        <v>1</v>
      </c>
      <c r="I172" t="str">
        <f t="shared" si="2"/>
        <v>('CGM-PH-171','celular','','MOTOROLA G24 POWER','353270601081229','OCUPADO',1),</v>
      </c>
    </row>
    <row r="173" spans="1:9" x14ac:dyDescent="0.25">
      <c r="A173">
        <v>172</v>
      </c>
      <c r="B173" t="s">
        <v>7048</v>
      </c>
      <c r="C173" t="s">
        <v>4353</v>
      </c>
      <c r="E173" t="s">
        <v>7213</v>
      </c>
      <c r="F173" s="8" t="s">
        <v>9289</v>
      </c>
      <c r="G173" t="s">
        <v>6877</v>
      </c>
      <c r="H173">
        <v>1</v>
      </c>
      <c r="I173" t="str">
        <f t="shared" si="2"/>
        <v>('CGM-PH-172','celular','','MOTOROLA G24 POWER','353270601081682','OCUPADO',1),</v>
      </c>
    </row>
    <row r="174" spans="1:9" x14ac:dyDescent="0.25">
      <c r="A174">
        <v>173</v>
      </c>
      <c r="B174" t="s">
        <v>7049</v>
      </c>
      <c r="C174" t="s">
        <v>4353</v>
      </c>
      <c r="E174" t="s">
        <v>7216</v>
      </c>
      <c r="F174" s="8" t="s">
        <v>9290</v>
      </c>
      <c r="G174" t="s">
        <v>6877</v>
      </c>
      <c r="H174">
        <v>1</v>
      </c>
      <c r="I174" t="str">
        <f t="shared" si="2"/>
        <v>('CGM-PH-173','celular','','MOTOROLA G54 5G','354964996480348','OCUPADO',1),</v>
      </c>
    </row>
    <row r="175" spans="1:9" x14ac:dyDescent="0.25">
      <c r="A175">
        <v>174</v>
      </c>
      <c r="B175" t="s">
        <v>7050</v>
      </c>
      <c r="C175" t="s">
        <v>4353</v>
      </c>
      <c r="E175" t="s">
        <v>7216</v>
      </c>
      <c r="F175" s="8" t="s">
        <v>9291</v>
      </c>
      <c r="G175" t="s">
        <v>6877</v>
      </c>
      <c r="H175">
        <v>1</v>
      </c>
      <c r="I175" t="str">
        <f t="shared" si="2"/>
        <v>('CGM-PH-174','celular','','MOTOROLA G54 5G','354964996480215','OCUPADO',1),</v>
      </c>
    </row>
    <row r="176" spans="1:9" x14ac:dyDescent="0.25">
      <c r="A176">
        <v>175</v>
      </c>
      <c r="B176" t="s">
        <v>7051</v>
      </c>
      <c r="C176" t="s">
        <v>4353</v>
      </c>
      <c r="E176" t="s">
        <v>7216</v>
      </c>
      <c r="F176" s="8" t="s">
        <v>9292</v>
      </c>
      <c r="G176" t="s">
        <v>6877</v>
      </c>
      <c r="H176">
        <v>1</v>
      </c>
      <c r="I176" t="str">
        <f t="shared" si="2"/>
        <v>('CGM-PH-175','celular','','MOTOROLA G54 5G','354964996480918','OCUPADO',1),</v>
      </c>
    </row>
    <row r="177" spans="1:9" x14ac:dyDescent="0.25">
      <c r="A177">
        <v>176</v>
      </c>
      <c r="B177" t="s">
        <v>7052</v>
      </c>
      <c r="C177" t="s">
        <v>4353</v>
      </c>
      <c r="E177" t="s">
        <v>7216</v>
      </c>
      <c r="F177" s="8" t="s">
        <v>9293</v>
      </c>
      <c r="G177" t="s">
        <v>6877</v>
      </c>
      <c r="H177">
        <v>1</v>
      </c>
      <c r="I177" t="str">
        <f t="shared" si="2"/>
        <v>('CGM-PH-176','celular','','MOTOROLA G54 5G','344964997112064','OCUPADO',1),</v>
      </c>
    </row>
    <row r="178" spans="1:9" x14ac:dyDescent="0.25">
      <c r="A178">
        <v>177</v>
      </c>
      <c r="B178" t="s">
        <v>7053</v>
      </c>
      <c r="C178" t="s">
        <v>4353</v>
      </c>
      <c r="E178" t="s">
        <v>7216</v>
      </c>
      <c r="F178" s="8" t="s">
        <v>9294</v>
      </c>
      <c r="G178" t="s">
        <v>6877</v>
      </c>
      <c r="H178">
        <v>1</v>
      </c>
      <c r="I178" t="str">
        <f t="shared" si="2"/>
        <v>('CGM-PH-177','celular','','MOTOROLA G54 5G','354964997112106','OCUPADO',1),</v>
      </c>
    </row>
    <row r="179" spans="1:9" x14ac:dyDescent="0.25">
      <c r="A179">
        <v>178</v>
      </c>
      <c r="B179" t="s">
        <v>7054</v>
      </c>
      <c r="C179" t="s">
        <v>4353</v>
      </c>
      <c r="E179" t="s">
        <v>7222</v>
      </c>
      <c r="F179" s="8" t="s">
        <v>9295</v>
      </c>
      <c r="G179" t="s">
        <v>6877</v>
      </c>
      <c r="H179">
        <v>1</v>
      </c>
      <c r="I179" t="str">
        <f t="shared" si="2"/>
        <v>('CGM-PH-178','celular','','REDMI NOTE 11 PRO','864451052350642','OCUPADO',1),</v>
      </c>
    </row>
    <row r="180" spans="1:9" x14ac:dyDescent="0.25">
      <c r="A180">
        <v>179</v>
      </c>
      <c r="B180" t="s">
        <v>7055</v>
      </c>
      <c r="C180" t="s">
        <v>4353</v>
      </c>
      <c r="E180" t="s">
        <v>7212</v>
      </c>
      <c r="F180" s="8" t="s">
        <v>9296</v>
      </c>
      <c r="G180" t="s">
        <v>6877</v>
      </c>
      <c r="H180">
        <v>1</v>
      </c>
      <c r="I180" t="str">
        <f t="shared" si="2"/>
        <v>('CGM-PH-179','celular','','MOTOROLA G23','353417140413385','OCUPADO',1),</v>
      </c>
    </row>
    <row r="181" spans="1:9" x14ac:dyDescent="0.25">
      <c r="A181">
        <v>180</v>
      </c>
      <c r="B181" t="s">
        <v>7056</v>
      </c>
      <c r="C181" t="s">
        <v>4353</v>
      </c>
      <c r="E181" t="s">
        <v>7206</v>
      </c>
      <c r="F181" s="8" t="s">
        <v>9297</v>
      </c>
      <c r="G181" t="s">
        <v>6877</v>
      </c>
      <c r="H181">
        <v>1</v>
      </c>
      <c r="I181" t="str">
        <f t="shared" si="2"/>
        <v>('CGM-PH-180','celular','','GALAXY A25 5G','354432552394006','OCUPADO',1),</v>
      </c>
    </row>
    <row r="182" spans="1:9" x14ac:dyDescent="0.25">
      <c r="A182">
        <v>181</v>
      </c>
      <c r="B182" t="s">
        <v>7057</v>
      </c>
      <c r="C182" t="s">
        <v>4353</v>
      </c>
      <c r="E182" t="s">
        <v>7215</v>
      </c>
      <c r="F182" s="8" t="s">
        <v>9298</v>
      </c>
      <c r="G182" t="s">
        <v>6877</v>
      </c>
      <c r="H182">
        <v>1</v>
      </c>
      <c r="I182" t="str">
        <f t="shared" si="2"/>
        <v>('CGM-PH-181','celular','','MOTOROLA G53 5G','352295692343049','OCUPADO',1),</v>
      </c>
    </row>
    <row r="183" spans="1:9" x14ac:dyDescent="0.25">
      <c r="A183">
        <v>182</v>
      </c>
      <c r="B183" t="s">
        <v>7058</v>
      </c>
      <c r="C183" t="s">
        <v>4353</v>
      </c>
      <c r="E183" t="s">
        <v>7215</v>
      </c>
      <c r="F183" s="8" t="s">
        <v>9299</v>
      </c>
      <c r="G183" t="s">
        <v>6877</v>
      </c>
      <c r="H183">
        <v>1</v>
      </c>
      <c r="I183" t="str">
        <f t="shared" si="2"/>
        <v>('CGM-PH-182','celular','','MOTOROLA G53 5G','352295693774614','OCUPADO',1),</v>
      </c>
    </row>
    <row r="184" spans="1:9" x14ac:dyDescent="0.25">
      <c r="A184">
        <v>183</v>
      </c>
      <c r="B184" t="s">
        <v>7059</v>
      </c>
      <c r="C184" t="s">
        <v>4353</v>
      </c>
      <c r="E184" t="s">
        <v>7216</v>
      </c>
      <c r="F184" s="8" t="s">
        <v>9300</v>
      </c>
      <c r="G184" t="s">
        <v>6877</v>
      </c>
      <c r="H184">
        <v>1</v>
      </c>
      <c r="I184" t="str">
        <f t="shared" si="2"/>
        <v>('CGM-PH-183','celular','','MOTOROLA G54 5G','354964997112056','OCUPADO',1),</v>
      </c>
    </row>
    <row r="185" spans="1:9" x14ac:dyDescent="0.25">
      <c r="A185">
        <v>184</v>
      </c>
      <c r="B185" t="s">
        <v>7060</v>
      </c>
      <c r="C185" t="s">
        <v>4353</v>
      </c>
      <c r="E185" t="s">
        <v>7232</v>
      </c>
      <c r="F185" s="8" t="s">
        <v>9301</v>
      </c>
      <c r="G185" t="s">
        <v>6877</v>
      </c>
      <c r="H185">
        <v>1</v>
      </c>
      <c r="I185" t="str">
        <f t="shared" si="2"/>
        <v>('CGM-PH-184','celular','','XIAOMI REDMI NOTE 10 PRO','863600056458667','OCUPADO',1),</v>
      </c>
    </row>
    <row r="186" spans="1:9" x14ac:dyDescent="0.25">
      <c r="A186">
        <v>185</v>
      </c>
      <c r="B186" t="s">
        <v>7061</v>
      </c>
      <c r="C186" t="s">
        <v>4353</v>
      </c>
      <c r="E186" t="s">
        <v>7216</v>
      </c>
      <c r="F186" s="8" t="s">
        <v>9302</v>
      </c>
      <c r="G186" t="s">
        <v>6877</v>
      </c>
      <c r="H186">
        <v>1</v>
      </c>
      <c r="I186" t="str">
        <f t="shared" si="2"/>
        <v>('CGM-PH-185','celular','','MOTOROLA G54 5G','354964997364111','OCUPADO',1),</v>
      </c>
    </row>
    <row r="187" spans="1:9" x14ac:dyDescent="0.25">
      <c r="A187">
        <v>186</v>
      </c>
      <c r="B187" t="s">
        <v>7062</v>
      </c>
      <c r="C187" t="s">
        <v>4353</v>
      </c>
      <c r="E187" t="s">
        <v>7225</v>
      </c>
      <c r="F187" s="8" t="s">
        <v>9303</v>
      </c>
      <c r="G187" t="s">
        <v>6877</v>
      </c>
      <c r="H187">
        <v>1</v>
      </c>
      <c r="I187" t="str">
        <f t="shared" si="2"/>
        <v>('CGM-PH-186','celular','','REDMI NOTE 11S 4G','863837055587266','OCUPADO',1),</v>
      </c>
    </row>
    <row r="188" spans="1:9" x14ac:dyDescent="0.25">
      <c r="A188">
        <v>187</v>
      </c>
      <c r="B188" t="s">
        <v>7063</v>
      </c>
      <c r="C188" t="s">
        <v>4353</v>
      </c>
      <c r="E188" t="s">
        <v>7204</v>
      </c>
      <c r="F188" s="8" t="s">
        <v>9304</v>
      </c>
      <c r="G188" t="s">
        <v>6877</v>
      </c>
      <c r="H188">
        <v>1</v>
      </c>
      <c r="I188" t="str">
        <f t="shared" si="2"/>
        <v>('CGM-PH-187','celular','','GALAXY A14 5G','357494912091703','OCUPADO',1),</v>
      </c>
    </row>
    <row r="189" spans="1:9" x14ac:dyDescent="0.25">
      <c r="A189">
        <v>188</v>
      </c>
      <c r="B189" t="s">
        <v>7064</v>
      </c>
      <c r="C189" t="s">
        <v>4353</v>
      </c>
      <c r="E189" t="s">
        <v>7220</v>
      </c>
      <c r="F189" s="8" t="s">
        <v>9305</v>
      </c>
      <c r="G189" t="s">
        <v>6877</v>
      </c>
      <c r="H189">
        <v>1</v>
      </c>
      <c r="I189" t="str">
        <f t="shared" si="2"/>
        <v>('CGM-PH-188','celular','','REDMI NOTE 10S','861392054633028','OCUPADO',1),</v>
      </c>
    </row>
    <row r="190" spans="1:9" x14ac:dyDescent="0.25">
      <c r="A190">
        <v>189</v>
      </c>
      <c r="B190" t="s">
        <v>7065</v>
      </c>
      <c r="C190" t="s">
        <v>4353</v>
      </c>
      <c r="E190" t="s">
        <v>7205</v>
      </c>
      <c r="F190" s="8" t="s">
        <v>9306</v>
      </c>
      <c r="G190" t="s">
        <v>6877</v>
      </c>
      <c r="H190">
        <v>1</v>
      </c>
      <c r="I190" t="str">
        <f t="shared" si="2"/>
        <v>('CGM-PH-189','celular','','GALAXY A22 5G','358055380957144','OCUPADO',1),</v>
      </c>
    </row>
    <row r="191" spans="1:9" x14ac:dyDescent="0.25">
      <c r="A191">
        <v>190</v>
      </c>
      <c r="B191" t="s">
        <v>7066</v>
      </c>
      <c r="C191" t="s">
        <v>4353</v>
      </c>
      <c r="E191" t="s">
        <v>7206</v>
      </c>
      <c r="F191" s="8" t="s">
        <v>9307</v>
      </c>
      <c r="G191" t="s">
        <v>6877</v>
      </c>
      <c r="H191">
        <v>1</v>
      </c>
      <c r="I191" t="str">
        <f t="shared" si="2"/>
        <v>('CGM-PH-190','celular','','GALAXY A25 5G','354432552375146','OCUPADO',1),</v>
      </c>
    </row>
    <row r="192" spans="1:9" x14ac:dyDescent="0.25">
      <c r="A192">
        <v>191</v>
      </c>
      <c r="B192" t="s">
        <v>7067</v>
      </c>
      <c r="C192" t="s">
        <v>4353</v>
      </c>
      <c r="E192" t="s">
        <v>7206</v>
      </c>
      <c r="F192" s="8" t="s">
        <v>9308</v>
      </c>
      <c r="G192" t="s">
        <v>6877</v>
      </c>
      <c r="H192">
        <v>1</v>
      </c>
      <c r="I192" t="str">
        <f t="shared" si="2"/>
        <v>('CGM-PH-191','celular','','GALAXY A25 5G','354432553071405','OCUPADO',1),</v>
      </c>
    </row>
    <row r="193" spans="1:9" x14ac:dyDescent="0.25">
      <c r="A193">
        <v>192</v>
      </c>
      <c r="B193" t="s">
        <v>7068</v>
      </c>
      <c r="C193" t="s">
        <v>4353</v>
      </c>
      <c r="E193" t="s">
        <v>7222</v>
      </c>
      <c r="F193" s="8" t="s">
        <v>9309</v>
      </c>
      <c r="G193" t="s">
        <v>6877</v>
      </c>
      <c r="H193">
        <v>1</v>
      </c>
      <c r="I193" t="str">
        <f t="shared" si="2"/>
        <v>('CGM-PH-192','celular','','REDMI NOTE 11 PRO','863186063083885','OCUPADO',1),</v>
      </c>
    </row>
    <row r="194" spans="1:9" x14ac:dyDescent="0.25">
      <c r="A194">
        <v>193</v>
      </c>
      <c r="B194" t="s">
        <v>7069</v>
      </c>
      <c r="C194" t="s">
        <v>4353</v>
      </c>
      <c r="E194" t="s">
        <v>7216</v>
      </c>
      <c r="F194" s="8" t="s">
        <v>9310</v>
      </c>
      <c r="G194" t="s">
        <v>6877</v>
      </c>
      <c r="H194">
        <v>1</v>
      </c>
      <c r="I194" t="str">
        <f t="shared" si="2"/>
        <v>('CGM-PH-193','celular','','MOTOROLA G54 5G','352295692872138','OCUPADO',1),</v>
      </c>
    </row>
    <row r="195" spans="1:9" x14ac:dyDescent="0.25">
      <c r="A195">
        <v>194</v>
      </c>
      <c r="B195" t="s">
        <v>7070</v>
      </c>
      <c r="C195" t="s">
        <v>4353</v>
      </c>
      <c r="E195" t="s">
        <v>7222</v>
      </c>
      <c r="F195" s="8" t="s">
        <v>9311</v>
      </c>
      <c r="G195" t="s">
        <v>6877</v>
      </c>
      <c r="H195">
        <v>1</v>
      </c>
      <c r="I195" t="str">
        <f t="shared" ref="I195:I258" si="3">_xlfn.CONCAT("('",B195,"','",C195,"','",D195,"','",E195,"','",F195,"','",G195,"',",H195,"),")</f>
        <v>('CGM-PH-194','celular','','REDMI NOTE 11 PRO','863183062509880','OCUPADO',1),</v>
      </c>
    </row>
    <row r="196" spans="1:9" x14ac:dyDescent="0.25">
      <c r="A196">
        <v>195</v>
      </c>
      <c r="B196" t="s">
        <v>7071</v>
      </c>
      <c r="C196" t="s">
        <v>4353</v>
      </c>
      <c r="E196" t="s">
        <v>7216</v>
      </c>
      <c r="F196" s="8" t="s">
        <v>9312</v>
      </c>
      <c r="G196" t="s">
        <v>6877</v>
      </c>
      <c r="H196">
        <v>1</v>
      </c>
      <c r="I196" t="str">
        <f t="shared" si="3"/>
        <v>('CGM-PH-195','celular','','MOTOROLA G54 5G','354964996480280','OCUPADO',1),</v>
      </c>
    </row>
    <row r="197" spans="1:9" x14ac:dyDescent="0.25">
      <c r="A197">
        <v>196</v>
      </c>
      <c r="B197" t="s">
        <v>7072</v>
      </c>
      <c r="C197" t="s">
        <v>4353</v>
      </c>
      <c r="E197" t="s">
        <v>7210</v>
      </c>
      <c r="F197" s="8" t="s">
        <v>9313</v>
      </c>
      <c r="G197" t="s">
        <v>6877</v>
      </c>
      <c r="H197">
        <v>1</v>
      </c>
      <c r="I197" t="str">
        <f t="shared" si="3"/>
        <v>('CGM-PH-196','celular','','MOTOROLA EDGE 50 FUSION','354612456516479','OCUPADO',1),</v>
      </c>
    </row>
    <row r="198" spans="1:9" x14ac:dyDescent="0.25">
      <c r="A198">
        <v>197</v>
      </c>
      <c r="B198" t="s">
        <v>7073</v>
      </c>
      <c r="C198" t="s">
        <v>4353</v>
      </c>
      <c r="E198" t="s">
        <v>7216</v>
      </c>
      <c r="F198" s="8" t="s">
        <v>9314</v>
      </c>
      <c r="G198" t="s">
        <v>6877</v>
      </c>
      <c r="H198">
        <v>1</v>
      </c>
      <c r="I198" t="str">
        <f t="shared" si="3"/>
        <v>('CGM-PH-197','celular','','MOTOROLA G54 5G','354964997112080','OCUPADO',1),</v>
      </c>
    </row>
    <row r="199" spans="1:9" x14ac:dyDescent="0.25">
      <c r="A199">
        <v>198</v>
      </c>
      <c r="B199" t="s">
        <v>7074</v>
      </c>
      <c r="C199" t="s">
        <v>4353</v>
      </c>
      <c r="E199" t="s">
        <v>7216</v>
      </c>
      <c r="F199" s="8" t="s">
        <v>9315</v>
      </c>
      <c r="G199" t="s">
        <v>6877</v>
      </c>
      <c r="H199">
        <v>1</v>
      </c>
      <c r="I199" t="str">
        <f t="shared" si="3"/>
        <v>('CGM-PH-198','celular','','MOTOROLA G54 5G','354964996483292','OCUPADO',1),</v>
      </c>
    </row>
    <row r="200" spans="1:9" x14ac:dyDescent="0.25">
      <c r="A200">
        <v>199</v>
      </c>
      <c r="B200" t="s">
        <v>7075</v>
      </c>
      <c r="C200" t="s">
        <v>4353</v>
      </c>
      <c r="E200" t="s">
        <v>7206</v>
      </c>
      <c r="F200" s="8" t="s">
        <v>9316</v>
      </c>
      <c r="G200" t="s">
        <v>6877</v>
      </c>
      <c r="H200">
        <v>1</v>
      </c>
      <c r="I200" t="str">
        <f t="shared" si="3"/>
        <v>('CGM-PH-199','celular','','GALAXY A25 5G','354432552374958','OCUPADO',1),</v>
      </c>
    </row>
    <row r="201" spans="1:9" x14ac:dyDescent="0.25">
      <c r="A201">
        <v>200</v>
      </c>
      <c r="B201" t="s">
        <v>7076</v>
      </c>
      <c r="C201" t="s">
        <v>4353</v>
      </c>
      <c r="E201" t="s">
        <v>7210</v>
      </c>
      <c r="F201" s="8" t="s">
        <v>9317</v>
      </c>
      <c r="G201" t="s">
        <v>6877</v>
      </c>
      <c r="H201">
        <v>1</v>
      </c>
      <c r="I201" t="str">
        <f t="shared" si="3"/>
        <v>('CGM-PH-200','celular','','MOTOROLA EDGE 50 FUSION','354612456514599','OCUPADO',1),</v>
      </c>
    </row>
    <row r="202" spans="1:9" x14ac:dyDescent="0.25">
      <c r="A202">
        <v>201</v>
      </c>
      <c r="B202" t="s">
        <v>7077</v>
      </c>
      <c r="C202" t="s">
        <v>4353</v>
      </c>
      <c r="E202" t="s">
        <v>7210</v>
      </c>
      <c r="F202" s="8" t="s">
        <v>9318</v>
      </c>
      <c r="G202" t="s">
        <v>6877</v>
      </c>
      <c r="H202">
        <v>1</v>
      </c>
      <c r="I202" t="str">
        <f t="shared" si="3"/>
        <v>('CGM-PH-201','celular','','MOTOROLA EDGE 50 FUSION','354612456515372','OCUPADO',1),</v>
      </c>
    </row>
    <row r="203" spans="1:9" x14ac:dyDescent="0.25">
      <c r="A203">
        <v>202</v>
      </c>
      <c r="B203" t="s">
        <v>7078</v>
      </c>
      <c r="C203" t="s">
        <v>4353</v>
      </c>
      <c r="E203" t="s">
        <v>7210</v>
      </c>
      <c r="F203" s="8" t="s">
        <v>9319</v>
      </c>
      <c r="G203" t="s">
        <v>6877</v>
      </c>
      <c r="H203">
        <v>1</v>
      </c>
      <c r="I203" t="str">
        <f t="shared" si="3"/>
        <v>('CGM-PH-202','celular','','MOTOROLA EDGE 50 FUSION','354612456518012','OCUPADO',1),</v>
      </c>
    </row>
    <row r="204" spans="1:9" x14ac:dyDescent="0.25">
      <c r="A204">
        <v>203</v>
      </c>
      <c r="B204" t="s">
        <v>7079</v>
      </c>
      <c r="C204" t="s">
        <v>4353</v>
      </c>
      <c r="E204" t="s">
        <v>7216</v>
      </c>
      <c r="F204" s="8" t="s">
        <v>9321</v>
      </c>
      <c r="G204" t="s">
        <v>7517</v>
      </c>
      <c r="H204">
        <v>1</v>
      </c>
      <c r="I204" t="str">
        <f t="shared" si="3"/>
        <v>('CGM-PH-203','celular','','MOTOROLA G54 5G','354964997110522','REEMPLAZAR',1),</v>
      </c>
    </row>
    <row r="205" spans="1:9" x14ac:dyDescent="0.25">
      <c r="A205">
        <v>204</v>
      </c>
      <c r="B205" t="s">
        <v>7080</v>
      </c>
      <c r="C205" t="s">
        <v>4353</v>
      </c>
      <c r="E205" t="s">
        <v>7210</v>
      </c>
      <c r="F205" s="8" t="s">
        <v>9322</v>
      </c>
      <c r="G205" t="s">
        <v>7517</v>
      </c>
      <c r="H205">
        <v>1</v>
      </c>
      <c r="I205" t="str">
        <f t="shared" si="3"/>
        <v>('CGM-PH-204','celular','','MOTOROLA EDGE 50 FUSION','354612456525736','REEMPLAZAR',1),</v>
      </c>
    </row>
    <row r="206" spans="1:9" x14ac:dyDescent="0.25">
      <c r="A206">
        <v>205</v>
      </c>
      <c r="B206" t="s">
        <v>7081</v>
      </c>
      <c r="C206" t="s">
        <v>4353</v>
      </c>
      <c r="E206" t="s">
        <v>7211</v>
      </c>
      <c r="F206" s="8" t="s">
        <v>9323</v>
      </c>
      <c r="G206" t="s">
        <v>6877</v>
      </c>
      <c r="H206">
        <v>1</v>
      </c>
      <c r="I206" t="str">
        <f t="shared" si="3"/>
        <v>('CGM-PH-205','celular','','MOTOROLA G 54 POWER','354964996498449','OCUPADO',1),</v>
      </c>
    </row>
    <row r="207" spans="1:9" x14ac:dyDescent="0.25">
      <c r="A207">
        <v>206</v>
      </c>
      <c r="B207" t="s">
        <v>7082</v>
      </c>
      <c r="C207" t="s">
        <v>4353</v>
      </c>
      <c r="E207" t="s">
        <v>7212</v>
      </c>
      <c r="F207" s="8" t="s">
        <v>9324</v>
      </c>
      <c r="G207" t="s">
        <v>6877</v>
      </c>
      <c r="H207">
        <v>1</v>
      </c>
      <c r="I207" t="str">
        <f t="shared" si="3"/>
        <v>('CGM-PH-206','celular','','MOTOROLA G23','353417141760990','OCUPADO',1),</v>
      </c>
    </row>
    <row r="208" spans="1:9" x14ac:dyDescent="0.25">
      <c r="A208">
        <v>207</v>
      </c>
      <c r="B208" t="s">
        <v>7083</v>
      </c>
      <c r="C208" t="s">
        <v>4353</v>
      </c>
      <c r="E208" t="s">
        <v>7212</v>
      </c>
      <c r="F208" s="8" t="s">
        <v>9325</v>
      </c>
      <c r="G208" t="s">
        <v>7517</v>
      </c>
      <c r="H208">
        <v>1</v>
      </c>
      <c r="I208" t="str">
        <f t="shared" si="3"/>
        <v>('CGM-PH-207','celular','','MOTOROLA G23','353417142348019','REEMPLAZAR',1),</v>
      </c>
    </row>
    <row r="209" spans="1:9" x14ac:dyDescent="0.25">
      <c r="A209">
        <v>208</v>
      </c>
      <c r="B209" t="s">
        <v>7084</v>
      </c>
      <c r="C209" t="s">
        <v>4353</v>
      </c>
      <c r="E209" t="s">
        <v>7222</v>
      </c>
      <c r="F209" s="8" t="s">
        <v>9326</v>
      </c>
      <c r="G209" t="s">
        <v>7517</v>
      </c>
      <c r="H209">
        <v>1</v>
      </c>
      <c r="I209" t="str">
        <f t="shared" si="3"/>
        <v>('CGM-PH-208','celular','','REDMI NOTE 11 PRO','863183062853585','REEMPLAZAR',1),</v>
      </c>
    </row>
    <row r="210" spans="1:9" x14ac:dyDescent="0.25">
      <c r="A210">
        <v>209</v>
      </c>
      <c r="B210" t="s">
        <v>7085</v>
      </c>
      <c r="C210" t="s">
        <v>4353</v>
      </c>
      <c r="E210" t="s">
        <v>7222</v>
      </c>
      <c r="F210" s="8" t="s">
        <v>9327</v>
      </c>
      <c r="G210" t="s">
        <v>7517</v>
      </c>
      <c r="H210">
        <v>1</v>
      </c>
      <c r="I210" t="str">
        <f t="shared" si="3"/>
        <v>('CGM-PH-209','celular','','REDMI NOTE 11 PRO','863183063035240','REEMPLAZAR',1),</v>
      </c>
    </row>
    <row r="211" spans="1:9" x14ac:dyDescent="0.25">
      <c r="A211">
        <v>210</v>
      </c>
      <c r="B211" t="s">
        <v>7086</v>
      </c>
      <c r="C211" t="s">
        <v>4353</v>
      </c>
      <c r="E211" t="s">
        <v>7210</v>
      </c>
      <c r="F211" s="8" t="s">
        <v>9328</v>
      </c>
      <c r="G211" t="s">
        <v>6877</v>
      </c>
      <c r="H211">
        <v>1</v>
      </c>
      <c r="I211" t="str">
        <f t="shared" si="3"/>
        <v>('CGM-PH-210','celular','','MOTOROLA EDGE 50 FUSION','354612456524770','OCUPADO',1),</v>
      </c>
    </row>
    <row r="212" spans="1:9" x14ac:dyDescent="0.25">
      <c r="A212">
        <v>211</v>
      </c>
      <c r="B212" t="s">
        <v>7087</v>
      </c>
      <c r="C212" t="s">
        <v>4353</v>
      </c>
      <c r="E212" t="s">
        <v>7213</v>
      </c>
      <c r="F212" s="8" t="s">
        <v>9329</v>
      </c>
      <c r="G212" t="s">
        <v>6877</v>
      </c>
      <c r="H212">
        <v>1</v>
      </c>
      <c r="I212" t="str">
        <f t="shared" si="3"/>
        <v>('CGM-PH-211','celular','','MOTOROLA G24 POWER','353270601057724','OCUPADO',1),</v>
      </c>
    </row>
    <row r="213" spans="1:9" x14ac:dyDescent="0.25">
      <c r="A213">
        <v>212</v>
      </c>
      <c r="B213" t="s">
        <v>7088</v>
      </c>
      <c r="C213" t="s">
        <v>4353</v>
      </c>
      <c r="E213" t="s">
        <v>7222</v>
      </c>
      <c r="F213" s="8" t="s">
        <v>9330</v>
      </c>
      <c r="G213" t="s">
        <v>6877</v>
      </c>
      <c r="H213">
        <v>1</v>
      </c>
      <c r="I213" t="str">
        <f t="shared" si="3"/>
        <v>('CGM-PH-212','celular','','REDMI NOTE 11 PRO','863183063103147','OCUPADO',1),</v>
      </c>
    </row>
    <row r="214" spans="1:9" x14ac:dyDescent="0.25">
      <c r="A214">
        <v>213</v>
      </c>
      <c r="B214" t="s">
        <v>7089</v>
      </c>
      <c r="C214" t="s">
        <v>4353</v>
      </c>
      <c r="E214" t="s">
        <v>7222</v>
      </c>
      <c r="F214" s="8" t="s">
        <v>9331</v>
      </c>
      <c r="G214" t="s">
        <v>6877</v>
      </c>
      <c r="H214">
        <v>1</v>
      </c>
      <c r="I214" t="str">
        <f t="shared" si="3"/>
        <v>('CGM-PH-213','celular','','REDMI NOTE 11 PRO','863183062462585','OCUPADO',1),</v>
      </c>
    </row>
    <row r="215" spans="1:9" x14ac:dyDescent="0.25">
      <c r="A215">
        <v>214</v>
      </c>
      <c r="B215" t="s">
        <v>7090</v>
      </c>
      <c r="C215" t="s">
        <v>4353</v>
      </c>
      <c r="E215" t="s">
        <v>7214</v>
      </c>
      <c r="F215" s="8" t="s">
        <v>9332</v>
      </c>
      <c r="G215" t="s">
        <v>6877</v>
      </c>
      <c r="H215">
        <v>1</v>
      </c>
      <c r="I215" t="str">
        <f t="shared" si="3"/>
        <v>('CGM-PH-214','celular','','MOTOROLA G51 5G','355611433707499','OCUPADO',1),</v>
      </c>
    </row>
    <row r="216" spans="1:9" x14ac:dyDescent="0.25">
      <c r="A216">
        <v>215</v>
      </c>
      <c r="B216" t="s">
        <v>7091</v>
      </c>
      <c r="C216" t="s">
        <v>4353</v>
      </c>
      <c r="E216" t="s">
        <v>7222</v>
      </c>
      <c r="F216" s="8" t="s">
        <v>9333</v>
      </c>
      <c r="G216" t="s">
        <v>6877</v>
      </c>
      <c r="H216">
        <v>1</v>
      </c>
      <c r="I216" t="str">
        <f t="shared" si="3"/>
        <v>('CGM-PH-215','celular','','REDMI NOTE 11 PRO','863183063235204','OCUPADO',1),</v>
      </c>
    </row>
    <row r="217" spans="1:9" x14ac:dyDescent="0.25">
      <c r="A217">
        <v>216</v>
      </c>
      <c r="B217" t="s">
        <v>7092</v>
      </c>
      <c r="C217" t="s">
        <v>4353</v>
      </c>
      <c r="E217" t="s">
        <v>7213</v>
      </c>
      <c r="F217" s="8" t="s">
        <v>9334</v>
      </c>
      <c r="G217" t="s">
        <v>6877</v>
      </c>
      <c r="H217">
        <v>1</v>
      </c>
      <c r="I217" t="str">
        <f t="shared" si="3"/>
        <v>('CGM-PH-216','celular','','MOTOROLA G24 POWER','353270601068598','OCUPADO',1),</v>
      </c>
    </row>
    <row r="218" spans="1:9" x14ac:dyDescent="0.25">
      <c r="A218">
        <v>217</v>
      </c>
      <c r="B218" t="s">
        <v>7093</v>
      </c>
      <c r="C218" t="s">
        <v>4353</v>
      </c>
      <c r="E218" t="s">
        <v>7216</v>
      </c>
      <c r="F218" s="8" t="s">
        <v>9335</v>
      </c>
      <c r="G218" t="s">
        <v>6877</v>
      </c>
      <c r="H218">
        <v>1</v>
      </c>
      <c r="I218" t="str">
        <f t="shared" si="3"/>
        <v>('CGM-PH-217','celular','','MOTOROLA G54 5G','354964997110480','OCUPADO',1),</v>
      </c>
    </row>
    <row r="219" spans="1:9" x14ac:dyDescent="0.25">
      <c r="A219">
        <v>218</v>
      </c>
      <c r="B219" t="s">
        <v>7094</v>
      </c>
      <c r="C219" t="s">
        <v>4353</v>
      </c>
      <c r="E219" t="s">
        <v>7216</v>
      </c>
      <c r="F219" s="8" t="s">
        <v>9336</v>
      </c>
      <c r="G219" t="s">
        <v>6877</v>
      </c>
      <c r="H219">
        <v>1</v>
      </c>
      <c r="I219" t="str">
        <f t="shared" si="3"/>
        <v>('CGM-PH-218','celular','','MOTOROLA G54 5G','354964995778700','OCUPADO',1),</v>
      </c>
    </row>
    <row r="220" spans="1:9" x14ac:dyDescent="0.25">
      <c r="A220">
        <v>219</v>
      </c>
      <c r="B220" t="s">
        <v>7095</v>
      </c>
      <c r="C220" t="s">
        <v>4353</v>
      </c>
      <c r="E220" t="s">
        <v>7220</v>
      </c>
      <c r="F220" s="8" t="s">
        <v>9337</v>
      </c>
      <c r="G220" t="s">
        <v>6877</v>
      </c>
      <c r="H220">
        <v>1</v>
      </c>
      <c r="I220" t="str">
        <f t="shared" si="3"/>
        <v>('CGM-PH-219','celular','','REDMI NOTE 10S','861392054789689','OCUPADO',1),</v>
      </c>
    </row>
    <row r="221" spans="1:9" x14ac:dyDescent="0.25">
      <c r="A221">
        <v>220</v>
      </c>
      <c r="B221" t="s">
        <v>7096</v>
      </c>
      <c r="C221" t="s">
        <v>4353</v>
      </c>
      <c r="E221" t="s">
        <v>7216</v>
      </c>
      <c r="F221" s="8" t="s">
        <v>9338</v>
      </c>
      <c r="G221" t="s">
        <v>6877</v>
      </c>
      <c r="H221">
        <v>1</v>
      </c>
      <c r="I221" t="str">
        <f t="shared" si="3"/>
        <v>('CGM-PH-220','celular','','MOTOROLA G54 5G','354964993301331','OCUPADO',1),</v>
      </c>
    </row>
    <row r="222" spans="1:9" x14ac:dyDescent="0.25">
      <c r="A222">
        <v>221</v>
      </c>
      <c r="B222" t="s">
        <v>7097</v>
      </c>
      <c r="C222" t="s">
        <v>4353</v>
      </c>
      <c r="E222" t="s">
        <v>7210</v>
      </c>
      <c r="F222" s="8" t="s">
        <v>9339</v>
      </c>
      <c r="G222" t="s">
        <v>6877</v>
      </c>
      <c r="H222">
        <v>1</v>
      </c>
      <c r="I222" t="str">
        <f t="shared" si="3"/>
        <v>('CGM-PH-221','celular','','MOTOROLA EDGE 50 FUSION','354612456518038','OCUPADO',1),</v>
      </c>
    </row>
    <row r="223" spans="1:9" x14ac:dyDescent="0.25">
      <c r="A223">
        <v>222</v>
      </c>
      <c r="B223" t="s">
        <v>7098</v>
      </c>
      <c r="C223" t="s">
        <v>4353</v>
      </c>
      <c r="E223" t="s">
        <v>7221</v>
      </c>
      <c r="F223" s="8" t="s">
        <v>9340</v>
      </c>
      <c r="G223" t="s">
        <v>6877</v>
      </c>
      <c r="H223">
        <v>1</v>
      </c>
      <c r="I223" t="str">
        <f t="shared" si="3"/>
        <v>('CGM-PH-222','celular','','REDMI NOTE 11','864469067376360','OCUPADO',1),</v>
      </c>
    </row>
    <row r="224" spans="1:9" x14ac:dyDescent="0.25">
      <c r="A224">
        <v>223</v>
      </c>
      <c r="B224" t="s">
        <v>7099</v>
      </c>
      <c r="C224" t="s">
        <v>4353</v>
      </c>
      <c r="E224" t="s">
        <v>7211</v>
      </c>
      <c r="F224" s="8" t="s">
        <v>9341</v>
      </c>
      <c r="G224" t="s">
        <v>6877</v>
      </c>
      <c r="H224">
        <v>1</v>
      </c>
      <c r="I224" t="str">
        <f t="shared" si="3"/>
        <v>('CGM-PH-223','celular','','MOTOROLA G 54 POWER','354964996912233','OCUPADO',1),</v>
      </c>
    </row>
    <row r="225" spans="1:9" x14ac:dyDescent="0.25">
      <c r="A225">
        <v>224</v>
      </c>
      <c r="B225" t="s">
        <v>7100</v>
      </c>
      <c r="C225" t="s">
        <v>4353</v>
      </c>
      <c r="E225" t="s">
        <v>7222</v>
      </c>
      <c r="F225" s="8" t="s">
        <v>9342</v>
      </c>
      <c r="G225" t="s">
        <v>6877</v>
      </c>
      <c r="H225">
        <v>1</v>
      </c>
      <c r="I225" t="str">
        <f t="shared" si="3"/>
        <v>('CGM-PH-224','celular','','REDMI NOTE 11 PRO','863183062830229','OCUPADO',1),</v>
      </c>
    </row>
    <row r="226" spans="1:9" x14ac:dyDescent="0.25">
      <c r="A226">
        <v>225</v>
      </c>
      <c r="B226" t="s">
        <v>7101</v>
      </c>
      <c r="C226" t="s">
        <v>4353</v>
      </c>
      <c r="E226" t="s">
        <v>7214</v>
      </c>
      <c r="F226" s="8" t="s">
        <v>9343</v>
      </c>
      <c r="G226" t="s">
        <v>6877</v>
      </c>
      <c r="H226">
        <v>1</v>
      </c>
      <c r="I226" t="str">
        <f t="shared" si="3"/>
        <v>('CGM-PH-225','celular','','MOTOROLA G51 5G','355611433699589','OCUPADO',1),</v>
      </c>
    </row>
    <row r="227" spans="1:9" x14ac:dyDescent="0.25">
      <c r="A227">
        <v>226</v>
      </c>
      <c r="B227" t="s">
        <v>7102</v>
      </c>
      <c r="C227" t="s">
        <v>4353</v>
      </c>
      <c r="E227" t="s">
        <v>7218</v>
      </c>
      <c r="F227" s="8" t="s">
        <v>9344</v>
      </c>
      <c r="G227" t="s">
        <v>6877</v>
      </c>
      <c r="H227">
        <v>1</v>
      </c>
      <c r="I227" t="str">
        <f t="shared" si="3"/>
        <v>('CGM-PH-226','celular','','POCO X3 NFC','869819052638486','OCUPADO',1),</v>
      </c>
    </row>
    <row r="228" spans="1:9" x14ac:dyDescent="0.25">
      <c r="A228">
        <v>227</v>
      </c>
      <c r="B228" t="s">
        <v>7103</v>
      </c>
      <c r="C228" t="s">
        <v>4353</v>
      </c>
      <c r="E228" t="s">
        <v>7214</v>
      </c>
      <c r="F228" s="8" t="s">
        <v>9345</v>
      </c>
      <c r="G228" t="s">
        <v>6877</v>
      </c>
      <c r="H228">
        <v>1</v>
      </c>
      <c r="I228" t="str">
        <f t="shared" si="3"/>
        <v>('CGM-PH-227','celular','','MOTOROLA G51 5G','355611433707507','OCUPADO',1),</v>
      </c>
    </row>
    <row r="229" spans="1:9" x14ac:dyDescent="0.25">
      <c r="A229">
        <v>228</v>
      </c>
      <c r="B229" t="s">
        <v>7104</v>
      </c>
      <c r="C229" t="s">
        <v>4353</v>
      </c>
      <c r="E229" t="s">
        <v>7224</v>
      </c>
      <c r="F229" s="8" t="s">
        <v>9346</v>
      </c>
      <c r="G229" t="s">
        <v>6877</v>
      </c>
      <c r="H229">
        <v>1</v>
      </c>
      <c r="I229" t="str">
        <f t="shared" si="3"/>
        <v>('CGM-PH-228','celular','','REDMI NOTE 11S','863837056818322','OCUPADO',1),</v>
      </c>
    </row>
    <row r="230" spans="1:9" x14ac:dyDescent="0.25">
      <c r="A230">
        <v>229</v>
      </c>
      <c r="B230" t="s">
        <v>7105</v>
      </c>
      <c r="C230" t="s">
        <v>4353</v>
      </c>
      <c r="E230" t="s">
        <v>7206</v>
      </c>
      <c r="F230" s="8" t="s">
        <v>9347</v>
      </c>
      <c r="G230" t="s">
        <v>6877</v>
      </c>
      <c r="H230">
        <v>1</v>
      </c>
      <c r="I230" t="str">
        <f t="shared" si="3"/>
        <v>('CGM-PH-229','celular','','GALAXY A25 5G','354432553101897','OCUPADO',1),</v>
      </c>
    </row>
    <row r="231" spans="1:9" x14ac:dyDescent="0.25">
      <c r="A231">
        <v>230</v>
      </c>
      <c r="B231" t="s">
        <v>7106</v>
      </c>
      <c r="C231" t="s">
        <v>4353</v>
      </c>
      <c r="E231" t="s">
        <v>7216</v>
      </c>
      <c r="F231" s="8" t="s">
        <v>9348</v>
      </c>
      <c r="G231" t="s">
        <v>6877</v>
      </c>
      <c r="H231">
        <v>1</v>
      </c>
      <c r="I231" t="str">
        <f t="shared" si="3"/>
        <v>('CGM-PH-230','celular','','MOTOROLA G54 5G','354964993726438','OCUPADO',1),</v>
      </c>
    </row>
    <row r="232" spans="1:9" x14ac:dyDescent="0.25">
      <c r="A232">
        <v>231</v>
      </c>
      <c r="B232" t="s">
        <v>7107</v>
      </c>
      <c r="C232" t="s">
        <v>4353</v>
      </c>
      <c r="E232" t="s">
        <v>7217</v>
      </c>
      <c r="F232" s="8" t="s">
        <v>9349</v>
      </c>
      <c r="G232" t="s">
        <v>6877</v>
      </c>
      <c r="H232">
        <v>1</v>
      </c>
      <c r="I232" t="str">
        <f t="shared" si="3"/>
        <v>('CGM-PH-231','celular','','POCO X3','869819053236884','OCUPADO',1),</v>
      </c>
    </row>
    <row r="233" spans="1:9" x14ac:dyDescent="0.25">
      <c r="A233">
        <v>232</v>
      </c>
      <c r="B233" t="s">
        <v>7108</v>
      </c>
      <c r="C233" t="s">
        <v>4353</v>
      </c>
      <c r="E233" t="s">
        <v>7232</v>
      </c>
      <c r="F233" s="8" t="s">
        <v>9350</v>
      </c>
      <c r="G233" t="s">
        <v>6877</v>
      </c>
      <c r="H233">
        <v>1</v>
      </c>
      <c r="I233" t="str">
        <f t="shared" si="3"/>
        <v>('CGM-PH-232','celular','','XIAOMI REDMI NOTE 10 PRO','863600056696829','OCUPADO',1),</v>
      </c>
    </row>
    <row r="234" spans="1:9" x14ac:dyDescent="0.25">
      <c r="A234">
        <v>233</v>
      </c>
      <c r="B234" t="s">
        <v>7109</v>
      </c>
      <c r="C234" t="s">
        <v>4353</v>
      </c>
      <c r="E234" t="s">
        <v>7210</v>
      </c>
      <c r="F234" s="8" t="s">
        <v>9351</v>
      </c>
      <c r="G234" t="s">
        <v>6877</v>
      </c>
      <c r="H234">
        <v>1</v>
      </c>
      <c r="I234" t="str">
        <f t="shared" si="3"/>
        <v>('CGM-PH-233','celular','','MOTOROLA EDGE 50 FUSION','354612456522790','OCUPADO',1),</v>
      </c>
    </row>
    <row r="235" spans="1:9" x14ac:dyDescent="0.25">
      <c r="A235">
        <v>234</v>
      </c>
      <c r="B235" t="s">
        <v>7110</v>
      </c>
      <c r="C235" t="s">
        <v>4353</v>
      </c>
      <c r="E235" t="s">
        <v>7215</v>
      </c>
      <c r="F235" s="8" t="s">
        <v>9352</v>
      </c>
      <c r="G235" t="s">
        <v>6877</v>
      </c>
      <c r="H235">
        <v>1</v>
      </c>
      <c r="I235" t="str">
        <f t="shared" si="3"/>
        <v>('CGM-PH-234','celular','','MOTOROLA G53 5G','352295695399840','OCUPADO',1),</v>
      </c>
    </row>
    <row r="236" spans="1:9" x14ac:dyDescent="0.25">
      <c r="A236">
        <v>235</v>
      </c>
      <c r="B236" t="s">
        <v>7111</v>
      </c>
      <c r="C236" t="s">
        <v>4353</v>
      </c>
      <c r="E236" t="s">
        <v>7215</v>
      </c>
      <c r="F236" s="8" t="s">
        <v>9320</v>
      </c>
      <c r="G236" t="s">
        <v>6877</v>
      </c>
      <c r="H236">
        <v>1</v>
      </c>
      <c r="I236" t="str">
        <f t="shared" si="3"/>
        <v>('CGM-PH-235','celular','','MOTOROLA G53 5G','352295692872187','OCUPADO',1),</v>
      </c>
    </row>
    <row r="237" spans="1:9" x14ac:dyDescent="0.25">
      <c r="A237">
        <v>236</v>
      </c>
      <c r="B237" t="s">
        <v>7112</v>
      </c>
      <c r="C237" t="s">
        <v>4353</v>
      </c>
      <c r="E237" t="s">
        <v>7216</v>
      </c>
      <c r="F237" s="8" t="s">
        <v>9353</v>
      </c>
      <c r="G237" t="s">
        <v>6877</v>
      </c>
      <c r="H237">
        <v>1</v>
      </c>
      <c r="I237" t="str">
        <f t="shared" si="3"/>
        <v>('CGM-PH-236','celular','','MOTOROLA G54 5G','354964996480116','OCUPADO',1),</v>
      </c>
    </row>
    <row r="238" spans="1:9" x14ac:dyDescent="0.25">
      <c r="A238">
        <v>237</v>
      </c>
      <c r="B238" t="s">
        <v>7113</v>
      </c>
      <c r="C238" t="s">
        <v>4353</v>
      </c>
      <c r="E238" t="s">
        <v>7214</v>
      </c>
      <c r="F238" s="8" t="s">
        <v>9354</v>
      </c>
      <c r="G238" t="s">
        <v>6877</v>
      </c>
      <c r="H238">
        <v>1</v>
      </c>
      <c r="I238" t="str">
        <f t="shared" si="3"/>
        <v>('CGM-PH-237','celular','','MOTOROLA G51 5G','355611433707515','OCUPADO',1),</v>
      </c>
    </row>
    <row r="239" spans="1:9" x14ac:dyDescent="0.25">
      <c r="A239">
        <v>238</v>
      </c>
      <c r="B239" t="s">
        <v>7114</v>
      </c>
      <c r="C239" t="s">
        <v>4353</v>
      </c>
      <c r="E239" t="s">
        <v>7220</v>
      </c>
      <c r="F239" s="8" t="s">
        <v>9355</v>
      </c>
      <c r="G239" t="s">
        <v>6877</v>
      </c>
      <c r="H239">
        <v>1</v>
      </c>
      <c r="I239" t="str">
        <f t="shared" si="3"/>
        <v>('CGM-PH-238','celular','','REDMI NOTE 10S','861392054839724','OCUPADO',1),</v>
      </c>
    </row>
    <row r="240" spans="1:9" x14ac:dyDescent="0.25">
      <c r="A240">
        <v>239</v>
      </c>
      <c r="B240" t="s">
        <v>7115</v>
      </c>
      <c r="C240" t="s">
        <v>4353</v>
      </c>
      <c r="E240" t="s">
        <v>7223</v>
      </c>
      <c r="F240" s="8" t="s">
        <v>9356</v>
      </c>
      <c r="G240" t="s">
        <v>6877</v>
      </c>
      <c r="H240">
        <v>1</v>
      </c>
      <c r="I240" t="str">
        <f t="shared" si="3"/>
        <v>('CGM-PH-239','celular','','REDMI NOTE 11 PRO 5G','863183063399067','OCUPADO',1),</v>
      </c>
    </row>
    <row r="241" spans="1:9" x14ac:dyDescent="0.25">
      <c r="A241">
        <v>240</v>
      </c>
      <c r="B241" t="s">
        <v>7116</v>
      </c>
      <c r="C241" t="s">
        <v>4353</v>
      </c>
      <c r="E241" t="s">
        <v>7213</v>
      </c>
      <c r="F241" s="8" t="s">
        <v>9357</v>
      </c>
      <c r="G241" t="s">
        <v>6877</v>
      </c>
      <c r="H241">
        <v>1</v>
      </c>
      <c r="I241" t="str">
        <f t="shared" si="3"/>
        <v>('CGM-PH-240','celular','','MOTOROLA G24 POWER','353270600599510','OCUPADO',1),</v>
      </c>
    </row>
    <row r="242" spans="1:9" x14ac:dyDescent="0.25">
      <c r="A242">
        <v>241</v>
      </c>
      <c r="B242" t="s">
        <v>7117</v>
      </c>
      <c r="C242" t="s">
        <v>4353</v>
      </c>
      <c r="E242" t="s">
        <v>7215</v>
      </c>
      <c r="F242" s="8" t="s">
        <v>9358</v>
      </c>
      <c r="G242" t="s">
        <v>6877</v>
      </c>
      <c r="H242">
        <v>1</v>
      </c>
      <c r="I242" t="str">
        <f t="shared" si="3"/>
        <v>('CGM-PH-241','celular','','MOTOROLA G53 5G','352295692343460','OCUPADO',1),</v>
      </c>
    </row>
    <row r="243" spans="1:9" x14ac:dyDescent="0.25">
      <c r="A243">
        <v>242</v>
      </c>
      <c r="B243" t="s">
        <v>7118</v>
      </c>
      <c r="C243" t="s">
        <v>4353</v>
      </c>
      <c r="E243" t="s">
        <v>7216</v>
      </c>
      <c r="F243" s="8" t="s">
        <v>9359</v>
      </c>
      <c r="G243" t="s">
        <v>6877</v>
      </c>
      <c r="H243">
        <v>1</v>
      </c>
      <c r="I243" t="str">
        <f t="shared" si="3"/>
        <v>('CGM-PH-242','celular','','MOTOROLA G54 5G','354964996498357','OCUPADO',1),</v>
      </c>
    </row>
    <row r="244" spans="1:9" x14ac:dyDescent="0.25">
      <c r="A244">
        <v>243</v>
      </c>
      <c r="B244" t="s">
        <v>7119</v>
      </c>
      <c r="C244" t="s">
        <v>4353</v>
      </c>
      <c r="E244" t="s">
        <v>7212</v>
      </c>
      <c r="F244" s="8" t="s">
        <v>9360</v>
      </c>
      <c r="G244" t="s">
        <v>6877</v>
      </c>
      <c r="H244">
        <v>1</v>
      </c>
      <c r="I244" t="str">
        <f t="shared" si="3"/>
        <v>('CGM-PH-243','celular','','MOTOROLA G23','353417140858241','OCUPADO',1),</v>
      </c>
    </row>
    <row r="245" spans="1:9" x14ac:dyDescent="0.25">
      <c r="A245">
        <v>244</v>
      </c>
      <c r="B245" t="s">
        <v>7120</v>
      </c>
      <c r="C245" t="s">
        <v>4353</v>
      </c>
      <c r="E245" t="s">
        <v>7232</v>
      </c>
      <c r="F245" s="8" t="s">
        <v>9361</v>
      </c>
      <c r="G245" t="s">
        <v>6877</v>
      </c>
      <c r="H245">
        <v>1</v>
      </c>
      <c r="I245" t="str">
        <f t="shared" si="3"/>
        <v>('CGM-PH-244','celular','','XIAOMI REDMI NOTE 10 PRO','863600056927406','OCUPADO',1),</v>
      </c>
    </row>
    <row r="246" spans="1:9" x14ac:dyDescent="0.25">
      <c r="A246">
        <v>245</v>
      </c>
      <c r="B246" t="s">
        <v>7121</v>
      </c>
      <c r="C246" t="s">
        <v>4353</v>
      </c>
      <c r="E246" t="s">
        <v>7224</v>
      </c>
      <c r="F246" s="8" t="s">
        <v>9362</v>
      </c>
      <c r="G246" t="s">
        <v>6877</v>
      </c>
      <c r="H246">
        <v>1</v>
      </c>
      <c r="I246" t="str">
        <f t="shared" si="3"/>
        <v>('CGM-PH-245','celular','','REDMI NOTE 11S','863837055544382','OCUPADO',1),</v>
      </c>
    </row>
    <row r="247" spans="1:9" x14ac:dyDescent="0.25">
      <c r="A247">
        <v>246</v>
      </c>
      <c r="B247" t="s">
        <v>7122</v>
      </c>
      <c r="C247" t="s">
        <v>4353</v>
      </c>
      <c r="E247" t="s">
        <v>7234</v>
      </c>
      <c r="F247" s="8" t="s">
        <v>9363</v>
      </c>
      <c r="G247" t="s">
        <v>6877</v>
      </c>
      <c r="H247">
        <v>1</v>
      </c>
      <c r="I247" t="str">
        <f t="shared" si="3"/>
        <v>('CGM-PH-246','celular','','XIAOMI REDMI NOTE 11S','864469066727985','OCUPADO',1),</v>
      </c>
    </row>
    <row r="248" spans="1:9" x14ac:dyDescent="0.25">
      <c r="A248">
        <v>247</v>
      </c>
      <c r="B248" t="s">
        <v>7123</v>
      </c>
      <c r="C248" t="s">
        <v>4353</v>
      </c>
      <c r="E248" t="s">
        <v>7221</v>
      </c>
      <c r="F248" s="8" t="s">
        <v>9364</v>
      </c>
      <c r="G248" t="s">
        <v>6877</v>
      </c>
      <c r="H248">
        <v>1</v>
      </c>
      <c r="I248" t="str">
        <f t="shared" si="3"/>
        <v>('CGM-PH-247','celular','','REDMI NOTE 11','864469066720949','OCUPADO',1),</v>
      </c>
    </row>
    <row r="249" spans="1:9" x14ac:dyDescent="0.25">
      <c r="A249">
        <v>248</v>
      </c>
      <c r="B249" t="s">
        <v>7124</v>
      </c>
      <c r="C249" t="s">
        <v>4353</v>
      </c>
      <c r="E249" t="s">
        <v>7222</v>
      </c>
      <c r="F249" s="8" t="s">
        <v>9365</v>
      </c>
      <c r="G249" t="s">
        <v>6877</v>
      </c>
      <c r="H249">
        <v>1</v>
      </c>
      <c r="I249" t="str">
        <f t="shared" si="3"/>
        <v>('CGM-PH-248','celular','','REDMI NOTE 11 PRO','863183063077549','OCUPADO',1),</v>
      </c>
    </row>
    <row r="250" spans="1:9" x14ac:dyDescent="0.25">
      <c r="A250">
        <v>249</v>
      </c>
      <c r="B250" t="s">
        <v>7125</v>
      </c>
      <c r="C250" t="s">
        <v>4353</v>
      </c>
      <c r="E250" t="s">
        <v>7216</v>
      </c>
      <c r="F250" s="8" t="s">
        <v>9366</v>
      </c>
      <c r="G250" t="s">
        <v>6877</v>
      </c>
      <c r="H250">
        <v>1</v>
      </c>
      <c r="I250" t="str">
        <f t="shared" si="3"/>
        <v>('CGM-PH-249','celular','','MOTOROLA G54 5G','354964996498423','OCUPADO',1),</v>
      </c>
    </row>
    <row r="251" spans="1:9" x14ac:dyDescent="0.25">
      <c r="A251">
        <v>250</v>
      </c>
      <c r="B251" t="s">
        <v>7126</v>
      </c>
      <c r="C251" t="s">
        <v>4353</v>
      </c>
      <c r="E251" t="s">
        <v>7213</v>
      </c>
      <c r="F251" s="8" t="s">
        <v>9367</v>
      </c>
      <c r="G251" t="s">
        <v>6877</v>
      </c>
      <c r="H251">
        <v>1</v>
      </c>
      <c r="I251" t="str">
        <f t="shared" si="3"/>
        <v>('CGM-PH-250','celular','','MOTOROLA G24 POWER','353270601090469','OCUPADO',1),</v>
      </c>
    </row>
    <row r="252" spans="1:9" x14ac:dyDescent="0.25">
      <c r="A252">
        <v>251</v>
      </c>
      <c r="B252" t="s">
        <v>7127</v>
      </c>
      <c r="C252" t="s">
        <v>4353</v>
      </c>
      <c r="E252" t="s">
        <v>7216</v>
      </c>
      <c r="F252" s="8" t="s">
        <v>9368</v>
      </c>
      <c r="G252" t="s">
        <v>6877</v>
      </c>
      <c r="H252">
        <v>1</v>
      </c>
      <c r="I252" t="str">
        <f t="shared" si="3"/>
        <v>('CGM-PH-251','celular','','MOTOROLA G54 5G','354964997325765','OCUPADO',1),</v>
      </c>
    </row>
    <row r="253" spans="1:9" x14ac:dyDescent="0.25">
      <c r="A253">
        <v>252</v>
      </c>
      <c r="B253" t="s">
        <v>7128</v>
      </c>
      <c r="C253" t="s">
        <v>4353</v>
      </c>
      <c r="E253" t="s">
        <v>7210</v>
      </c>
      <c r="F253" s="8" t="s">
        <v>9369</v>
      </c>
      <c r="G253" t="s">
        <v>6877</v>
      </c>
      <c r="H253">
        <v>1</v>
      </c>
      <c r="I253" t="str">
        <f t="shared" si="3"/>
        <v>('CGM-PH-252','celular','','MOTOROLA EDGE 50 FUSION','354612458076357','OCUPADO',1),</v>
      </c>
    </row>
    <row r="254" spans="1:9" x14ac:dyDescent="0.25">
      <c r="A254">
        <v>253</v>
      </c>
      <c r="B254" t="s">
        <v>7129</v>
      </c>
      <c r="C254" t="s">
        <v>4353</v>
      </c>
      <c r="E254" t="s">
        <v>7216</v>
      </c>
      <c r="F254" s="8" t="s">
        <v>9370</v>
      </c>
      <c r="G254" t="s">
        <v>6877</v>
      </c>
      <c r="H254">
        <v>1</v>
      </c>
      <c r="I254" t="str">
        <f t="shared" si="3"/>
        <v>('CGM-PH-253','celular','','MOTOROLA G54 5G','354964996481197','OCUPADO',1),</v>
      </c>
    </row>
    <row r="255" spans="1:9" x14ac:dyDescent="0.25">
      <c r="A255">
        <v>254</v>
      </c>
      <c r="B255" t="s">
        <v>7130</v>
      </c>
      <c r="C255" t="s">
        <v>4353</v>
      </c>
      <c r="E255" t="s">
        <v>7206</v>
      </c>
      <c r="F255" s="8" t="s">
        <v>9371</v>
      </c>
      <c r="G255" t="s">
        <v>6877</v>
      </c>
      <c r="H255">
        <v>1</v>
      </c>
      <c r="I255" t="str">
        <f t="shared" si="3"/>
        <v>('CGM-PH-254','celular','','GALAXY A25 5G','354432552789353','OCUPADO',1),</v>
      </c>
    </row>
    <row r="256" spans="1:9" x14ac:dyDescent="0.25">
      <c r="A256">
        <v>255</v>
      </c>
      <c r="B256" t="s">
        <v>7131</v>
      </c>
      <c r="C256" t="s">
        <v>4353</v>
      </c>
      <c r="E256" t="s">
        <v>7206</v>
      </c>
      <c r="F256" s="8" t="s">
        <v>9372</v>
      </c>
      <c r="G256" t="s">
        <v>6877</v>
      </c>
      <c r="H256">
        <v>1</v>
      </c>
      <c r="I256" t="str">
        <f t="shared" si="3"/>
        <v>('CGM-PH-255','celular','','GALAXY A25 5G','354432552769850','OCUPADO',1),</v>
      </c>
    </row>
    <row r="257" spans="1:9" x14ac:dyDescent="0.25">
      <c r="A257">
        <v>256</v>
      </c>
      <c r="B257" t="s">
        <v>7132</v>
      </c>
      <c r="C257" t="s">
        <v>4353</v>
      </c>
      <c r="E257" t="s">
        <v>7223</v>
      </c>
      <c r="F257" s="8" t="s">
        <v>9373</v>
      </c>
      <c r="G257" t="s">
        <v>6877</v>
      </c>
      <c r="H257">
        <v>1</v>
      </c>
      <c r="I257" t="str">
        <f t="shared" si="3"/>
        <v>('CGM-PH-256','celular','','REDMI NOTE 11 PRO 5G','863183063611180','OCUPADO',1),</v>
      </c>
    </row>
    <row r="258" spans="1:9" x14ac:dyDescent="0.25">
      <c r="A258">
        <v>257</v>
      </c>
      <c r="B258" t="s">
        <v>7133</v>
      </c>
      <c r="C258" t="s">
        <v>4353</v>
      </c>
      <c r="E258" t="s">
        <v>7207</v>
      </c>
      <c r="F258" s="8" t="s">
        <v>9374</v>
      </c>
      <c r="G258" t="s">
        <v>6877</v>
      </c>
      <c r="H258">
        <v>1</v>
      </c>
      <c r="I258" t="str">
        <f t="shared" si="3"/>
        <v>('CGM-PH-257','celular','','IPHONE 16 PRO MAX 256','357435938055388','OCUPADO',1),</v>
      </c>
    </row>
    <row r="259" spans="1:9" x14ac:dyDescent="0.25">
      <c r="A259">
        <v>258</v>
      </c>
      <c r="B259" t="s">
        <v>7134</v>
      </c>
      <c r="C259" t="s">
        <v>4353</v>
      </c>
      <c r="E259" t="s">
        <v>7210</v>
      </c>
      <c r="F259" s="8" t="s">
        <v>9375</v>
      </c>
      <c r="G259" t="s">
        <v>6877</v>
      </c>
      <c r="H259">
        <v>1</v>
      </c>
      <c r="I259" t="str">
        <f t="shared" ref="I259:I265" si="4">_xlfn.CONCAT("('",B259,"','",C259,"','",D259,"','",E259,"','",F259,"','",G259,"',",H259,"),")</f>
        <v>('CGM-PH-258','celular','','MOTOROLA EDGE 50 FUSION','354612456523590','OCUPADO',1),</v>
      </c>
    </row>
    <row r="260" spans="1:9" x14ac:dyDescent="0.25">
      <c r="A260">
        <v>259</v>
      </c>
      <c r="B260" t="s">
        <v>7135</v>
      </c>
      <c r="C260" t="s">
        <v>4353</v>
      </c>
      <c r="E260" t="s">
        <v>7222</v>
      </c>
      <c r="F260" s="8" t="s">
        <v>9554</v>
      </c>
      <c r="G260" t="s">
        <v>6877</v>
      </c>
      <c r="H260">
        <v>1</v>
      </c>
      <c r="I260" t="str">
        <f t="shared" si="4"/>
        <v>('CGM-PH-259','celular','','REDMI NOTE 11 PRO','864469066732968','OCUPADO',1),</v>
      </c>
    </row>
    <row r="261" spans="1:9" x14ac:dyDescent="0.25">
      <c r="A261">
        <v>260</v>
      </c>
      <c r="B261" t="s">
        <v>7136</v>
      </c>
      <c r="C261" t="s">
        <v>4353</v>
      </c>
      <c r="E261" t="s">
        <v>7222</v>
      </c>
      <c r="F261" s="8" t="s">
        <v>9555</v>
      </c>
      <c r="G261" t="s">
        <v>6877</v>
      </c>
      <c r="H261">
        <v>1</v>
      </c>
      <c r="I261" t="str">
        <f t="shared" si="4"/>
        <v>('CGM-PH-260','celular','','REDMI NOTE 11 PRO','864469066732967','OCUPADO',1),</v>
      </c>
    </row>
    <row r="262" spans="1:9" x14ac:dyDescent="0.25">
      <c r="A262">
        <v>261</v>
      </c>
      <c r="B262" t="s">
        <v>7137</v>
      </c>
      <c r="C262" t="s">
        <v>4353</v>
      </c>
      <c r="E262" t="s">
        <v>7215</v>
      </c>
      <c r="F262" s="8" t="s">
        <v>9556</v>
      </c>
      <c r="G262" t="s">
        <v>6877</v>
      </c>
      <c r="H262">
        <v>1</v>
      </c>
      <c r="I262" t="str">
        <f t="shared" si="4"/>
        <v>('CGM-PH-261','celular','','MOTOROLA G53 5G','352295692872186','OCUPADO',1),</v>
      </c>
    </row>
    <row r="263" spans="1:9" x14ac:dyDescent="0.25">
      <c r="A263">
        <v>262</v>
      </c>
      <c r="B263" t="s">
        <v>7138</v>
      </c>
      <c r="C263" t="s">
        <v>4353</v>
      </c>
      <c r="E263" t="s">
        <v>7214</v>
      </c>
      <c r="F263" s="8" t="s">
        <v>9557</v>
      </c>
      <c r="G263" t="s">
        <v>6877</v>
      </c>
      <c r="H263">
        <v>1</v>
      </c>
      <c r="I263" t="str">
        <f t="shared" si="4"/>
        <v>('CGM-PH-262','celular','','MOTOROLA G51 5G','354964995777221','OCUPADO',1),</v>
      </c>
    </row>
    <row r="264" spans="1:9" x14ac:dyDescent="0.25">
      <c r="A264">
        <v>263</v>
      </c>
      <c r="B264" t="s">
        <v>9116</v>
      </c>
      <c r="C264" t="s">
        <v>4353</v>
      </c>
      <c r="F264" s="8" t="s">
        <v>4340</v>
      </c>
      <c r="G264" t="s">
        <v>9115</v>
      </c>
      <c r="H264">
        <v>0</v>
      </c>
      <c r="I264" t="str">
        <f t="shared" si="4"/>
        <v>('CGM-PH-263','celular','','','','RETIRADO',0),</v>
      </c>
    </row>
    <row r="265" spans="1:9" x14ac:dyDescent="0.25">
      <c r="A265">
        <v>264</v>
      </c>
      <c r="B265" t="s">
        <v>9117</v>
      </c>
      <c r="C265" t="s">
        <v>4353</v>
      </c>
      <c r="F265" s="8" t="s">
        <v>4340</v>
      </c>
      <c r="G265" t="s">
        <v>9115</v>
      </c>
      <c r="H265">
        <v>0</v>
      </c>
      <c r="I265" t="str">
        <f t="shared" si="4"/>
        <v>('CGM-PH-264','celular','','','','RETIRADO',0),</v>
      </c>
    </row>
    <row r="266" spans="1:9" x14ac:dyDescent="0.25">
      <c r="A266">
        <v>265</v>
      </c>
      <c r="B266" t="s">
        <v>7139</v>
      </c>
      <c r="C266" t="s">
        <v>4354</v>
      </c>
      <c r="D266" t="s">
        <v>7140</v>
      </c>
      <c r="F266" s="8" t="s">
        <v>4340</v>
      </c>
      <c r="G266" t="s">
        <v>6877</v>
      </c>
      <c r="H266">
        <v>1</v>
      </c>
      <c r="I266" t="str">
        <f t="shared" ref="I266:I297" si="5">_xlfn.CONCAT("('",B266,"','",C266,"','",D266,"','",E266,"','",F266,"','",G266,"',",H266,"),")</f>
        <v>('CGM-ALQ-LP-0001','laptop','SOPHOS','','','OCUPADO',1),</v>
      </c>
    </row>
    <row r="267" spans="1:9" x14ac:dyDescent="0.25">
      <c r="A267">
        <v>266</v>
      </c>
      <c r="B267" t="s">
        <v>9420</v>
      </c>
      <c r="C267" t="s">
        <v>4354</v>
      </c>
      <c r="D267" t="s">
        <v>7140</v>
      </c>
      <c r="F267" s="8" t="s">
        <v>4340</v>
      </c>
      <c r="G267" t="s">
        <v>6877</v>
      </c>
      <c r="H267">
        <v>1</v>
      </c>
      <c r="I267" t="str">
        <f t="shared" si="5"/>
        <v>('CGM-ALQ-LP-0002','laptop','SOPHOS','','','OCUPADO',1),</v>
      </c>
    </row>
    <row r="268" spans="1:9" x14ac:dyDescent="0.25">
      <c r="A268">
        <v>267</v>
      </c>
      <c r="B268" t="s">
        <v>9453</v>
      </c>
      <c r="C268" t="s">
        <v>4354</v>
      </c>
      <c r="D268" t="s">
        <v>7140</v>
      </c>
      <c r="F268" s="8" t="s">
        <v>4340</v>
      </c>
      <c r="G268" t="s">
        <v>6877</v>
      </c>
      <c r="H268">
        <v>1</v>
      </c>
      <c r="I268" t="str">
        <f t="shared" si="5"/>
        <v>('CGM-ALQ-LP-0003','laptop','SOPHOS','','','OCUPADO',1),</v>
      </c>
    </row>
    <row r="269" spans="1:9" x14ac:dyDescent="0.25">
      <c r="A269">
        <v>268</v>
      </c>
      <c r="B269" t="s">
        <v>9449</v>
      </c>
      <c r="C269" t="s">
        <v>4354</v>
      </c>
      <c r="D269" t="s">
        <v>7140</v>
      </c>
      <c r="F269" s="8" t="s">
        <v>4340</v>
      </c>
      <c r="G269" t="s">
        <v>6877</v>
      </c>
      <c r="H269">
        <v>1</v>
      </c>
      <c r="I269" t="str">
        <f t="shared" si="5"/>
        <v>('CGM-ALQ-LP-0004','laptop','SOPHOS','','','OCUPADO',1),</v>
      </c>
    </row>
    <row r="270" spans="1:9" x14ac:dyDescent="0.25">
      <c r="A270">
        <v>269</v>
      </c>
      <c r="B270" t="s">
        <v>9432</v>
      </c>
      <c r="C270" t="s">
        <v>4354</v>
      </c>
      <c r="D270" t="s">
        <v>7140</v>
      </c>
      <c r="F270" s="8" t="s">
        <v>4340</v>
      </c>
      <c r="G270" t="s">
        <v>6877</v>
      </c>
      <c r="H270">
        <v>1</v>
      </c>
      <c r="I270" t="str">
        <f t="shared" si="5"/>
        <v>('CGM-ALQ-LP-0005','laptop','SOPHOS','','','OCUPADO',1),</v>
      </c>
    </row>
    <row r="271" spans="1:9" x14ac:dyDescent="0.25">
      <c r="A271">
        <v>270</v>
      </c>
      <c r="B271" t="s">
        <v>9411</v>
      </c>
      <c r="C271" t="s">
        <v>4354</v>
      </c>
      <c r="D271" t="s">
        <v>7140</v>
      </c>
      <c r="F271" s="8" t="s">
        <v>4340</v>
      </c>
      <c r="G271" t="s">
        <v>6877</v>
      </c>
      <c r="H271">
        <v>1</v>
      </c>
      <c r="I271" t="str">
        <f t="shared" si="5"/>
        <v>('CGM-ALQ-LP-0006','laptop','SOPHOS','','','OCUPADO',1),</v>
      </c>
    </row>
    <row r="272" spans="1:9" x14ac:dyDescent="0.25">
      <c r="A272">
        <v>271</v>
      </c>
      <c r="B272" t="s">
        <v>7141</v>
      </c>
      <c r="C272" t="s">
        <v>4354</v>
      </c>
      <c r="D272" t="s">
        <v>7140</v>
      </c>
      <c r="F272" s="8" t="s">
        <v>4340</v>
      </c>
      <c r="G272" t="s">
        <v>6877</v>
      </c>
      <c r="H272">
        <v>1</v>
      </c>
      <c r="I272" t="str">
        <f t="shared" si="5"/>
        <v>('CGM-ALQ-LP-0007','laptop','SOPHOS','','','OCUPADO',1),</v>
      </c>
    </row>
    <row r="273" spans="1:9" x14ac:dyDescent="0.25">
      <c r="A273">
        <v>272</v>
      </c>
      <c r="B273" t="s">
        <v>9553</v>
      </c>
      <c r="C273" t="s">
        <v>4354</v>
      </c>
      <c r="D273" t="s">
        <v>7140</v>
      </c>
      <c r="F273" s="8" t="s">
        <v>4340</v>
      </c>
      <c r="G273" t="s">
        <v>6877</v>
      </c>
      <c r="H273">
        <v>1</v>
      </c>
      <c r="I273" t="str">
        <f t="shared" si="5"/>
        <v>('CGM-ALQ-LP-0008','laptop','SOPHOS','','','OCUPADO',1),</v>
      </c>
    </row>
    <row r="274" spans="1:9" x14ac:dyDescent="0.25">
      <c r="A274">
        <v>273</v>
      </c>
      <c r="B274" t="s">
        <v>9435</v>
      </c>
      <c r="C274" t="s">
        <v>4354</v>
      </c>
      <c r="D274" t="s">
        <v>7140</v>
      </c>
      <c r="F274" s="8" t="s">
        <v>4340</v>
      </c>
      <c r="G274" t="s">
        <v>6877</v>
      </c>
      <c r="H274">
        <v>1</v>
      </c>
      <c r="I274" t="str">
        <f t="shared" si="5"/>
        <v>('CGM-ALQ-LP-0009','laptop','SOPHOS','','','OCUPADO',1),</v>
      </c>
    </row>
    <row r="275" spans="1:9" x14ac:dyDescent="0.25">
      <c r="A275">
        <v>274</v>
      </c>
      <c r="B275" t="s">
        <v>9394</v>
      </c>
      <c r="C275" t="s">
        <v>4354</v>
      </c>
      <c r="D275" t="s">
        <v>7140</v>
      </c>
      <c r="F275" s="8" t="s">
        <v>4340</v>
      </c>
      <c r="G275" t="s">
        <v>6877</v>
      </c>
      <c r="H275">
        <v>1</v>
      </c>
      <c r="I275" t="str">
        <f t="shared" si="5"/>
        <v>('CGM-ALQ-LP-0010','laptop','SOPHOS','','','OCUPADO',1),</v>
      </c>
    </row>
    <row r="276" spans="1:9" x14ac:dyDescent="0.25">
      <c r="A276">
        <v>275</v>
      </c>
      <c r="B276" t="s">
        <v>9421</v>
      </c>
      <c r="C276" t="s">
        <v>4354</v>
      </c>
      <c r="D276" t="s">
        <v>7140</v>
      </c>
      <c r="F276" s="8" t="s">
        <v>4340</v>
      </c>
      <c r="G276" t="s">
        <v>6877</v>
      </c>
      <c r="H276">
        <v>1</v>
      </c>
      <c r="I276" t="str">
        <f t="shared" si="5"/>
        <v>('CGM-ALQ-LP-0011','laptop','SOPHOS','','','OCUPADO',1),</v>
      </c>
    </row>
    <row r="277" spans="1:9" x14ac:dyDescent="0.25">
      <c r="A277">
        <v>276</v>
      </c>
      <c r="B277" t="s">
        <v>7142</v>
      </c>
      <c r="C277" t="s">
        <v>4354</v>
      </c>
      <c r="D277" t="s">
        <v>7140</v>
      </c>
      <c r="F277" s="8" t="s">
        <v>4340</v>
      </c>
      <c r="G277" t="s">
        <v>6877</v>
      </c>
      <c r="H277">
        <v>1</v>
      </c>
      <c r="I277" t="str">
        <f t="shared" si="5"/>
        <v>('CGM-ALQ-LP-0012','laptop','SOPHOS','','','OCUPADO',1),</v>
      </c>
    </row>
    <row r="278" spans="1:9" x14ac:dyDescent="0.25">
      <c r="A278">
        <v>277</v>
      </c>
      <c r="B278" t="s">
        <v>9476</v>
      </c>
      <c r="C278" t="s">
        <v>4354</v>
      </c>
      <c r="D278" t="s">
        <v>7140</v>
      </c>
      <c r="F278" s="8" t="s">
        <v>4340</v>
      </c>
      <c r="G278" t="s">
        <v>6877</v>
      </c>
      <c r="H278">
        <v>1</v>
      </c>
      <c r="I278" t="str">
        <f t="shared" si="5"/>
        <v>('CGM-ALQ-LP-0013','laptop','SOPHOS','','','OCUPADO',1),</v>
      </c>
    </row>
    <row r="279" spans="1:9" x14ac:dyDescent="0.25">
      <c r="A279">
        <v>278</v>
      </c>
      <c r="B279" t="s">
        <v>9456</v>
      </c>
      <c r="C279" t="s">
        <v>4354</v>
      </c>
      <c r="D279" t="s">
        <v>7140</v>
      </c>
      <c r="F279" s="8" t="s">
        <v>4340</v>
      </c>
      <c r="G279" t="s">
        <v>6877</v>
      </c>
      <c r="H279">
        <v>1</v>
      </c>
      <c r="I279" t="str">
        <f t="shared" si="5"/>
        <v>('CGM-ALQ-LP-0014','laptop','SOPHOS','','','OCUPADO',1),</v>
      </c>
    </row>
    <row r="280" spans="1:9" x14ac:dyDescent="0.25">
      <c r="A280">
        <v>279</v>
      </c>
      <c r="B280" t="s">
        <v>9377</v>
      </c>
      <c r="C280" t="s">
        <v>4354</v>
      </c>
      <c r="D280" t="s">
        <v>7140</v>
      </c>
      <c r="F280" s="8" t="s">
        <v>4340</v>
      </c>
      <c r="G280" t="s">
        <v>6877</v>
      </c>
      <c r="H280">
        <v>1</v>
      </c>
      <c r="I280" t="str">
        <f t="shared" si="5"/>
        <v>('CGM-ALQ-LP-0015','laptop','SOPHOS','','','OCUPADO',1),</v>
      </c>
    </row>
    <row r="281" spans="1:9" x14ac:dyDescent="0.25">
      <c r="A281">
        <v>280</v>
      </c>
      <c r="B281" t="s">
        <v>9401</v>
      </c>
      <c r="C281" t="s">
        <v>4354</v>
      </c>
      <c r="D281" t="s">
        <v>7140</v>
      </c>
      <c r="F281" s="8" t="s">
        <v>4340</v>
      </c>
      <c r="G281" t="s">
        <v>6877</v>
      </c>
      <c r="H281">
        <v>1</v>
      </c>
      <c r="I281" t="str">
        <f t="shared" si="5"/>
        <v>('CGM-ALQ-LP-0016','laptop','SOPHOS','','','OCUPADO',1),</v>
      </c>
    </row>
    <row r="282" spans="1:9" x14ac:dyDescent="0.25">
      <c r="A282">
        <v>281</v>
      </c>
      <c r="B282" t="s">
        <v>9533</v>
      </c>
      <c r="C282" t="s">
        <v>4354</v>
      </c>
      <c r="D282" t="s">
        <v>7140</v>
      </c>
      <c r="F282" s="8" t="s">
        <v>4340</v>
      </c>
      <c r="G282" t="s">
        <v>6877</v>
      </c>
      <c r="H282">
        <v>1</v>
      </c>
      <c r="I282" t="str">
        <f t="shared" si="5"/>
        <v>('CGM-ALQ-LP-0017','laptop','SOPHOS','','','OCUPADO',1),</v>
      </c>
    </row>
    <row r="283" spans="1:9" x14ac:dyDescent="0.25">
      <c r="A283">
        <v>282</v>
      </c>
      <c r="B283" t="s">
        <v>9436</v>
      </c>
      <c r="C283" t="s">
        <v>4354</v>
      </c>
      <c r="D283" t="s">
        <v>7140</v>
      </c>
      <c r="F283" s="8" t="s">
        <v>4340</v>
      </c>
      <c r="G283" t="s">
        <v>6877</v>
      </c>
      <c r="H283">
        <v>1</v>
      </c>
      <c r="I283" t="str">
        <f t="shared" si="5"/>
        <v>('CGM-ALQ-LP-0018','laptop','SOPHOS','','','OCUPADO',1),</v>
      </c>
    </row>
    <row r="284" spans="1:9" x14ac:dyDescent="0.25">
      <c r="A284">
        <v>283</v>
      </c>
      <c r="B284" t="s">
        <v>9446</v>
      </c>
      <c r="C284" t="s">
        <v>4354</v>
      </c>
      <c r="D284" t="s">
        <v>7140</v>
      </c>
      <c r="F284" s="8" t="s">
        <v>4340</v>
      </c>
      <c r="G284" t="s">
        <v>6877</v>
      </c>
      <c r="H284">
        <v>1</v>
      </c>
      <c r="I284" t="str">
        <f t="shared" si="5"/>
        <v>('CGM-ALQ-LP-0019','laptop','SOPHOS','','','OCUPADO',1),</v>
      </c>
    </row>
    <row r="285" spans="1:9" x14ac:dyDescent="0.25">
      <c r="A285">
        <v>284</v>
      </c>
      <c r="B285" t="s">
        <v>7143</v>
      </c>
      <c r="C285" t="s">
        <v>4354</v>
      </c>
      <c r="D285" t="s">
        <v>7140</v>
      </c>
      <c r="F285" s="8" t="s">
        <v>4340</v>
      </c>
      <c r="G285" t="s">
        <v>6877</v>
      </c>
      <c r="H285">
        <v>1</v>
      </c>
      <c r="I285" t="str">
        <f t="shared" si="5"/>
        <v>('CGM-ALQ-LP-0022','laptop','SOPHOS','','','OCUPADO',1),</v>
      </c>
    </row>
    <row r="286" spans="1:9" x14ac:dyDescent="0.25">
      <c r="A286">
        <v>285</v>
      </c>
      <c r="B286" t="s">
        <v>7144</v>
      </c>
      <c r="C286" t="s">
        <v>4354</v>
      </c>
      <c r="D286" t="s">
        <v>7140</v>
      </c>
      <c r="F286" s="8" t="s">
        <v>4340</v>
      </c>
      <c r="G286" t="s">
        <v>6877</v>
      </c>
      <c r="H286">
        <v>1</v>
      </c>
      <c r="I286" t="str">
        <f t="shared" si="5"/>
        <v>('CGM-ALQ-LP-0023','laptop','SOPHOS','','','OCUPADO',1),</v>
      </c>
    </row>
    <row r="287" spans="1:9" x14ac:dyDescent="0.25">
      <c r="A287">
        <v>286</v>
      </c>
      <c r="B287" t="s">
        <v>7145</v>
      </c>
      <c r="C287" t="s">
        <v>4354</v>
      </c>
      <c r="D287" t="s">
        <v>7140</v>
      </c>
      <c r="F287" s="8" t="s">
        <v>4340</v>
      </c>
      <c r="G287" t="s">
        <v>6877</v>
      </c>
      <c r="H287">
        <v>1</v>
      </c>
      <c r="I287" t="str">
        <f t="shared" si="5"/>
        <v>('CGM-ALQ-LP-0024','laptop','SOPHOS','','','OCUPADO',1),</v>
      </c>
    </row>
    <row r="288" spans="1:9" x14ac:dyDescent="0.25">
      <c r="A288">
        <v>287</v>
      </c>
      <c r="B288" t="s">
        <v>9535</v>
      </c>
      <c r="C288" t="s">
        <v>4354</v>
      </c>
      <c r="D288" t="s">
        <v>7140</v>
      </c>
      <c r="F288" s="8" t="s">
        <v>4340</v>
      </c>
      <c r="G288" t="s">
        <v>6877</v>
      </c>
      <c r="H288">
        <v>1</v>
      </c>
      <c r="I288" t="str">
        <f t="shared" si="5"/>
        <v>('CGM-ALQ-LP-0025','laptop','SOPHOS','','','OCUPADO',1),</v>
      </c>
    </row>
    <row r="289" spans="1:9" x14ac:dyDescent="0.25">
      <c r="A289">
        <v>288</v>
      </c>
      <c r="B289" t="s">
        <v>9538</v>
      </c>
      <c r="C289" t="s">
        <v>4354</v>
      </c>
      <c r="D289" t="s">
        <v>7140</v>
      </c>
      <c r="F289" s="8" t="s">
        <v>4340</v>
      </c>
      <c r="G289" t="s">
        <v>6877</v>
      </c>
      <c r="H289">
        <v>1</v>
      </c>
      <c r="I289" t="str">
        <f t="shared" si="5"/>
        <v>('CGM-ALQ-LP-0026','laptop','SOPHOS','','','OCUPADO',1),</v>
      </c>
    </row>
    <row r="290" spans="1:9" x14ac:dyDescent="0.25">
      <c r="A290">
        <v>289</v>
      </c>
      <c r="B290" t="s">
        <v>9539</v>
      </c>
      <c r="C290" t="s">
        <v>4354</v>
      </c>
      <c r="D290" t="s">
        <v>7140</v>
      </c>
      <c r="F290" s="8" t="s">
        <v>4340</v>
      </c>
      <c r="G290" t="s">
        <v>6877</v>
      </c>
      <c r="H290">
        <v>1</v>
      </c>
      <c r="I290" t="str">
        <f t="shared" si="5"/>
        <v>('CGM-ALQ-LP-0027','laptop','SOPHOS','','','OCUPADO',1),</v>
      </c>
    </row>
    <row r="291" spans="1:9" x14ac:dyDescent="0.25">
      <c r="A291">
        <v>290</v>
      </c>
      <c r="B291" t="s">
        <v>7146</v>
      </c>
      <c r="C291" t="s">
        <v>4354</v>
      </c>
      <c r="D291" t="s">
        <v>7140</v>
      </c>
      <c r="F291" s="8" t="s">
        <v>4340</v>
      </c>
      <c r="G291" t="s">
        <v>6877</v>
      </c>
      <c r="H291">
        <v>1</v>
      </c>
      <c r="I291" t="str">
        <f t="shared" si="5"/>
        <v>('CGM-LP-055','laptop','SOPHOS','','','OCUPADO',1),</v>
      </c>
    </row>
    <row r="292" spans="1:9" x14ac:dyDescent="0.25">
      <c r="A292">
        <v>291</v>
      </c>
      <c r="B292" t="s">
        <v>9481</v>
      </c>
      <c r="C292" t="s">
        <v>4354</v>
      </c>
      <c r="D292" t="s">
        <v>7140</v>
      </c>
      <c r="F292" s="8" t="s">
        <v>4340</v>
      </c>
      <c r="G292" t="s">
        <v>6877</v>
      </c>
      <c r="H292">
        <v>1</v>
      </c>
      <c r="I292" t="str">
        <f t="shared" si="5"/>
        <v>('CGM-LP-081','laptop','SOPHOS','','','OCUPADO',1),</v>
      </c>
    </row>
    <row r="293" spans="1:9" x14ac:dyDescent="0.25">
      <c r="A293">
        <v>292</v>
      </c>
      <c r="B293" t="s">
        <v>7147</v>
      </c>
      <c r="C293" t="s">
        <v>4354</v>
      </c>
      <c r="D293" t="s">
        <v>7140</v>
      </c>
      <c r="F293" s="8" t="s">
        <v>4340</v>
      </c>
      <c r="G293" t="s">
        <v>6877</v>
      </c>
      <c r="H293">
        <v>1</v>
      </c>
      <c r="I293" t="str">
        <f t="shared" si="5"/>
        <v>('CGM-LP-106','laptop','SOPHOS','','','OCUPADO',1),</v>
      </c>
    </row>
    <row r="294" spans="1:9" x14ac:dyDescent="0.25">
      <c r="A294">
        <v>293</v>
      </c>
      <c r="B294" t="s">
        <v>7148</v>
      </c>
      <c r="C294" t="s">
        <v>4354</v>
      </c>
      <c r="D294" t="s">
        <v>7140</v>
      </c>
      <c r="F294" s="8" t="s">
        <v>4340</v>
      </c>
      <c r="G294" t="s">
        <v>6877</v>
      </c>
      <c r="H294">
        <v>1</v>
      </c>
      <c r="I294" t="str">
        <f t="shared" si="5"/>
        <v>('CGM-LP-110','laptop','SOPHOS','','','OCUPADO',1),</v>
      </c>
    </row>
    <row r="295" spans="1:9" x14ac:dyDescent="0.25">
      <c r="A295">
        <v>294</v>
      </c>
      <c r="B295" t="s">
        <v>9410</v>
      </c>
      <c r="C295" t="s">
        <v>4354</v>
      </c>
      <c r="D295" t="s">
        <v>7140</v>
      </c>
      <c r="F295" s="8" t="s">
        <v>4340</v>
      </c>
      <c r="G295" t="s">
        <v>6877</v>
      </c>
      <c r="H295">
        <v>1</v>
      </c>
      <c r="I295" t="str">
        <f t="shared" si="5"/>
        <v>('CGM-LP-116','laptop','SOPHOS','','','OCUPADO',1),</v>
      </c>
    </row>
    <row r="296" spans="1:9" x14ac:dyDescent="0.25">
      <c r="A296">
        <v>295</v>
      </c>
      <c r="B296" t="s">
        <v>7149</v>
      </c>
      <c r="C296" t="s">
        <v>4354</v>
      </c>
      <c r="D296" t="s">
        <v>7140</v>
      </c>
      <c r="F296" s="8" t="s">
        <v>4340</v>
      </c>
      <c r="G296" t="s">
        <v>6877</v>
      </c>
      <c r="H296">
        <v>1</v>
      </c>
      <c r="I296" t="str">
        <f t="shared" si="5"/>
        <v>('CGM-LP-120','laptop','SOPHOS','','','OCUPADO',1),</v>
      </c>
    </row>
    <row r="297" spans="1:9" x14ac:dyDescent="0.25">
      <c r="A297">
        <v>296</v>
      </c>
      <c r="B297" t="s">
        <v>9412</v>
      </c>
      <c r="C297" t="s">
        <v>4354</v>
      </c>
      <c r="D297" t="s">
        <v>7140</v>
      </c>
      <c r="F297" s="8" t="s">
        <v>4340</v>
      </c>
      <c r="G297" t="s">
        <v>6877</v>
      </c>
      <c r="H297">
        <v>1</v>
      </c>
      <c r="I297" t="str">
        <f t="shared" si="5"/>
        <v>('CGM-LP-126','laptop','SOPHOS','','','OCUPADO',1),</v>
      </c>
    </row>
    <row r="298" spans="1:9" x14ac:dyDescent="0.25">
      <c r="A298">
        <v>297</v>
      </c>
      <c r="B298" t="s">
        <v>9497</v>
      </c>
      <c r="C298" t="s">
        <v>4354</v>
      </c>
      <c r="D298" t="s">
        <v>7140</v>
      </c>
      <c r="F298" s="8" t="s">
        <v>4340</v>
      </c>
      <c r="G298" t="s">
        <v>6877</v>
      </c>
      <c r="H298">
        <v>1</v>
      </c>
      <c r="I298" t="str">
        <f t="shared" ref="I298:I329" si="6">_xlfn.CONCAT("('",B298,"','",C298,"','",D298,"','",E298,"','",F298,"','",G298,"',",H298,"),")</f>
        <v>('CGM-LP-128','laptop','SOPHOS','','','OCUPADO',1),</v>
      </c>
    </row>
    <row r="299" spans="1:9" x14ac:dyDescent="0.25">
      <c r="A299">
        <v>298</v>
      </c>
      <c r="B299" t="s">
        <v>9530</v>
      </c>
      <c r="C299" t="s">
        <v>4354</v>
      </c>
      <c r="D299" t="s">
        <v>7140</v>
      </c>
      <c r="F299" s="8" t="s">
        <v>4340</v>
      </c>
      <c r="G299" t="s">
        <v>6877</v>
      </c>
      <c r="H299">
        <v>1</v>
      </c>
      <c r="I299" t="str">
        <f t="shared" si="6"/>
        <v>('CGM-LP-130','laptop','SOPHOS','','','OCUPADO',1),</v>
      </c>
    </row>
    <row r="300" spans="1:9" x14ac:dyDescent="0.25">
      <c r="A300">
        <v>299</v>
      </c>
      <c r="B300" t="s">
        <v>9488</v>
      </c>
      <c r="C300" t="s">
        <v>4354</v>
      </c>
      <c r="D300" t="s">
        <v>7140</v>
      </c>
      <c r="F300" s="8" t="s">
        <v>4340</v>
      </c>
      <c r="G300" t="s">
        <v>6877</v>
      </c>
      <c r="H300">
        <v>1</v>
      </c>
      <c r="I300" t="str">
        <f t="shared" si="6"/>
        <v>('CGM-LP-132','laptop','SOPHOS','','','OCUPADO',1),</v>
      </c>
    </row>
    <row r="301" spans="1:9" x14ac:dyDescent="0.25">
      <c r="A301">
        <v>300</v>
      </c>
      <c r="B301" t="s">
        <v>9488</v>
      </c>
      <c r="C301" t="s">
        <v>4354</v>
      </c>
      <c r="D301" t="s">
        <v>7140</v>
      </c>
      <c r="F301" s="8" t="s">
        <v>4340</v>
      </c>
      <c r="G301" t="s">
        <v>6877</v>
      </c>
      <c r="H301">
        <v>1</v>
      </c>
      <c r="I301" t="str">
        <f t="shared" si="6"/>
        <v>('CGM-LP-132','laptop','SOPHOS','','','OCUPADO',1),</v>
      </c>
    </row>
    <row r="302" spans="1:9" x14ac:dyDescent="0.25">
      <c r="A302">
        <v>301</v>
      </c>
      <c r="B302" t="s">
        <v>9488</v>
      </c>
      <c r="C302" t="s">
        <v>4354</v>
      </c>
      <c r="D302" t="s">
        <v>7140</v>
      </c>
      <c r="F302" s="8" t="s">
        <v>4340</v>
      </c>
      <c r="G302" t="s">
        <v>6877</v>
      </c>
      <c r="H302">
        <v>1</v>
      </c>
      <c r="I302" t="str">
        <f t="shared" si="6"/>
        <v>('CGM-LP-132','laptop','SOPHOS','','','OCUPADO',1),</v>
      </c>
    </row>
    <row r="303" spans="1:9" x14ac:dyDescent="0.25">
      <c r="A303">
        <v>302</v>
      </c>
      <c r="B303" t="s">
        <v>7150</v>
      </c>
      <c r="C303" t="s">
        <v>4354</v>
      </c>
      <c r="D303" t="s">
        <v>7140</v>
      </c>
      <c r="F303" s="8" t="s">
        <v>4340</v>
      </c>
      <c r="G303" t="s">
        <v>6877</v>
      </c>
      <c r="H303">
        <v>1</v>
      </c>
      <c r="I303" t="str">
        <f t="shared" si="6"/>
        <v>('CGM-LP-134','laptop','SOPHOS','','','OCUPADO',1),</v>
      </c>
    </row>
    <row r="304" spans="1:9" x14ac:dyDescent="0.25">
      <c r="A304">
        <v>303</v>
      </c>
      <c r="B304" t="s">
        <v>7150</v>
      </c>
      <c r="C304" t="s">
        <v>4354</v>
      </c>
      <c r="D304" t="s">
        <v>7140</v>
      </c>
      <c r="F304" s="8" t="s">
        <v>4340</v>
      </c>
      <c r="G304" t="s">
        <v>6877</v>
      </c>
      <c r="H304">
        <v>1</v>
      </c>
      <c r="I304" t="str">
        <f t="shared" si="6"/>
        <v>('CGM-LP-134','laptop','SOPHOS','','','OCUPADO',1),</v>
      </c>
    </row>
    <row r="305" spans="1:9" x14ac:dyDescent="0.25">
      <c r="A305">
        <v>304</v>
      </c>
      <c r="B305" t="s">
        <v>9406</v>
      </c>
      <c r="C305" t="s">
        <v>4354</v>
      </c>
      <c r="D305" t="s">
        <v>7140</v>
      </c>
      <c r="F305" s="8" t="s">
        <v>4340</v>
      </c>
      <c r="G305" t="s">
        <v>6877</v>
      </c>
      <c r="H305">
        <v>1</v>
      </c>
      <c r="I305" t="str">
        <f t="shared" si="6"/>
        <v>('CGM-LP-136','laptop','SOPHOS','','','OCUPADO',1),</v>
      </c>
    </row>
    <row r="306" spans="1:9" x14ac:dyDescent="0.25">
      <c r="A306">
        <v>305</v>
      </c>
      <c r="B306" t="s">
        <v>9505</v>
      </c>
      <c r="C306" t="s">
        <v>4354</v>
      </c>
      <c r="D306" t="s">
        <v>7140</v>
      </c>
      <c r="F306" s="8" t="s">
        <v>4340</v>
      </c>
      <c r="G306" t="s">
        <v>6877</v>
      </c>
      <c r="H306">
        <v>1</v>
      </c>
      <c r="I306" t="str">
        <f t="shared" si="6"/>
        <v>('CGM-LP-137','laptop','SOPHOS','','','OCUPADO',1),</v>
      </c>
    </row>
    <row r="307" spans="1:9" x14ac:dyDescent="0.25">
      <c r="A307">
        <v>306</v>
      </c>
      <c r="B307" t="s">
        <v>9460</v>
      </c>
      <c r="C307" t="s">
        <v>4354</v>
      </c>
      <c r="D307" t="s">
        <v>7140</v>
      </c>
      <c r="F307" s="8" t="s">
        <v>4340</v>
      </c>
      <c r="G307" t="s">
        <v>6877</v>
      </c>
      <c r="H307">
        <v>1</v>
      </c>
      <c r="I307" t="str">
        <f t="shared" si="6"/>
        <v>('CGM-LP-138','laptop','SOPHOS','','','OCUPADO',1),</v>
      </c>
    </row>
    <row r="308" spans="1:9" x14ac:dyDescent="0.25">
      <c r="A308">
        <v>307</v>
      </c>
      <c r="B308" t="s">
        <v>9460</v>
      </c>
      <c r="C308" t="s">
        <v>4354</v>
      </c>
      <c r="D308" t="s">
        <v>7140</v>
      </c>
      <c r="F308" s="8" t="s">
        <v>4340</v>
      </c>
      <c r="G308" t="s">
        <v>6877</v>
      </c>
      <c r="H308">
        <v>1</v>
      </c>
      <c r="I308" t="str">
        <f t="shared" si="6"/>
        <v>('CGM-LP-138','laptop','SOPHOS','','','OCUPADO',1),</v>
      </c>
    </row>
    <row r="309" spans="1:9" x14ac:dyDescent="0.25">
      <c r="A309">
        <v>308</v>
      </c>
      <c r="B309" t="s">
        <v>9391</v>
      </c>
      <c r="C309" t="s">
        <v>4354</v>
      </c>
      <c r="D309" t="s">
        <v>7140</v>
      </c>
      <c r="F309" s="8" t="s">
        <v>4340</v>
      </c>
      <c r="G309" t="s">
        <v>6877</v>
      </c>
      <c r="H309">
        <v>1</v>
      </c>
      <c r="I309" t="str">
        <f t="shared" si="6"/>
        <v>('CGM-LP-141','laptop','SOPHOS','','','OCUPADO',1),</v>
      </c>
    </row>
    <row r="310" spans="1:9" x14ac:dyDescent="0.25">
      <c r="A310">
        <v>309</v>
      </c>
      <c r="B310" t="s">
        <v>7151</v>
      </c>
      <c r="C310" t="s">
        <v>4354</v>
      </c>
      <c r="D310" t="s">
        <v>7140</v>
      </c>
      <c r="F310" s="8" t="s">
        <v>4340</v>
      </c>
      <c r="G310" t="s">
        <v>6877</v>
      </c>
      <c r="H310">
        <v>1</v>
      </c>
      <c r="I310" t="str">
        <f t="shared" si="6"/>
        <v>('CGM-LP-142','laptop','SOPHOS','','','OCUPADO',1),</v>
      </c>
    </row>
    <row r="311" spans="1:9" x14ac:dyDescent="0.25">
      <c r="A311">
        <v>310</v>
      </c>
      <c r="B311" t="s">
        <v>7151</v>
      </c>
      <c r="C311" t="s">
        <v>4354</v>
      </c>
      <c r="D311" t="s">
        <v>7140</v>
      </c>
      <c r="F311" s="8" t="s">
        <v>4340</v>
      </c>
      <c r="G311" t="s">
        <v>6877</v>
      </c>
      <c r="H311">
        <v>1</v>
      </c>
      <c r="I311" t="str">
        <f t="shared" si="6"/>
        <v>('CGM-LP-142','laptop','SOPHOS','','','OCUPADO',1),</v>
      </c>
    </row>
    <row r="312" spans="1:9" x14ac:dyDescent="0.25">
      <c r="A312">
        <v>311</v>
      </c>
      <c r="B312" t="s">
        <v>7151</v>
      </c>
      <c r="C312" t="s">
        <v>4354</v>
      </c>
      <c r="D312" t="s">
        <v>7140</v>
      </c>
      <c r="F312" s="8" t="s">
        <v>4340</v>
      </c>
      <c r="G312" t="s">
        <v>6877</v>
      </c>
      <c r="H312">
        <v>1</v>
      </c>
      <c r="I312" t="str">
        <f t="shared" si="6"/>
        <v>('CGM-LP-142','laptop','SOPHOS','','','OCUPADO',1),</v>
      </c>
    </row>
    <row r="313" spans="1:9" x14ac:dyDescent="0.25">
      <c r="A313">
        <v>312</v>
      </c>
      <c r="B313" t="s">
        <v>9500</v>
      </c>
      <c r="C313" t="s">
        <v>4354</v>
      </c>
      <c r="D313" t="s">
        <v>7140</v>
      </c>
      <c r="F313" s="8" t="s">
        <v>4340</v>
      </c>
      <c r="G313" t="s">
        <v>6877</v>
      </c>
      <c r="H313">
        <v>1</v>
      </c>
      <c r="I313" t="str">
        <f t="shared" si="6"/>
        <v>('CGM-LP-144','laptop','SOPHOS','','','OCUPADO',1),</v>
      </c>
    </row>
    <row r="314" spans="1:9" x14ac:dyDescent="0.25">
      <c r="A314">
        <v>313</v>
      </c>
      <c r="B314" t="s">
        <v>9414</v>
      </c>
      <c r="C314" t="s">
        <v>4354</v>
      </c>
      <c r="D314" t="s">
        <v>7140</v>
      </c>
      <c r="F314" s="8" t="s">
        <v>4340</v>
      </c>
      <c r="G314" t="s">
        <v>6877</v>
      </c>
      <c r="H314">
        <v>1</v>
      </c>
      <c r="I314" t="str">
        <f t="shared" si="6"/>
        <v>('CGM-LP-145','laptop','SOPHOS','','','OCUPADO',1),</v>
      </c>
    </row>
    <row r="315" spans="1:9" x14ac:dyDescent="0.25">
      <c r="A315">
        <v>314</v>
      </c>
      <c r="B315" t="s">
        <v>7152</v>
      </c>
      <c r="C315" t="s">
        <v>4354</v>
      </c>
      <c r="D315" t="s">
        <v>7140</v>
      </c>
      <c r="F315" s="8" t="s">
        <v>4340</v>
      </c>
      <c r="G315" t="s">
        <v>6877</v>
      </c>
      <c r="H315">
        <v>1</v>
      </c>
      <c r="I315" t="str">
        <f t="shared" si="6"/>
        <v>('CGM-LP-146','laptop','SOPHOS','','','OCUPADO',1),</v>
      </c>
    </row>
    <row r="316" spans="1:9" x14ac:dyDescent="0.25">
      <c r="A316">
        <v>315</v>
      </c>
      <c r="B316" t="s">
        <v>9418</v>
      </c>
      <c r="C316" t="s">
        <v>4354</v>
      </c>
      <c r="D316" t="s">
        <v>7140</v>
      </c>
      <c r="F316" s="8" t="s">
        <v>4340</v>
      </c>
      <c r="G316" t="s">
        <v>6877</v>
      </c>
      <c r="H316">
        <v>1</v>
      </c>
      <c r="I316" t="str">
        <f t="shared" si="6"/>
        <v>('CGM-LP-148','laptop','SOPHOS','','','OCUPADO',1),</v>
      </c>
    </row>
    <row r="317" spans="1:9" x14ac:dyDescent="0.25">
      <c r="A317">
        <v>316</v>
      </c>
      <c r="B317" t="s">
        <v>9493</v>
      </c>
      <c r="C317" t="s">
        <v>4354</v>
      </c>
      <c r="D317" t="s">
        <v>7140</v>
      </c>
      <c r="F317" s="8" t="s">
        <v>4340</v>
      </c>
      <c r="G317" t="s">
        <v>6877</v>
      </c>
      <c r="H317">
        <v>1</v>
      </c>
      <c r="I317" t="str">
        <f t="shared" si="6"/>
        <v>('CGM-LP-149','laptop','SOPHOS','','','OCUPADO',1),</v>
      </c>
    </row>
    <row r="318" spans="1:9" x14ac:dyDescent="0.25">
      <c r="A318">
        <v>317</v>
      </c>
      <c r="B318" t="s">
        <v>9437</v>
      </c>
      <c r="C318" t="s">
        <v>4354</v>
      </c>
      <c r="D318" t="s">
        <v>7140</v>
      </c>
      <c r="F318" s="8" t="s">
        <v>4340</v>
      </c>
      <c r="G318" t="s">
        <v>6877</v>
      </c>
      <c r="H318">
        <v>1</v>
      </c>
      <c r="I318" t="str">
        <f t="shared" si="6"/>
        <v>('CGM-LP-150','laptop','SOPHOS','','','OCUPADO',1),</v>
      </c>
    </row>
    <row r="319" spans="1:9" x14ac:dyDescent="0.25">
      <c r="A319">
        <v>318</v>
      </c>
      <c r="B319" t="s">
        <v>9433</v>
      </c>
      <c r="C319" t="s">
        <v>4354</v>
      </c>
      <c r="D319" t="s">
        <v>7140</v>
      </c>
      <c r="F319" s="8" t="s">
        <v>4340</v>
      </c>
      <c r="G319" t="s">
        <v>6877</v>
      </c>
      <c r="H319">
        <v>1</v>
      </c>
      <c r="I319" t="str">
        <f t="shared" si="6"/>
        <v>('CGM-LP-152','laptop','SOPHOS','','','OCUPADO',1),</v>
      </c>
    </row>
    <row r="320" spans="1:9" x14ac:dyDescent="0.25">
      <c r="A320">
        <v>319</v>
      </c>
      <c r="B320" t="s">
        <v>9522</v>
      </c>
      <c r="C320" t="s">
        <v>4354</v>
      </c>
      <c r="D320" t="s">
        <v>7140</v>
      </c>
      <c r="F320" s="8" t="s">
        <v>4340</v>
      </c>
      <c r="G320" t="s">
        <v>6877</v>
      </c>
      <c r="H320">
        <v>1</v>
      </c>
      <c r="I320" t="str">
        <f t="shared" si="6"/>
        <v>('CGM-LP-153','laptop','SOPHOS','','','OCUPADO',1),</v>
      </c>
    </row>
    <row r="321" spans="1:9" x14ac:dyDescent="0.25">
      <c r="A321">
        <v>320</v>
      </c>
      <c r="B321" t="s">
        <v>9423</v>
      </c>
      <c r="C321" t="s">
        <v>4354</v>
      </c>
      <c r="D321" t="s">
        <v>7140</v>
      </c>
      <c r="F321" s="8" t="s">
        <v>4340</v>
      </c>
      <c r="G321" t="s">
        <v>6877</v>
      </c>
      <c r="H321">
        <v>1</v>
      </c>
      <c r="I321" t="str">
        <f t="shared" si="6"/>
        <v>('CGM-LP-154','laptop','SOPHOS','','','OCUPADO',1),</v>
      </c>
    </row>
    <row r="322" spans="1:9" x14ac:dyDescent="0.25">
      <c r="A322">
        <v>321</v>
      </c>
      <c r="B322" t="s">
        <v>9511</v>
      </c>
      <c r="C322" t="s">
        <v>4354</v>
      </c>
      <c r="D322" t="s">
        <v>7140</v>
      </c>
      <c r="F322" s="8" t="s">
        <v>4340</v>
      </c>
      <c r="G322" t="s">
        <v>6877</v>
      </c>
      <c r="H322">
        <v>1</v>
      </c>
      <c r="I322" t="str">
        <f t="shared" si="6"/>
        <v>('CGM-LP-155','laptop','SOPHOS','','','OCUPADO',1),</v>
      </c>
    </row>
    <row r="323" spans="1:9" x14ac:dyDescent="0.25">
      <c r="A323">
        <v>322</v>
      </c>
      <c r="B323" t="s">
        <v>9526</v>
      </c>
      <c r="C323" t="s">
        <v>4354</v>
      </c>
      <c r="D323" t="s">
        <v>7140</v>
      </c>
      <c r="F323" s="8" t="s">
        <v>4340</v>
      </c>
      <c r="G323" t="s">
        <v>6877</v>
      </c>
      <c r="H323">
        <v>1</v>
      </c>
      <c r="I323" t="str">
        <f t="shared" si="6"/>
        <v>('CGM-LP-156','laptop','SOPHOS','','','OCUPADO',1),</v>
      </c>
    </row>
    <row r="324" spans="1:9" x14ac:dyDescent="0.25">
      <c r="A324">
        <v>323</v>
      </c>
      <c r="B324" t="s">
        <v>7153</v>
      </c>
      <c r="C324" t="s">
        <v>4354</v>
      </c>
      <c r="D324" t="s">
        <v>7140</v>
      </c>
      <c r="F324" s="8" t="s">
        <v>4340</v>
      </c>
      <c r="G324" t="s">
        <v>6877</v>
      </c>
      <c r="H324">
        <v>1</v>
      </c>
      <c r="I324" t="str">
        <f t="shared" si="6"/>
        <v>('CGM-LP-157','laptop','SOPHOS','','','OCUPADO',1),</v>
      </c>
    </row>
    <row r="325" spans="1:9" x14ac:dyDescent="0.25">
      <c r="A325">
        <v>324</v>
      </c>
      <c r="B325" t="s">
        <v>9388</v>
      </c>
      <c r="C325" t="s">
        <v>4354</v>
      </c>
      <c r="D325" t="s">
        <v>7140</v>
      </c>
      <c r="F325" s="8" t="s">
        <v>4340</v>
      </c>
      <c r="G325" t="s">
        <v>6877</v>
      </c>
      <c r="H325">
        <v>1</v>
      </c>
      <c r="I325" t="str">
        <f t="shared" si="6"/>
        <v>('CGM-LP-158','laptop','SOPHOS','','','OCUPADO',1),</v>
      </c>
    </row>
    <row r="326" spans="1:9" x14ac:dyDescent="0.25">
      <c r="A326">
        <v>325</v>
      </c>
      <c r="B326" t="s">
        <v>7154</v>
      </c>
      <c r="C326" t="s">
        <v>4354</v>
      </c>
      <c r="D326" t="s">
        <v>7140</v>
      </c>
      <c r="F326" s="8" t="s">
        <v>4340</v>
      </c>
      <c r="G326" t="s">
        <v>6877</v>
      </c>
      <c r="H326">
        <v>1</v>
      </c>
      <c r="I326" t="str">
        <f t="shared" ref="I326:I389" si="7">_xlfn.CONCAT("('",B326,"','",C326,"','",D326,"','",E326,"','",F326,"','",G326,"',",H326,"),")</f>
        <v>('CGM-LP-159','laptop','SOPHOS','','','OCUPADO',1),</v>
      </c>
    </row>
    <row r="327" spans="1:9" x14ac:dyDescent="0.25">
      <c r="A327">
        <v>326</v>
      </c>
      <c r="B327" t="s">
        <v>9441</v>
      </c>
      <c r="C327" t="s">
        <v>4354</v>
      </c>
      <c r="D327" t="s">
        <v>7140</v>
      </c>
      <c r="F327" s="8" t="s">
        <v>4340</v>
      </c>
      <c r="G327" t="s">
        <v>6877</v>
      </c>
      <c r="H327">
        <v>1</v>
      </c>
      <c r="I327" t="str">
        <f t="shared" si="7"/>
        <v>('CGM-LP-160','laptop','SOPHOS','','','OCUPADO',1),</v>
      </c>
    </row>
    <row r="328" spans="1:9" x14ac:dyDescent="0.25">
      <c r="A328">
        <v>327</v>
      </c>
      <c r="B328" t="s">
        <v>7155</v>
      </c>
      <c r="C328" t="s">
        <v>4354</v>
      </c>
      <c r="D328" t="s">
        <v>7140</v>
      </c>
      <c r="F328" s="8" t="s">
        <v>4340</v>
      </c>
      <c r="G328" t="s">
        <v>6877</v>
      </c>
      <c r="H328">
        <v>1</v>
      </c>
      <c r="I328" t="str">
        <f t="shared" si="7"/>
        <v>('CGM-LP-161','laptop','SOPHOS','','','OCUPADO',1),</v>
      </c>
    </row>
    <row r="329" spans="1:9" x14ac:dyDescent="0.25">
      <c r="A329">
        <v>328</v>
      </c>
      <c r="B329" t="s">
        <v>7156</v>
      </c>
      <c r="C329" t="s">
        <v>4354</v>
      </c>
      <c r="D329" t="s">
        <v>7140</v>
      </c>
      <c r="F329" s="8" t="s">
        <v>4340</v>
      </c>
      <c r="G329" t="s">
        <v>6877</v>
      </c>
      <c r="H329">
        <v>1</v>
      </c>
      <c r="I329" t="str">
        <f t="shared" si="7"/>
        <v>('CGM-LP-162','laptop','SOPHOS','','','OCUPADO',1),</v>
      </c>
    </row>
    <row r="330" spans="1:9" x14ac:dyDescent="0.25">
      <c r="A330">
        <v>329</v>
      </c>
      <c r="B330" t="s">
        <v>7157</v>
      </c>
      <c r="C330" t="s">
        <v>4354</v>
      </c>
      <c r="D330" t="s">
        <v>7140</v>
      </c>
      <c r="F330" s="8" t="s">
        <v>4340</v>
      </c>
      <c r="G330" t="s">
        <v>6877</v>
      </c>
      <c r="H330">
        <v>1</v>
      </c>
      <c r="I330" t="str">
        <f t="shared" si="7"/>
        <v>('CGM-LP-163','laptop','SOPHOS','','','OCUPADO',1),</v>
      </c>
    </row>
    <row r="331" spans="1:9" x14ac:dyDescent="0.25">
      <c r="A331">
        <v>330</v>
      </c>
      <c r="B331" t="s">
        <v>9496</v>
      </c>
      <c r="C331" t="s">
        <v>4354</v>
      </c>
      <c r="D331" t="s">
        <v>7140</v>
      </c>
      <c r="F331" s="8" t="s">
        <v>4340</v>
      </c>
      <c r="G331" t="s">
        <v>6877</v>
      </c>
      <c r="H331">
        <v>1</v>
      </c>
      <c r="I331" t="str">
        <f t="shared" si="7"/>
        <v>('CGM-LP-164','laptop','SOPHOS','','','OCUPADO',1),</v>
      </c>
    </row>
    <row r="332" spans="1:9" x14ac:dyDescent="0.25">
      <c r="A332">
        <v>331</v>
      </c>
      <c r="B332" t="s">
        <v>9376</v>
      </c>
      <c r="C332" t="s">
        <v>4354</v>
      </c>
      <c r="D332" t="s">
        <v>7140</v>
      </c>
      <c r="F332" s="8" t="s">
        <v>4340</v>
      </c>
      <c r="G332" t="s">
        <v>6877</v>
      </c>
      <c r="H332">
        <v>1</v>
      </c>
      <c r="I332" t="str">
        <f t="shared" si="7"/>
        <v>('CGM-LP-165','laptop','SOPHOS','','','OCUPADO',1),</v>
      </c>
    </row>
    <row r="333" spans="1:9" x14ac:dyDescent="0.25">
      <c r="A333">
        <v>332</v>
      </c>
      <c r="B333" t="s">
        <v>9376</v>
      </c>
      <c r="C333" t="s">
        <v>4354</v>
      </c>
      <c r="D333" t="s">
        <v>7140</v>
      </c>
      <c r="F333" s="8" t="s">
        <v>4340</v>
      </c>
      <c r="G333" t="s">
        <v>6877</v>
      </c>
      <c r="H333">
        <v>1</v>
      </c>
      <c r="I333" t="str">
        <f t="shared" si="7"/>
        <v>('CGM-LP-165','laptop','SOPHOS','','','OCUPADO',1),</v>
      </c>
    </row>
    <row r="334" spans="1:9" x14ac:dyDescent="0.25">
      <c r="A334">
        <v>333</v>
      </c>
      <c r="B334" t="s">
        <v>9376</v>
      </c>
      <c r="C334" t="s">
        <v>4354</v>
      </c>
      <c r="D334" t="s">
        <v>7140</v>
      </c>
      <c r="F334" s="8" t="s">
        <v>4340</v>
      </c>
      <c r="G334" t="s">
        <v>6877</v>
      </c>
      <c r="H334">
        <v>1</v>
      </c>
      <c r="I334" t="str">
        <f t="shared" si="7"/>
        <v>('CGM-LP-165','laptop','SOPHOS','','','OCUPADO',1),</v>
      </c>
    </row>
    <row r="335" spans="1:9" x14ac:dyDescent="0.25">
      <c r="A335">
        <v>334</v>
      </c>
      <c r="B335" t="s">
        <v>9477</v>
      </c>
      <c r="C335" t="s">
        <v>4354</v>
      </c>
      <c r="D335" t="s">
        <v>7140</v>
      </c>
      <c r="F335" s="8" t="s">
        <v>4340</v>
      </c>
      <c r="G335" t="s">
        <v>6877</v>
      </c>
      <c r="H335">
        <v>1</v>
      </c>
      <c r="I335" t="str">
        <f t="shared" si="7"/>
        <v>('CGM-LP-167','laptop','SOPHOS','','','OCUPADO',1),</v>
      </c>
    </row>
    <row r="336" spans="1:9" x14ac:dyDescent="0.25">
      <c r="A336">
        <v>335</v>
      </c>
      <c r="B336" t="s">
        <v>9426</v>
      </c>
      <c r="C336" t="s">
        <v>4354</v>
      </c>
      <c r="D336" t="s">
        <v>7140</v>
      </c>
      <c r="F336" s="8" t="s">
        <v>4340</v>
      </c>
      <c r="G336" t="s">
        <v>6877</v>
      </c>
      <c r="H336">
        <v>1</v>
      </c>
      <c r="I336" t="str">
        <f t="shared" si="7"/>
        <v>('CGM-LP-168','laptop','SOPHOS','','','OCUPADO',1),</v>
      </c>
    </row>
    <row r="337" spans="1:9" x14ac:dyDescent="0.25">
      <c r="A337">
        <v>336</v>
      </c>
      <c r="B337" t="s">
        <v>9426</v>
      </c>
      <c r="C337" t="s">
        <v>4354</v>
      </c>
      <c r="D337" t="s">
        <v>7140</v>
      </c>
      <c r="F337" s="8" t="s">
        <v>4340</v>
      </c>
      <c r="G337" t="s">
        <v>6877</v>
      </c>
      <c r="H337">
        <v>1</v>
      </c>
      <c r="I337" t="str">
        <f t="shared" si="7"/>
        <v>('CGM-LP-168','laptop','SOPHOS','','','OCUPADO',1),</v>
      </c>
    </row>
    <row r="338" spans="1:9" x14ac:dyDescent="0.25">
      <c r="A338">
        <v>337</v>
      </c>
      <c r="B338" t="s">
        <v>9393</v>
      </c>
      <c r="C338" t="s">
        <v>4354</v>
      </c>
      <c r="D338" t="s">
        <v>7140</v>
      </c>
      <c r="F338" s="8" t="s">
        <v>4340</v>
      </c>
      <c r="G338" t="s">
        <v>6877</v>
      </c>
      <c r="H338">
        <v>1</v>
      </c>
      <c r="I338" t="str">
        <f t="shared" si="7"/>
        <v>('CGM-LP-169','laptop','SOPHOS','','','OCUPADO',1),</v>
      </c>
    </row>
    <row r="339" spans="1:9" x14ac:dyDescent="0.25">
      <c r="A339">
        <v>338</v>
      </c>
      <c r="B339" t="s">
        <v>9463</v>
      </c>
      <c r="C339" t="s">
        <v>4354</v>
      </c>
      <c r="D339" t="s">
        <v>7140</v>
      </c>
      <c r="F339" s="8" t="s">
        <v>4340</v>
      </c>
      <c r="G339" t="s">
        <v>6877</v>
      </c>
      <c r="H339">
        <v>1</v>
      </c>
      <c r="I339" t="str">
        <f t="shared" si="7"/>
        <v>('CGM-LP-170','laptop','SOPHOS','','','OCUPADO',1),</v>
      </c>
    </row>
    <row r="340" spans="1:9" x14ac:dyDescent="0.25">
      <c r="A340">
        <v>339</v>
      </c>
      <c r="B340" t="s">
        <v>9486</v>
      </c>
      <c r="C340" t="s">
        <v>4354</v>
      </c>
      <c r="D340" t="s">
        <v>7140</v>
      </c>
      <c r="F340" s="8" t="s">
        <v>4340</v>
      </c>
      <c r="G340" t="s">
        <v>6877</v>
      </c>
      <c r="H340">
        <v>1</v>
      </c>
      <c r="I340" t="str">
        <f t="shared" si="7"/>
        <v>('CGM-LP-171','laptop','SOPHOS','','','OCUPADO',1),</v>
      </c>
    </row>
    <row r="341" spans="1:9" x14ac:dyDescent="0.25">
      <c r="A341">
        <v>340</v>
      </c>
      <c r="B341" t="s">
        <v>9540</v>
      </c>
      <c r="C341" t="s">
        <v>4354</v>
      </c>
      <c r="D341" t="s">
        <v>7140</v>
      </c>
      <c r="F341" s="8" t="s">
        <v>4340</v>
      </c>
      <c r="G341" t="s">
        <v>6877</v>
      </c>
      <c r="H341">
        <v>1</v>
      </c>
      <c r="I341" t="str">
        <f t="shared" si="7"/>
        <v>('CGM-LP-172','laptop','SOPHOS','','','OCUPADO',1),</v>
      </c>
    </row>
    <row r="342" spans="1:9" x14ac:dyDescent="0.25">
      <c r="A342">
        <v>341</v>
      </c>
      <c r="B342" t="s">
        <v>7158</v>
      </c>
      <c r="C342" t="s">
        <v>4354</v>
      </c>
      <c r="D342" t="s">
        <v>7140</v>
      </c>
      <c r="F342" s="8" t="s">
        <v>4340</v>
      </c>
      <c r="G342" t="s">
        <v>6877</v>
      </c>
      <c r="H342">
        <v>1</v>
      </c>
      <c r="I342" t="str">
        <f t="shared" si="7"/>
        <v>('CGM-LP-173','laptop','SOPHOS','','','OCUPADO',1),</v>
      </c>
    </row>
    <row r="343" spans="1:9" x14ac:dyDescent="0.25">
      <c r="A343">
        <v>342</v>
      </c>
      <c r="B343" t="s">
        <v>7159</v>
      </c>
      <c r="C343" t="s">
        <v>4354</v>
      </c>
      <c r="D343" t="s">
        <v>7140</v>
      </c>
      <c r="F343" s="8" t="s">
        <v>4340</v>
      </c>
      <c r="G343" t="s">
        <v>6877</v>
      </c>
      <c r="H343">
        <v>1</v>
      </c>
      <c r="I343" t="str">
        <f t="shared" si="7"/>
        <v>('CGM-LP-174','laptop','SOPHOS','','','OCUPADO',1),</v>
      </c>
    </row>
    <row r="344" spans="1:9" x14ac:dyDescent="0.25">
      <c r="A344">
        <v>343</v>
      </c>
      <c r="B344" t="s">
        <v>9408</v>
      </c>
      <c r="C344" t="s">
        <v>4354</v>
      </c>
      <c r="D344" t="s">
        <v>7140</v>
      </c>
      <c r="F344" s="8" t="s">
        <v>4340</v>
      </c>
      <c r="G344" t="s">
        <v>6877</v>
      </c>
      <c r="H344">
        <v>1</v>
      </c>
      <c r="I344" t="str">
        <f t="shared" si="7"/>
        <v>('CGM-LP-175','laptop','SOPHOS','','','OCUPADO',1),</v>
      </c>
    </row>
    <row r="345" spans="1:9" x14ac:dyDescent="0.25">
      <c r="A345">
        <v>344</v>
      </c>
      <c r="B345" t="s">
        <v>9462</v>
      </c>
      <c r="C345" t="s">
        <v>4354</v>
      </c>
      <c r="D345" t="s">
        <v>7140</v>
      </c>
      <c r="F345" s="8" t="s">
        <v>4340</v>
      </c>
      <c r="G345" t="s">
        <v>6877</v>
      </c>
      <c r="H345">
        <v>1</v>
      </c>
      <c r="I345" t="str">
        <f t="shared" si="7"/>
        <v>('CGM-LP-176','laptop','SOPHOS','','','OCUPADO',1),</v>
      </c>
    </row>
    <row r="346" spans="1:9" x14ac:dyDescent="0.25">
      <c r="A346">
        <v>345</v>
      </c>
      <c r="B346" t="s">
        <v>7160</v>
      </c>
      <c r="C346" t="s">
        <v>4354</v>
      </c>
      <c r="D346" t="s">
        <v>7140</v>
      </c>
      <c r="F346" s="8" t="s">
        <v>4340</v>
      </c>
      <c r="G346" t="s">
        <v>6877</v>
      </c>
      <c r="H346">
        <v>1</v>
      </c>
      <c r="I346" t="str">
        <f t="shared" si="7"/>
        <v>('CGM-LP-177','laptop','SOPHOS','','','OCUPADO',1),</v>
      </c>
    </row>
    <row r="347" spans="1:9" x14ac:dyDescent="0.25">
      <c r="A347">
        <v>346</v>
      </c>
      <c r="B347" t="s">
        <v>9506</v>
      </c>
      <c r="C347" t="s">
        <v>4354</v>
      </c>
      <c r="D347" t="s">
        <v>7140</v>
      </c>
      <c r="F347" s="8" t="s">
        <v>4340</v>
      </c>
      <c r="G347" t="s">
        <v>6877</v>
      </c>
      <c r="H347">
        <v>1</v>
      </c>
      <c r="I347" t="str">
        <f t="shared" si="7"/>
        <v>('CGM-LP-179','laptop','SOPHOS','','','OCUPADO',1),</v>
      </c>
    </row>
    <row r="348" spans="1:9" x14ac:dyDescent="0.25">
      <c r="A348">
        <v>347</v>
      </c>
      <c r="B348" t="s">
        <v>7161</v>
      </c>
      <c r="C348" t="s">
        <v>4354</v>
      </c>
      <c r="D348" t="s">
        <v>7140</v>
      </c>
      <c r="F348" s="8" t="s">
        <v>4340</v>
      </c>
      <c r="G348" t="s">
        <v>6877</v>
      </c>
      <c r="H348">
        <v>1</v>
      </c>
      <c r="I348" t="str">
        <f t="shared" si="7"/>
        <v>('CGM-LP-180','laptop','SOPHOS','','','OCUPADO',1),</v>
      </c>
    </row>
    <row r="349" spans="1:9" x14ac:dyDescent="0.25">
      <c r="A349">
        <v>348</v>
      </c>
      <c r="B349" t="s">
        <v>9490</v>
      </c>
      <c r="C349" t="s">
        <v>4354</v>
      </c>
      <c r="D349" t="s">
        <v>7140</v>
      </c>
      <c r="F349" s="8" t="s">
        <v>4340</v>
      </c>
      <c r="G349" t="s">
        <v>6877</v>
      </c>
      <c r="H349">
        <v>1</v>
      </c>
      <c r="I349" t="str">
        <f t="shared" si="7"/>
        <v>('CGM-LP-182','laptop','SOPHOS','','','OCUPADO',1),</v>
      </c>
    </row>
    <row r="350" spans="1:9" x14ac:dyDescent="0.25">
      <c r="A350">
        <v>349</v>
      </c>
      <c r="B350" t="s">
        <v>9447</v>
      </c>
      <c r="C350" t="s">
        <v>4354</v>
      </c>
      <c r="D350" t="s">
        <v>7140</v>
      </c>
      <c r="F350" s="8" t="s">
        <v>4340</v>
      </c>
      <c r="G350" t="s">
        <v>6877</v>
      </c>
      <c r="H350">
        <v>1</v>
      </c>
      <c r="I350" t="str">
        <f t="shared" si="7"/>
        <v>('CGM-LP-183','laptop','SOPHOS','','','OCUPADO',1),</v>
      </c>
    </row>
    <row r="351" spans="1:9" x14ac:dyDescent="0.25">
      <c r="A351">
        <v>350</v>
      </c>
      <c r="B351" t="s">
        <v>9447</v>
      </c>
      <c r="C351" t="s">
        <v>4354</v>
      </c>
      <c r="D351" t="s">
        <v>7140</v>
      </c>
      <c r="F351" s="8" t="s">
        <v>4340</v>
      </c>
      <c r="G351" t="s">
        <v>6877</v>
      </c>
      <c r="H351">
        <v>1</v>
      </c>
      <c r="I351" t="str">
        <f t="shared" si="7"/>
        <v>('CGM-LP-183','laptop','SOPHOS','','','OCUPADO',1),</v>
      </c>
    </row>
    <row r="352" spans="1:9" x14ac:dyDescent="0.25">
      <c r="A352">
        <v>351</v>
      </c>
      <c r="B352" t="s">
        <v>9547</v>
      </c>
      <c r="C352" t="s">
        <v>4354</v>
      </c>
      <c r="D352" t="s">
        <v>7140</v>
      </c>
      <c r="F352" s="8" t="s">
        <v>4340</v>
      </c>
      <c r="G352" t="s">
        <v>6877</v>
      </c>
      <c r="H352">
        <v>1</v>
      </c>
      <c r="I352" t="str">
        <f t="shared" si="7"/>
        <v>('CGM-LP-184','laptop','SOPHOS','','','OCUPADO',1),</v>
      </c>
    </row>
    <row r="353" spans="1:9" x14ac:dyDescent="0.25">
      <c r="A353">
        <v>352</v>
      </c>
      <c r="B353" t="s">
        <v>9515</v>
      </c>
      <c r="C353" t="s">
        <v>4354</v>
      </c>
      <c r="D353" t="s">
        <v>7140</v>
      </c>
      <c r="F353" s="8" t="s">
        <v>4340</v>
      </c>
      <c r="G353" t="s">
        <v>6877</v>
      </c>
      <c r="H353">
        <v>1</v>
      </c>
      <c r="I353" t="str">
        <f t="shared" si="7"/>
        <v>('CGM-LP-186','laptop','SOPHOS','','','OCUPADO',1),</v>
      </c>
    </row>
    <row r="354" spans="1:9" x14ac:dyDescent="0.25">
      <c r="A354">
        <v>353</v>
      </c>
      <c r="B354" t="s">
        <v>7162</v>
      </c>
      <c r="C354" t="s">
        <v>4354</v>
      </c>
      <c r="D354" t="s">
        <v>7140</v>
      </c>
      <c r="F354" s="8" t="s">
        <v>4340</v>
      </c>
      <c r="G354" t="s">
        <v>6877</v>
      </c>
      <c r="H354">
        <v>1</v>
      </c>
      <c r="I354" t="str">
        <f t="shared" si="7"/>
        <v>('CGM-LP-187','laptop','SOPHOS','','','OCUPADO',1),</v>
      </c>
    </row>
    <row r="355" spans="1:9" x14ac:dyDescent="0.25">
      <c r="A355">
        <v>354</v>
      </c>
      <c r="B355" t="s">
        <v>7163</v>
      </c>
      <c r="C355" t="s">
        <v>4354</v>
      </c>
      <c r="D355" t="s">
        <v>7140</v>
      </c>
      <c r="F355" s="8" t="s">
        <v>4340</v>
      </c>
      <c r="G355" t="s">
        <v>6877</v>
      </c>
      <c r="H355">
        <v>1</v>
      </c>
      <c r="I355" t="str">
        <f t="shared" si="7"/>
        <v>('CGM-LP-189','laptop','SOPHOS','','','OCUPADO',1),</v>
      </c>
    </row>
    <row r="356" spans="1:9" x14ac:dyDescent="0.25">
      <c r="A356">
        <v>355</v>
      </c>
      <c r="B356" t="s">
        <v>9514</v>
      </c>
      <c r="C356" t="s">
        <v>4354</v>
      </c>
      <c r="D356" t="s">
        <v>7140</v>
      </c>
      <c r="F356" s="8" t="s">
        <v>4340</v>
      </c>
      <c r="G356" t="s">
        <v>6877</v>
      </c>
      <c r="H356">
        <v>1</v>
      </c>
      <c r="I356" t="str">
        <f t="shared" si="7"/>
        <v>('CGM-LP-190','laptop','SOPHOS','','','OCUPADO',1),</v>
      </c>
    </row>
    <row r="357" spans="1:9" x14ac:dyDescent="0.25">
      <c r="A357">
        <v>356</v>
      </c>
      <c r="B357" t="s">
        <v>9378</v>
      </c>
      <c r="C357" t="s">
        <v>4354</v>
      </c>
      <c r="D357" t="s">
        <v>7140</v>
      </c>
      <c r="F357" s="8" t="s">
        <v>4340</v>
      </c>
      <c r="G357" t="s">
        <v>6877</v>
      </c>
      <c r="H357">
        <v>1</v>
      </c>
      <c r="I357" t="str">
        <f t="shared" si="7"/>
        <v>('CGM-LP-191','laptop','SOPHOS','','','OCUPADO',1),</v>
      </c>
    </row>
    <row r="358" spans="1:9" x14ac:dyDescent="0.25">
      <c r="A358">
        <v>357</v>
      </c>
      <c r="B358" t="s">
        <v>9520</v>
      </c>
      <c r="C358" t="s">
        <v>4354</v>
      </c>
      <c r="D358" t="s">
        <v>7140</v>
      </c>
      <c r="F358" s="8" t="s">
        <v>4340</v>
      </c>
      <c r="G358" t="s">
        <v>6877</v>
      </c>
      <c r="H358">
        <v>1</v>
      </c>
      <c r="I358" t="str">
        <f t="shared" si="7"/>
        <v>('CGM-LP-192','laptop','SOPHOS','','','OCUPADO',1),</v>
      </c>
    </row>
    <row r="359" spans="1:9" x14ac:dyDescent="0.25">
      <c r="A359">
        <v>358</v>
      </c>
      <c r="B359" t="s">
        <v>9392</v>
      </c>
      <c r="C359" t="s">
        <v>4354</v>
      </c>
      <c r="D359" t="s">
        <v>7140</v>
      </c>
      <c r="F359" s="8" t="s">
        <v>4340</v>
      </c>
      <c r="G359" t="s">
        <v>6877</v>
      </c>
      <c r="H359">
        <v>1</v>
      </c>
      <c r="I359" t="str">
        <f t="shared" si="7"/>
        <v>('CGM-LP-193','laptop','SOPHOS','','','OCUPADO',1),</v>
      </c>
    </row>
    <row r="360" spans="1:9" x14ac:dyDescent="0.25">
      <c r="A360">
        <v>359</v>
      </c>
      <c r="B360" t="s">
        <v>9551</v>
      </c>
      <c r="C360" t="s">
        <v>4354</v>
      </c>
      <c r="D360" t="s">
        <v>7140</v>
      </c>
      <c r="F360" s="8" t="s">
        <v>4340</v>
      </c>
      <c r="G360" t="s">
        <v>6877</v>
      </c>
      <c r="H360">
        <v>1</v>
      </c>
      <c r="I360" t="str">
        <f t="shared" si="7"/>
        <v>('CGM-LP-195','laptop','SOPHOS','','','OCUPADO',1),</v>
      </c>
    </row>
    <row r="361" spans="1:9" x14ac:dyDescent="0.25">
      <c r="A361">
        <v>360</v>
      </c>
      <c r="B361" t="s">
        <v>9498</v>
      </c>
      <c r="C361" t="s">
        <v>4354</v>
      </c>
      <c r="D361" t="s">
        <v>7140</v>
      </c>
      <c r="F361" s="8" t="s">
        <v>4340</v>
      </c>
      <c r="G361" t="s">
        <v>6877</v>
      </c>
      <c r="H361">
        <v>1</v>
      </c>
      <c r="I361" t="str">
        <f t="shared" si="7"/>
        <v>('CGM-LP-196','laptop','SOPHOS','','','OCUPADO',1),</v>
      </c>
    </row>
    <row r="362" spans="1:9" x14ac:dyDescent="0.25">
      <c r="A362">
        <v>361</v>
      </c>
      <c r="B362" t="s">
        <v>9485</v>
      </c>
      <c r="C362" t="s">
        <v>4354</v>
      </c>
      <c r="D362" t="s">
        <v>7140</v>
      </c>
      <c r="F362" s="8" t="s">
        <v>4340</v>
      </c>
      <c r="G362" t="s">
        <v>6877</v>
      </c>
      <c r="H362">
        <v>1</v>
      </c>
      <c r="I362" t="str">
        <f t="shared" si="7"/>
        <v>('CGM-LP-197','laptop','SOPHOS','','','OCUPADO',1),</v>
      </c>
    </row>
    <row r="363" spans="1:9" x14ac:dyDescent="0.25">
      <c r="A363">
        <v>362</v>
      </c>
      <c r="B363" t="s">
        <v>9464</v>
      </c>
      <c r="C363" t="s">
        <v>4354</v>
      </c>
      <c r="D363" t="s">
        <v>7140</v>
      </c>
      <c r="F363" s="8" t="s">
        <v>4340</v>
      </c>
      <c r="G363" t="s">
        <v>6877</v>
      </c>
      <c r="H363">
        <v>1</v>
      </c>
      <c r="I363" t="str">
        <f t="shared" si="7"/>
        <v>('CGM-LP-198','laptop','SOPHOS','','','OCUPADO',1),</v>
      </c>
    </row>
    <row r="364" spans="1:9" x14ac:dyDescent="0.25">
      <c r="A364">
        <v>363</v>
      </c>
      <c r="B364" t="s">
        <v>9512</v>
      </c>
      <c r="C364" t="s">
        <v>4354</v>
      </c>
      <c r="D364" t="s">
        <v>7140</v>
      </c>
      <c r="F364" s="8" t="s">
        <v>4340</v>
      </c>
      <c r="G364" t="s">
        <v>6877</v>
      </c>
      <c r="H364">
        <v>1</v>
      </c>
      <c r="I364" t="str">
        <f t="shared" si="7"/>
        <v>('CGM-LP-199','laptop','SOPHOS','','','OCUPADO',1),</v>
      </c>
    </row>
    <row r="365" spans="1:9" x14ac:dyDescent="0.25">
      <c r="A365">
        <v>364</v>
      </c>
      <c r="B365" t="s">
        <v>9417</v>
      </c>
      <c r="C365" t="s">
        <v>4354</v>
      </c>
      <c r="D365" t="s">
        <v>7140</v>
      </c>
      <c r="F365" s="8" t="s">
        <v>4340</v>
      </c>
      <c r="G365" t="s">
        <v>6877</v>
      </c>
      <c r="H365">
        <v>1</v>
      </c>
      <c r="I365" t="str">
        <f t="shared" si="7"/>
        <v>('CGM-LP-201','laptop','SOPHOS','','','OCUPADO',1),</v>
      </c>
    </row>
    <row r="366" spans="1:9" x14ac:dyDescent="0.25">
      <c r="A366">
        <v>365</v>
      </c>
      <c r="B366" t="s">
        <v>7164</v>
      </c>
      <c r="C366" t="s">
        <v>4354</v>
      </c>
      <c r="D366" t="s">
        <v>7140</v>
      </c>
      <c r="F366" s="8" t="s">
        <v>4340</v>
      </c>
      <c r="G366" t="s">
        <v>6877</v>
      </c>
      <c r="H366">
        <v>1</v>
      </c>
      <c r="I366" t="str">
        <f t="shared" si="7"/>
        <v>('CGM-LP-202','laptop','SOPHOS','','','OCUPADO',1),</v>
      </c>
    </row>
    <row r="367" spans="1:9" x14ac:dyDescent="0.25">
      <c r="A367">
        <v>366</v>
      </c>
      <c r="B367" t="s">
        <v>9471</v>
      </c>
      <c r="C367" t="s">
        <v>4354</v>
      </c>
      <c r="D367" t="s">
        <v>7140</v>
      </c>
      <c r="F367" s="8" t="s">
        <v>4340</v>
      </c>
      <c r="G367" t="s">
        <v>6877</v>
      </c>
      <c r="H367">
        <v>1</v>
      </c>
      <c r="I367" t="str">
        <f t="shared" si="7"/>
        <v>('CGM-LP-203','laptop','SOPHOS','','','OCUPADO',1),</v>
      </c>
    </row>
    <row r="368" spans="1:9" x14ac:dyDescent="0.25">
      <c r="A368">
        <v>367</v>
      </c>
      <c r="B368" t="s">
        <v>9386</v>
      </c>
      <c r="C368" t="s">
        <v>4354</v>
      </c>
      <c r="D368" t="s">
        <v>7140</v>
      </c>
      <c r="F368" s="8" t="s">
        <v>4340</v>
      </c>
      <c r="G368" t="s">
        <v>6877</v>
      </c>
      <c r="H368">
        <v>1</v>
      </c>
      <c r="I368" t="str">
        <f t="shared" si="7"/>
        <v>('CGM-LP-204','laptop','SOPHOS','','','OCUPADO',1),</v>
      </c>
    </row>
    <row r="369" spans="1:9" x14ac:dyDescent="0.25">
      <c r="A369">
        <v>368</v>
      </c>
      <c r="B369" t="s">
        <v>9519</v>
      </c>
      <c r="C369" t="s">
        <v>4354</v>
      </c>
      <c r="D369" t="s">
        <v>7140</v>
      </c>
      <c r="F369" s="8" t="s">
        <v>4340</v>
      </c>
      <c r="G369" t="s">
        <v>6877</v>
      </c>
      <c r="H369">
        <v>1</v>
      </c>
      <c r="I369" t="str">
        <f t="shared" si="7"/>
        <v>('CGM-LP-205','laptop','SOPHOS','','','OCUPADO',1),</v>
      </c>
    </row>
    <row r="370" spans="1:9" x14ac:dyDescent="0.25">
      <c r="A370">
        <v>369</v>
      </c>
      <c r="B370" t="s">
        <v>9438</v>
      </c>
      <c r="C370" t="s">
        <v>4354</v>
      </c>
      <c r="D370" t="s">
        <v>7140</v>
      </c>
      <c r="F370" s="8" t="s">
        <v>4340</v>
      </c>
      <c r="G370" t="s">
        <v>6877</v>
      </c>
      <c r="H370">
        <v>1</v>
      </c>
      <c r="I370" t="str">
        <f t="shared" si="7"/>
        <v>('CGM-LP-208','laptop','SOPHOS','','','OCUPADO',1),</v>
      </c>
    </row>
    <row r="371" spans="1:9" x14ac:dyDescent="0.25">
      <c r="A371">
        <v>370</v>
      </c>
      <c r="B371" t="s">
        <v>9438</v>
      </c>
      <c r="C371" t="s">
        <v>4354</v>
      </c>
      <c r="D371" t="s">
        <v>7140</v>
      </c>
      <c r="F371" s="8" t="s">
        <v>4340</v>
      </c>
      <c r="G371" t="s">
        <v>6877</v>
      </c>
      <c r="H371">
        <v>1</v>
      </c>
      <c r="I371" t="str">
        <f t="shared" si="7"/>
        <v>('CGM-LP-208','laptop','SOPHOS','','','OCUPADO',1),</v>
      </c>
    </row>
    <row r="372" spans="1:9" x14ac:dyDescent="0.25">
      <c r="A372">
        <v>371</v>
      </c>
      <c r="B372" t="s">
        <v>9523</v>
      </c>
      <c r="C372" t="s">
        <v>4354</v>
      </c>
      <c r="D372" t="s">
        <v>7140</v>
      </c>
      <c r="F372" s="8" t="s">
        <v>4340</v>
      </c>
      <c r="G372" t="s">
        <v>6877</v>
      </c>
      <c r="H372">
        <v>1</v>
      </c>
      <c r="I372" t="str">
        <f t="shared" si="7"/>
        <v>('CGM-LP-210','laptop','SOPHOS','','','OCUPADO',1),</v>
      </c>
    </row>
    <row r="373" spans="1:9" x14ac:dyDescent="0.25">
      <c r="A373">
        <v>372</v>
      </c>
      <c r="B373" t="s">
        <v>9419</v>
      </c>
      <c r="C373" t="s">
        <v>4354</v>
      </c>
      <c r="D373" t="s">
        <v>7140</v>
      </c>
      <c r="F373" s="8" t="s">
        <v>4340</v>
      </c>
      <c r="G373" t="s">
        <v>6877</v>
      </c>
      <c r="H373">
        <v>1</v>
      </c>
      <c r="I373" t="str">
        <f t="shared" si="7"/>
        <v>('CGM-LP-211','laptop','SOPHOS','','','OCUPADO',1),</v>
      </c>
    </row>
    <row r="374" spans="1:9" x14ac:dyDescent="0.25">
      <c r="A374">
        <v>373</v>
      </c>
      <c r="B374" t="s">
        <v>9501</v>
      </c>
      <c r="C374" t="s">
        <v>4354</v>
      </c>
      <c r="D374" t="s">
        <v>7140</v>
      </c>
      <c r="F374" s="8" t="s">
        <v>4340</v>
      </c>
      <c r="G374" t="s">
        <v>6877</v>
      </c>
      <c r="H374">
        <v>1</v>
      </c>
      <c r="I374" t="str">
        <f t="shared" si="7"/>
        <v>('CGM-LP-213','laptop','SOPHOS','','','OCUPADO',1),</v>
      </c>
    </row>
    <row r="375" spans="1:9" x14ac:dyDescent="0.25">
      <c r="A375">
        <v>374</v>
      </c>
      <c r="B375" t="s">
        <v>9400</v>
      </c>
      <c r="C375" t="s">
        <v>4354</v>
      </c>
      <c r="D375" t="s">
        <v>7140</v>
      </c>
      <c r="F375" s="8" t="s">
        <v>4340</v>
      </c>
      <c r="G375" t="s">
        <v>6877</v>
      </c>
      <c r="H375">
        <v>1</v>
      </c>
      <c r="I375" t="str">
        <f t="shared" si="7"/>
        <v>('CGM-LP-214','laptop','SOPHOS','','','OCUPADO',1),</v>
      </c>
    </row>
    <row r="376" spans="1:9" x14ac:dyDescent="0.25">
      <c r="A376">
        <v>375</v>
      </c>
      <c r="B376" t="s">
        <v>9478</v>
      </c>
      <c r="C376" t="s">
        <v>4354</v>
      </c>
      <c r="D376" t="s">
        <v>7140</v>
      </c>
      <c r="F376" s="8" t="s">
        <v>4340</v>
      </c>
      <c r="G376" t="s">
        <v>6877</v>
      </c>
      <c r="H376">
        <v>1</v>
      </c>
      <c r="I376" t="str">
        <f t="shared" si="7"/>
        <v>('CGM-LP-215','laptop','SOPHOS','','','OCUPADO',1),</v>
      </c>
    </row>
    <row r="377" spans="1:9" x14ac:dyDescent="0.25">
      <c r="A377">
        <v>376</v>
      </c>
      <c r="B377" t="s">
        <v>9454</v>
      </c>
      <c r="C377" t="s">
        <v>4354</v>
      </c>
      <c r="D377" t="s">
        <v>7140</v>
      </c>
      <c r="F377" s="8" t="s">
        <v>4340</v>
      </c>
      <c r="G377" t="s">
        <v>6877</v>
      </c>
      <c r="H377">
        <v>1</v>
      </c>
      <c r="I377" t="str">
        <f t="shared" si="7"/>
        <v>('CGM-LP-216','laptop','SOPHOS','','','OCUPADO',1),</v>
      </c>
    </row>
    <row r="378" spans="1:9" x14ac:dyDescent="0.25">
      <c r="A378">
        <v>377</v>
      </c>
      <c r="B378" t="s">
        <v>9461</v>
      </c>
      <c r="C378" t="s">
        <v>4354</v>
      </c>
      <c r="D378" t="s">
        <v>7140</v>
      </c>
      <c r="F378" s="8" t="s">
        <v>4340</v>
      </c>
      <c r="G378" t="s">
        <v>6877</v>
      </c>
      <c r="H378">
        <v>1</v>
      </c>
      <c r="I378" t="str">
        <f t="shared" si="7"/>
        <v>('CGM-LP-217','laptop','SOPHOS','','','OCUPADO',1),</v>
      </c>
    </row>
    <row r="379" spans="1:9" x14ac:dyDescent="0.25">
      <c r="A379">
        <v>378</v>
      </c>
      <c r="B379" t="s">
        <v>7165</v>
      </c>
      <c r="C379" t="s">
        <v>4354</v>
      </c>
      <c r="D379" t="s">
        <v>7140</v>
      </c>
      <c r="F379" s="8" t="s">
        <v>4340</v>
      </c>
      <c r="G379" t="s">
        <v>6877</v>
      </c>
      <c r="H379">
        <v>1</v>
      </c>
      <c r="I379" t="str">
        <f t="shared" si="7"/>
        <v>('CGM-LP-218','laptop','SOPHOS','','','OCUPADO',1),</v>
      </c>
    </row>
    <row r="380" spans="1:9" x14ac:dyDescent="0.25">
      <c r="A380">
        <v>379</v>
      </c>
      <c r="B380" t="s">
        <v>9431</v>
      </c>
      <c r="C380" t="s">
        <v>4354</v>
      </c>
      <c r="D380" t="s">
        <v>7140</v>
      </c>
      <c r="F380" s="8" t="s">
        <v>4340</v>
      </c>
      <c r="G380" t="s">
        <v>6877</v>
      </c>
      <c r="H380">
        <v>1</v>
      </c>
      <c r="I380" t="str">
        <f t="shared" si="7"/>
        <v>('CGM-LP-220','laptop','SOPHOS','','','OCUPADO',1),</v>
      </c>
    </row>
    <row r="381" spans="1:9" x14ac:dyDescent="0.25">
      <c r="A381">
        <v>380</v>
      </c>
      <c r="B381" t="s">
        <v>9546</v>
      </c>
      <c r="C381" t="s">
        <v>4354</v>
      </c>
      <c r="D381" t="s">
        <v>7140</v>
      </c>
      <c r="F381" s="8" t="s">
        <v>4340</v>
      </c>
      <c r="G381" t="s">
        <v>6877</v>
      </c>
      <c r="H381">
        <v>1</v>
      </c>
      <c r="I381" t="str">
        <f t="shared" si="7"/>
        <v>('CGM-LP-221','laptop','SOPHOS','','','OCUPADO',1),</v>
      </c>
    </row>
    <row r="382" spans="1:9" x14ac:dyDescent="0.25">
      <c r="A382">
        <v>381</v>
      </c>
      <c r="B382" t="s">
        <v>9503</v>
      </c>
      <c r="C382" t="s">
        <v>4354</v>
      </c>
      <c r="D382" t="s">
        <v>7140</v>
      </c>
      <c r="F382" s="8" t="s">
        <v>4340</v>
      </c>
      <c r="G382" t="s">
        <v>6877</v>
      </c>
      <c r="H382">
        <v>1</v>
      </c>
      <c r="I382" t="str">
        <f t="shared" si="7"/>
        <v>('CGM-LP-222','laptop','SOPHOS','','','OCUPADO',1),</v>
      </c>
    </row>
    <row r="383" spans="1:9" x14ac:dyDescent="0.25">
      <c r="A383">
        <v>382</v>
      </c>
      <c r="B383" t="s">
        <v>7166</v>
      </c>
      <c r="C383" t="s">
        <v>4354</v>
      </c>
      <c r="D383" t="s">
        <v>7140</v>
      </c>
      <c r="F383" s="8" t="s">
        <v>4340</v>
      </c>
      <c r="G383" t="s">
        <v>6877</v>
      </c>
      <c r="H383">
        <v>1</v>
      </c>
      <c r="I383" t="str">
        <f t="shared" si="7"/>
        <v>('CGM-LP-223','laptop','SOPHOS','','','OCUPADO',1),</v>
      </c>
    </row>
    <row r="384" spans="1:9" x14ac:dyDescent="0.25">
      <c r="A384">
        <v>383</v>
      </c>
      <c r="B384" t="s">
        <v>7167</v>
      </c>
      <c r="C384" t="s">
        <v>4354</v>
      </c>
      <c r="D384" t="s">
        <v>7140</v>
      </c>
      <c r="F384" s="8" t="s">
        <v>4340</v>
      </c>
      <c r="G384" t="s">
        <v>6877</v>
      </c>
      <c r="H384">
        <v>1</v>
      </c>
      <c r="I384" t="str">
        <f t="shared" si="7"/>
        <v>('CGM-LP-224','laptop','SOPHOS','','','OCUPADO',1),</v>
      </c>
    </row>
    <row r="385" spans="1:9" x14ac:dyDescent="0.25">
      <c r="A385">
        <v>384</v>
      </c>
      <c r="B385" t="s">
        <v>7168</v>
      </c>
      <c r="C385" t="s">
        <v>4354</v>
      </c>
      <c r="D385" t="s">
        <v>7140</v>
      </c>
      <c r="F385" s="8" t="s">
        <v>4340</v>
      </c>
      <c r="G385" t="s">
        <v>6877</v>
      </c>
      <c r="H385">
        <v>1</v>
      </c>
      <c r="I385" t="str">
        <f t="shared" si="7"/>
        <v>('CGM-LP-225','laptop','SOPHOS','','','OCUPADO',1),</v>
      </c>
    </row>
    <row r="386" spans="1:9" x14ac:dyDescent="0.25">
      <c r="A386">
        <v>385</v>
      </c>
      <c r="B386" t="s">
        <v>7169</v>
      </c>
      <c r="C386" t="s">
        <v>4354</v>
      </c>
      <c r="D386" t="s">
        <v>7140</v>
      </c>
      <c r="F386" s="8" t="s">
        <v>4340</v>
      </c>
      <c r="G386" t="s">
        <v>6877</v>
      </c>
      <c r="H386">
        <v>1</v>
      </c>
      <c r="I386" t="str">
        <f t="shared" si="7"/>
        <v>('CGM-LP-226','laptop','SOPHOS','','','OCUPADO',1),</v>
      </c>
    </row>
    <row r="387" spans="1:9" x14ac:dyDescent="0.25">
      <c r="A387">
        <v>386</v>
      </c>
      <c r="B387" t="s">
        <v>7170</v>
      </c>
      <c r="C387" t="s">
        <v>4354</v>
      </c>
      <c r="D387" t="s">
        <v>7140</v>
      </c>
      <c r="F387" s="8" t="s">
        <v>4340</v>
      </c>
      <c r="G387" t="s">
        <v>6877</v>
      </c>
      <c r="H387">
        <v>1</v>
      </c>
      <c r="I387" t="str">
        <f t="shared" si="7"/>
        <v>('CGM-LP-227','laptop','SOPHOS','','','OCUPADO',1),</v>
      </c>
    </row>
    <row r="388" spans="1:9" x14ac:dyDescent="0.25">
      <c r="A388">
        <v>387</v>
      </c>
      <c r="B388" t="s">
        <v>9407</v>
      </c>
      <c r="C388" t="s">
        <v>4354</v>
      </c>
      <c r="D388" t="s">
        <v>7140</v>
      </c>
      <c r="F388" s="8" t="s">
        <v>4340</v>
      </c>
      <c r="G388" t="s">
        <v>6877</v>
      </c>
      <c r="H388">
        <v>1</v>
      </c>
      <c r="I388" t="str">
        <f t="shared" si="7"/>
        <v>('CGM-LP-228','laptop','SOPHOS','','','OCUPADO',1),</v>
      </c>
    </row>
    <row r="389" spans="1:9" x14ac:dyDescent="0.25">
      <c r="A389">
        <v>388</v>
      </c>
      <c r="B389" t="s">
        <v>9407</v>
      </c>
      <c r="C389" t="s">
        <v>4354</v>
      </c>
      <c r="D389" t="s">
        <v>7140</v>
      </c>
      <c r="F389" s="8" t="s">
        <v>4340</v>
      </c>
      <c r="G389" t="s">
        <v>6877</v>
      </c>
      <c r="H389">
        <v>1</v>
      </c>
      <c r="I389" t="str">
        <f t="shared" si="7"/>
        <v>('CGM-LP-228','laptop','SOPHOS','','','OCUPADO',1),</v>
      </c>
    </row>
    <row r="390" spans="1:9" x14ac:dyDescent="0.25">
      <c r="A390">
        <v>389</v>
      </c>
      <c r="B390" t="s">
        <v>7171</v>
      </c>
      <c r="C390" t="s">
        <v>4354</v>
      </c>
      <c r="D390" t="s">
        <v>7140</v>
      </c>
      <c r="F390" s="8" t="s">
        <v>4340</v>
      </c>
      <c r="G390" t="s">
        <v>6877</v>
      </c>
      <c r="H390">
        <v>1</v>
      </c>
      <c r="I390" t="str">
        <f t="shared" ref="I390:I453" si="8">_xlfn.CONCAT("('",B390,"','",C390,"','",D390,"','",E390,"','",F390,"','",G390,"',",H390,"),")</f>
        <v>('CGM-LP-229','laptop','SOPHOS','','','OCUPADO',1),</v>
      </c>
    </row>
    <row r="391" spans="1:9" x14ac:dyDescent="0.25">
      <c r="A391">
        <v>390</v>
      </c>
      <c r="B391" t="s">
        <v>9527</v>
      </c>
      <c r="C391" t="s">
        <v>4354</v>
      </c>
      <c r="D391" t="s">
        <v>7140</v>
      </c>
      <c r="F391" s="8" t="s">
        <v>4340</v>
      </c>
      <c r="G391" t="s">
        <v>6877</v>
      </c>
      <c r="H391">
        <v>1</v>
      </c>
      <c r="I391" t="str">
        <f t="shared" si="8"/>
        <v>('CGM-LP-230','laptop','SOPHOS','','','OCUPADO',1),</v>
      </c>
    </row>
    <row r="392" spans="1:9" x14ac:dyDescent="0.25">
      <c r="A392">
        <v>391</v>
      </c>
      <c r="B392" t="s">
        <v>7172</v>
      </c>
      <c r="C392" t="s">
        <v>4354</v>
      </c>
      <c r="D392" t="s">
        <v>7140</v>
      </c>
      <c r="F392" s="8" t="s">
        <v>4340</v>
      </c>
      <c r="G392" t="s">
        <v>6877</v>
      </c>
      <c r="H392">
        <v>1</v>
      </c>
      <c r="I392" t="str">
        <f t="shared" si="8"/>
        <v>('CGM-LP-231','laptop','SOPHOS','','','OCUPADO',1),</v>
      </c>
    </row>
    <row r="393" spans="1:9" x14ac:dyDescent="0.25">
      <c r="A393">
        <v>392</v>
      </c>
      <c r="B393" t="s">
        <v>7172</v>
      </c>
      <c r="C393" t="s">
        <v>4354</v>
      </c>
      <c r="D393" t="s">
        <v>7140</v>
      </c>
      <c r="F393" s="8" t="s">
        <v>4340</v>
      </c>
      <c r="G393" t="s">
        <v>6877</v>
      </c>
      <c r="H393">
        <v>1</v>
      </c>
      <c r="I393" t="str">
        <f t="shared" si="8"/>
        <v>('CGM-LP-231','laptop','SOPHOS','','','OCUPADO',1),</v>
      </c>
    </row>
    <row r="394" spans="1:9" x14ac:dyDescent="0.25">
      <c r="A394">
        <v>393</v>
      </c>
      <c r="B394" t="s">
        <v>9389</v>
      </c>
      <c r="C394" t="s">
        <v>4354</v>
      </c>
      <c r="D394" t="s">
        <v>7140</v>
      </c>
      <c r="F394" s="8" t="s">
        <v>4340</v>
      </c>
      <c r="G394" t="s">
        <v>6877</v>
      </c>
      <c r="H394">
        <v>1</v>
      </c>
      <c r="I394" t="str">
        <f t="shared" si="8"/>
        <v>('CGM-LP-232','laptop','SOPHOS','','','OCUPADO',1),</v>
      </c>
    </row>
    <row r="395" spans="1:9" x14ac:dyDescent="0.25">
      <c r="A395">
        <v>394</v>
      </c>
      <c r="B395" t="s">
        <v>9469</v>
      </c>
      <c r="C395" t="s">
        <v>4354</v>
      </c>
      <c r="D395" t="s">
        <v>7140</v>
      </c>
      <c r="F395" s="8" t="s">
        <v>4340</v>
      </c>
      <c r="G395" t="s">
        <v>6877</v>
      </c>
      <c r="H395">
        <v>1</v>
      </c>
      <c r="I395" t="str">
        <f t="shared" si="8"/>
        <v>('CGM-LP-233','laptop','SOPHOS','','','OCUPADO',1),</v>
      </c>
    </row>
    <row r="396" spans="1:9" x14ac:dyDescent="0.25">
      <c r="A396">
        <v>395</v>
      </c>
      <c r="B396" t="s">
        <v>9469</v>
      </c>
      <c r="C396" t="s">
        <v>4354</v>
      </c>
      <c r="D396" t="s">
        <v>7140</v>
      </c>
      <c r="F396" s="8" t="s">
        <v>4340</v>
      </c>
      <c r="G396" t="s">
        <v>6877</v>
      </c>
      <c r="H396">
        <v>1</v>
      </c>
      <c r="I396" t="str">
        <f t="shared" si="8"/>
        <v>('CGM-LP-233','laptop','SOPHOS','','','OCUPADO',1),</v>
      </c>
    </row>
    <row r="397" spans="1:9" x14ac:dyDescent="0.25">
      <c r="A397">
        <v>396</v>
      </c>
      <c r="B397" t="s">
        <v>7173</v>
      </c>
      <c r="C397" t="s">
        <v>4354</v>
      </c>
      <c r="D397" t="s">
        <v>7140</v>
      </c>
      <c r="F397" s="8" t="s">
        <v>4340</v>
      </c>
      <c r="G397" t="s">
        <v>6877</v>
      </c>
      <c r="H397">
        <v>1</v>
      </c>
      <c r="I397" t="str">
        <f t="shared" si="8"/>
        <v>('CGM-LP-234','laptop','SOPHOS','','','OCUPADO',1),</v>
      </c>
    </row>
    <row r="398" spans="1:9" x14ac:dyDescent="0.25">
      <c r="A398">
        <v>397</v>
      </c>
      <c r="B398" t="s">
        <v>9544</v>
      </c>
      <c r="C398" t="s">
        <v>4354</v>
      </c>
      <c r="D398" t="s">
        <v>7140</v>
      </c>
      <c r="F398" s="8" t="s">
        <v>4340</v>
      </c>
      <c r="G398" t="s">
        <v>6877</v>
      </c>
      <c r="H398">
        <v>1</v>
      </c>
      <c r="I398" t="str">
        <f t="shared" si="8"/>
        <v>('CGM-LP-235','laptop','SOPHOS','','','OCUPADO',1),</v>
      </c>
    </row>
    <row r="399" spans="1:9" x14ac:dyDescent="0.25">
      <c r="A399">
        <v>398</v>
      </c>
      <c r="B399" t="s">
        <v>7174</v>
      </c>
      <c r="C399" t="s">
        <v>4354</v>
      </c>
      <c r="D399" t="s">
        <v>7140</v>
      </c>
      <c r="F399" s="8" t="s">
        <v>4340</v>
      </c>
      <c r="G399" t="s">
        <v>6877</v>
      </c>
      <c r="H399">
        <v>1</v>
      </c>
      <c r="I399" t="str">
        <f t="shared" si="8"/>
        <v>('CGM-LP-236','laptop','SOPHOS','','','OCUPADO',1),</v>
      </c>
    </row>
    <row r="400" spans="1:9" x14ac:dyDescent="0.25">
      <c r="A400">
        <v>399</v>
      </c>
      <c r="B400" t="s">
        <v>7175</v>
      </c>
      <c r="C400" t="s">
        <v>4354</v>
      </c>
      <c r="D400" t="s">
        <v>7140</v>
      </c>
      <c r="F400" s="8" t="s">
        <v>4340</v>
      </c>
      <c r="G400" t="s">
        <v>6877</v>
      </c>
      <c r="H400">
        <v>1</v>
      </c>
      <c r="I400" t="str">
        <f t="shared" si="8"/>
        <v>('CGM-LP-237','laptop','SOPHOS','','','OCUPADO',1),</v>
      </c>
    </row>
    <row r="401" spans="1:9" x14ac:dyDescent="0.25">
      <c r="A401">
        <v>400</v>
      </c>
      <c r="B401" t="s">
        <v>9402</v>
      </c>
      <c r="C401" t="s">
        <v>4354</v>
      </c>
      <c r="D401" t="s">
        <v>7140</v>
      </c>
      <c r="F401" s="8" t="s">
        <v>4340</v>
      </c>
      <c r="G401" t="s">
        <v>6877</v>
      </c>
      <c r="H401">
        <v>1</v>
      </c>
      <c r="I401" t="str">
        <f t="shared" si="8"/>
        <v>('CGM-LP-238','laptop','SOPHOS','','','OCUPADO',1),</v>
      </c>
    </row>
    <row r="402" spans="1:9" x14ac:dyDescent="0.25">
      <c r="A402">
        <v>401</v>
      </c>
      <c r="B402" t="s">
        <v>9380</v>
      </c>
      <c r="C402" t="s">
        <v>4354</v>
      </c>
      <c r="D402" t="s">
        <v>7140</v>
      </c>
      <c r="F402" s="8" t="s">
        <v>4340</v>
      </c>
      <c r="G402" t="s">
        <v>6877</v>
      </c>
      <c r="H402">
        <v>1</v>
      </c>
      <c r="I402" t="str">
        <f t="shared" si="8"/>
        <v>('CGM-LP-239','laptop','SOPHOS','','','OCUPADO',1),</v>
      </c>
    </row>
    <row r="403" spans="1:9" x14ac:dyDescent="0.25">
      <c r="A403">
        <v>402</v>
      </c>
      <c r="B403" t="s">
        <v>9518</v>
      </c>
      <c r="C403" t="s">
        <v>4354</v>
      </c>
      <c r="D403" t="s">
        <v>7140</v>
      </c>
      <c r="F403" s="8" t="s">
        <v>4340</v>
      </c>
      <c r="G403" t="s">
        <v>6877</v>
      </c>
      <c r="H403">
        <v>1</v>
      </c>
      <c r="I403" t="str">
        <f t="shared" si="8"/>
        <v>('CGM-LP-240','laptop','SOPHOS','','','OCUPADO',1),</v>
      </c>
    </row>
    <row r="404" spans="1:9" x14ac:dyDescent="0.25">
      <c r="A404">
        <v>403</v>
      </c>
      <c r="B404" t="s">
        <v>7176</v>
      </c>
      <c r="C404" t="s">
        <v>4354</v>
      </c>
      <c r="D404" t="s">
        <v>7140</v>
      </c>
      <c r="F404" s="8" t="s">
        <v>4340</v>
      </c>
      <c r="G404" t="s">
        <v>6877</v>
      </c>
      <c r="H404">
        <v>1</v>
      </c>
      <c r="I404" t="str">
        <f t="shared" si="8"/>
        <v>('CGM-LP-241','laptop','SOPHOS','','','OCUPADO',1),</v>
      </c>
    </row>
    <row r="405" spans="1:9" x14ac:dyDescent="0.25">
      <c r="A405">
        <v>404</v>
      </c>
      <c r="B405" t="s">
        <v>7176</v>
      </c>
      <c r="C405" t="s">
        <v>4354</v>
      </c>
      <c r="D405" t="s">
        <v>7140</v>
      </c>
      <c r="F405" s="8" t="s">
        <v>4340</v>
      </c>
      <c r="G405" t="s">
        <v>6877</v>
      </c>
      <c r="H405">
        <v>1</v>
      </c>
      <c r="I405" t="str">
        <f t="shared" si="8"/>
        <v>('CGM-LP-241','laptop','SOPHOS','','','OCUPADO',1),</v>
      </c>
    </row>
    <row r="406" spans="1:9" x14ac:dyDescent="0.25">
      <c r="A406">
        <v>405</v>
      </c>
      <c r="B406" t="s">
        <v>9487</v>
      </c>
      <c r="C406" t="s">
        <v>4354</v>
      </c>
      <c r="D406" t="s">
        <v>7140</v>
      </c>
      <c r="F406" s="8" t="s">
        <v>4340</v>
      </c>
      <c r="G406" t="s">
        <v>6877</v>
      </c>
      <c r="H406">
        <v>1</v>
      </c>
      <c r="I406" t="str">
        <f t="shared" si="8"/>
        <v>('CGM-LP-242','laptop','SOPHOS','','','OCUPADO',1),</v>
      </c>
    </row>
    <row r="407" spans="1:9" x14ac:dyDescent="0.25">
      <c r="A407">
        <v>406</v>
      </c>
      <c r="B407" t="s">
        <v>9413</v>
      </c>
      <c r="C407" t="s">
        <v>4354</v>
      </c>
      <c r="D407" t="s">
        <v>7140</v>
      </c>
      <c r="F407" s="8" t="s">
        <v>4340</v>
      </c>
      <c r="G407" t="s">
        <v>6877</v>
      </c>
      <c r="H407">
        <v>1</v>
      </c>
      <c r="I407" t="str">
        <f t="shared" si="8"/>
        <v>('CGM-LP-243','laptop','SOPHOS','','','OCUPADO',1),</v>
      </c>
    </row>
    <row r="408" spans="1:9" x14ac:dyDescent="0.25">
      <c r="A408">
        <v>407</v>
      </c>
      <c r="B408" t="s">
        <v>9413</v>
      </c>
      <c r="C408" t="s">
        <v>4354</v>
      </c>
      <c r="D408" t="s">
        <v>7140</v>
      </c>
      <c r="F408" s="8" t="s">
        <v>4340</v>
      </c>
      <c r="G408" t="s">
        <v>6877</v>
      </c>
      <c r="H408">
        <v>1</v>
      </c>
      <c r="I408" t="str">
        <f t="shared" si="8"/>
        <v>('CGM-LP-243','laptop','SOPHOS','','','OCUPADO',1),</v>
      </c>
    </row>
    <row r="409" spans="1:9" x14ac:dyDescent="0.25">
      <c r="A409">
        <v>408</v>
      </c>
      <c r="B409" t="s">
        <v>9413</v>
      </c>
      <c r="C409" t="s">
        <v>4354</v>
      </c>
      <c r="D409" t="s">
        <v>7140</v>
      </c>
      <c r="F409" s="8" t="s">
        <v>4340</v>
      </c>
      <c r="G409" t="s">
        <v>6877</v>
      </c>
      <c r="H409">
        <v>1</v>
      </c>
      <c r="I409" t="str">
        <f t="shared" si="8"/>
        <v>('CGM-LP-243','laptop','SOPHOS','','','OCUPADO',1),</v>
      </c>
    </row>
    <row r="410" spans="1:9" x14ac:dyDescent="0.25">
      <c r="A410">
        <v>409</v>
      </c>
      <c r="B410" t="s">
        <v>9396</v>
      </c>
      <c r="C410" t="s">
        <v>4354</v>
      </c>
      <c r="D410" t="s">
        <v>7140</v>
      </c>
      <c r="F410" s="8" t="s">
        <v>4340</v>
      </c>
      <c r="G410" t="s">
        <v>6877</v>
      </c>
      <c r="H410">
        <v>1</v>
      </c>
      <c r="I410" t="str">
        <f t="shared" si="8"/>
        <v>('CGM-LP-244','laptop','SOPHOS','','','OCUPADO',1),</v>
      </c>
    </row>
    <row r="411" spans="1:9" x14ac:dyDescent="0.25">
      <c r="A411">
        <v>410</v>
      </c>
      <c r="B411" t="s">
        <v>9430</v>
      </c>
      <c r="C411" t="s">
        <v>4354</v>
      </c>
      <c r="D411" t="s">
        <v>7140</v>
      </c>
      <c r="F411" s="8" t="s">
        <v>4340</v>
      </c>
      <c r="G411" t="s">
        <v>6877</v>
      </c>
      <c r="H411">
        <v>1</v>
      </c>
      <c r="I411" t="str">
        <f t="shared" si="8"/>
        <v>('CGM-LP-245','laptop','SOPHOS','','','OCUPADO',1),</v>
      </c>
    </row>
    <row r="412" spans="1:9" x14ac:dyDescent="0.25">
      <c r="A412">
        <v>411</v>
      </c>
      <c r="B412" t="s">
        <v>9430</v>
      </c>
      <c r="C412" t="s">
        <v>4354</v>
      </c>
      <c r="D412" t="s">
        <v>7140</v>
      </c>
      <c r="F412" s="8" t="s">
        <v>4340</v>
      </c>
      <c r="G412" t="s">
        <v>6877</v>
      </c>
      <c r="H412">
        <v>1</v>
      </c>
      <c r="I412" t="str">
        <f t="shared" si="8"/>
        <v>('CGM-LP-245','laptop','SOPHOS','','','OCUPADO',1),</v>
      </c>
    </row>
    <row r="413" spans="1:9" x14ac:dyDescent="0.25">
      <c r="A413">
        <v>412</v>
      </c>
      <c r="B413" t="s">
        <v>9504</v>
      </c>
      <c r="C413" t="s">
        <v>4354</v>
      </c>
      <c r="D413" t="s">
        <v>7140</v>
      </c>
      <c r="F413" s="8" t="s">
        <v>4340</v>
      </c>
      <c r="G413" t="s">
        <v>6877</v>
      </c>
      <c r="H413">
        <v>1</v>
      </c>
      <c r="I413" t="str">
        <f t="shared" si="8"/>
        <v>('CGM-LP-246','laptop','SOPHOS','','','OCUPADO',1),</v>
      </c>
    </row>
    <row r="414" spans="1:9" x14ac:dyDescent="0.25">
      <c r="A414">
        <v>413</v>
      </c>
      <c r="B414" t="s">
        <v>9381</v>
      </c>
      <c r="C414" t="s">
        <v>4354</v>
      </c>
      <c r="D414" t="s">
        <v>7140</v>
      </c>
      <c r="F414" s="8" t="s">
        <v>4340</v>
      </c>
      <c r="G414" t="s">
        <v>6877</v>
      </c>
      <c r="H414">
        <v>1</v>
      </c>
      <c r="I414" t="str">
        <f t="shared" si="8"/>
        <v>('CGM-LP-247','laptop','SOPHOS','','','OCUPADO',1),</v>
      </c>
    </row>
    <row r="415" spans="1:9" x14ac:dyDescent="0.25">
      <c r="A415">
        <v>414</v>
      </c>
      <c r="B415" t="s">
        <v>9409</v>
      </c>
      <c r="C415" t="s">
        <v>4354</v>
      </c>
      <c r="D415" t="s">
        <v>7140</v>
      </c>
      <c r="F415" s="8" t="s">
        <v>4340</v>
      </c>
      <c r="G415" t="s">
        <v>6877</v>
      </c>
      <c r="H415">
        <v>1</v>
      </c>
      <c r="I415" t="str">
        <f t="shared" si="8"/>
        <v>('CGM-LP-248','laptop','SOPHOS','','','OCUPADO',1),</v>
      </c>
    </row>
    <row r="416" spans="1:9" x14ac:dyDescent="0.25">
      <c r="A416">
        <v>415</v>
      </c>
      <c r="B416" t="s">
        <v>9470</v>
      </c>
      <c r="C416" t="s">
        <v>4354</v>
      </c>
      <c r="D416" t="s">
        <v>7140</v>
      </c>
      <c r="F416" s="8" t="s">
        <v>4340</v>
      </c>
      <c r="G416" t="s">
        <v>6877</v>
      </c>
      <c r="H416">
        <v>1</v>
      </c>
      <c r="I416" t="str">
        <f t="shared" si="8"/>
        <v>('CGM-LP-249','laptop','SOPHOS','','','OCUPADO',1),</v>
      </c>
    </row>
    <row r="417" spans="1:9" x14ac:dyDescent="0.25">
      <c r="A417">
        <v>416</v>
      </c>
      <c r="B417" t="s">
        <v>9494</v>
      </c>
      <c r="C417" t="s">
        <v>4354</v>
      </c>
      <c r="D417" t="s">
        <v>7140</v>
      </c>
      <c r="F417" s="8" t="s">
        <v>4340</v>
      </c>
      <c r="G417" t="s">
        <v>6877</v>
      </c>
      <c r="H417">
        <v>1</v>
      </c>
      <c r="I417" t="str">
        <f t="shared" si="8"/>
        <v>('CGM-LP-250','laptop','SOPHOS','','','OCUPADO',1),</v>
      </c>
    </row>
    <row r="418" spans="1:9" x14ac:dyDescent="0.25">
      <c r="A418">
        <v>417</v>
      </c>
      <c r="B418" t="s">
        <v>7177</v>
      </c>
      <c r="C418" t="s">
        <v>4354</v>
      </c>
      <c r="D418" t="s">
        <v>7140</v>
      </c>
      <c r="F418" s="8" t="s">
        <v>4340</v>
      </c>
      <c r="G418" t="s">
        <v>6877</v>
      </c>
      <c r="H418">
        <v>1</v>
      </c>
      <c r="I418" t="str">
        <f t="shared" si="8"/>
        <v>('CGM-LP-251','laptop','SOPHOS','','','OCUPADO',1),</v>
      </c>
    </row>
    <row r="419" spans="1:9" x14ac:dyDescent="0.25">
      <c r="A419">
        <v>418</v>
      </c>
      <c r="B419" t="s">
        <v>9507</v>
      </c>
      <c r="C419" t="s">
        <v>4354</v>
      </c>
      <c r="D419" t="s">
        <v>7140</v>
      </c>
      <c r="F419" s="8" t="s">
        <v>4340</v>
      </c>
      <c r="G419" t="s">
        <v>6877</v>
      </c>
      <c r="H419">
        <v>1</v>
      </c>
      <c r="I419" t="str">
        <f t="shared" si="8"/>
        <v>('CGM-LP-252','laptop','SOPHOS','','','OCUPADO',1),</v>
      </c>
    </row>
    <row r="420" spans="1:9" x14ac:dyDescent="0.25">
      <c r="A420">
        <v>419</v>
      </c>
      <c r="B420" t="s">
        <v>9536</v>
      </c>
      <c r="C420" t="s">
        <v>4354</v>
      </c>
      <c r="D420" t="s">
        <v>7140</v>
      </c>
      <c r="F420" s="8" t="s">
        <v>4340</v>
      </c>
      <c r="G420" t="s">
        <v>6877</v>
      </c>
      <c r="H420">
        <v>1</v>
      </c>
      <c r="I420" t="str">
        <f t="shared" si="8"/>
        <v>('CGM-LP-253','laptop','SOPHOS','','','OCUPADO',1),</v>
      </c>
    </row>
    <row r="421" spans="1:9" x14ac:dyDescent="0.25">
      <c r="A421">
        <v>420</v>
      </c>
      <c r="B421" t="s">
        <v>7178</v>
      </c>
      <c r="C421" t="s">
        <v>4354</v>
      </c>
      <c r="D421" t="s">
        <v>7140</v>
      </c>
      <c r="F421" s="8" t="s">
        <v>4340</v>
      </c>
      <c r="G421" t="s">
        <v>6877</v>
      </c>
      <c r="H421">
        <v>1</v>
      </c>
      <c r="I421" t="str">
        <f t="shared" si="8"/>
        <v>('CGM-LP-254','laptop','SOPHOS','','','OCUPADO',1),</v>
      </c>
    </row>
    <row r="422" spans="1:9" x14ac:dyDescent="0.25">
      <c r="A422">
        <v>421</v>
      </c>
      <c r="B422" t="s">
        <v>9528</v>
      </c>
      <c r="C422" t="s">
        <v>4354</v>
      </c>
      <c r="D422" t="s">
        <v>7140</v>
      </c>
      <c r="F422" s="8" t="s">
        <v>4340</v>
      </c>
      <c r="G422" t="s">
        <v>6877</v>
      </c>
      <c r="H422">
        <v>1</v>
      </c>
      <c r="I422" t="str">
        <f t="shared" si="8"/>
        <v>('CGM-LP-255','laptop','SOPHOS','','','OCUPADO',1),</v>
      </c>
    </row>
    <row r="423" spans="1:9" x14ac:dyDescent="0.25">
      <c r="A423">
        <v>422</v>
      </c>
      <c r="B423" t="s">
        <v>7179</v>
      </c>
      <c r="C423" t="s">
        <v>4354</v>
      </c>
      <c r="D423" t="s">
        <v>7140</v>
      </c>
      <c r="F423" s="8" t="s">
        <v>4340</v>
      </c>
      <c r="G423" t="s">
        <v>6877</v>
      </c>
      <c r="H423">
        <v>1</v>
      </c>
      <c r="I423" t="str">
        <f t="shared" si="8"/>
        <v>('CGM-LP-256','laptop','SOPHOS','','','OCUPADO',1),</v>
      </c>
    </row>
    <row r="424" spans="1:9" x14ac:dyDescent="0.25">
      <c r="A424">
        <v>423</v>
      </c>
      <c r="B424" t="s">
        <v>9543</v>
      </c>
      <c r="C424" t="s">
        <v>4354</v>
      </c>
      <c r="D424" t="s">
        <v>7140</v>
      </c>
      <c r="F424" s="8" t="s">
        <v>4340</v>
      </c>
      <c r="G424" t="s">
        <v>6877</v>
      </c>
      <c r="H424">
        <v>1</v>
      </c>
      <c r="I424" t="str">
        <f t="shared" si="8"/>
        <v>('CGM-LP-257','laptop','SOPHOS','','','OCUPADO',1),</v>
      </c>
    </row>
    <row r="425" spans="1:9" x14ac:dyDescent="0.25">
      <c r="A425">
        <v>424</v>
      </c>
      <c r="B425" t="s">
        <v>9416</v>
      </c>
      <c r="C425" t="s">
        <v>4354</v>
      </c>
      <c r="D425" t="s">
        <v>7140</v>
      </c>
      <c r="F425" s="8" t="s">
        <v>4340</v>
      </c>
      <c r="G425" t="s">
        <v>6877</v>
      </c>
      <c r="H425">
        <v>1</v>
      </c>
      <c r="I425" t="str">
        <f t="shared" si="8"/>
        <v>('CGM-LP-258','laptop','SOPHOS','','','OCUPADO',1),</v>
      </c>
    </row>
    <row r="426" spans="1:9" x14ac:dyDescent="0.25">
      <c r="A426">
        <v>425</v>
      </c>
      <c r="B426" t="s">
        <v>9531</v>
      </c>
      <c r="C426" t="s">
        <v>4354</v>
      </c>
      <c r="D426" t="s">
        <v>7140</v>
      </c>
      <c r="F426" s="8" t="s">
        <v>4340</v>
      </c>
      <c r="G426" t="s">
        <v>6877</v>
      </c>
      <c r="H426">
        <v>1</v>
      </c>
      <c r="I426" t="str">
        <f t="shared" si="8"/>
        <v>('CGM-LP-259','laptop','SOPHOS','','','OCUPADO',1),</v>
      </c>
    </row>
    <row r="427" spans="1:9" x14ac:dyDescent="0.25">
      <c r="A427">
        <v>426</v>
      </c>
      <c r="B427" t="s">
        <v>9479</v>
      </c>
      <c r="C427" t="s">
        <v>4354</v>
      </c>
      <c r="D427" t="s">
        <v>7140</v>
      </c>
      <c r="F427" s="8" t="s">
        <v>4340</v>
      </c>
      <c r="G427" t="s">
        <v>6877</v>
      </c>
      <c r="H427">
        <v>1</v>
      </c>
      <c r="I427" t="str">
        <f t="shared" si="8"/>
        <v>('CGM-LP-260','laptop','SOPHOS','','','OCUPADO',1),</v>
      </c>
    </row>
    <row r="428" spans="1:9" x14ac:dyDescent="0.25">
      <c r="A428">
        <v>427</v>
      </c>
      <c r="B428" t="s">
        <v>9474</v>
      </c>
      <c r="C428" t="s">
        <v>4354</v>
      </c>
      <c r="D428" t="s">
        <v>7140</v>
      </c>
      <c r="F428" s="8" t="s">
        <v>4340</v>
      </c>
      <c r="G428" t="s">
        <v>6877</v>
      </c>
      <c r="H428">
        <v>1</v>
      </c>
      <c r="I428" t="str">
        <f t="shared" si="8"/>
        <v>('CGM-LP-261','laptop','SOPHOS','','','OCUPADO',1),</v>
      </c>
    </row>
    <row r="429" spans="1:9" x14ac:dyDescent="0.25">
      <c r="A429">
        <v>428</v>
      </c>
      <c r="B429" t="s">
        <v>9474</v>
      </c>
      <c r="C429" t="s">
        <v>4354</v>
      </c>
      <c r="D429" t="s">
        <v>7140</v>
      </c>
      <c r="F429" s="8" t="s">
        <v>4340</v>
      </c>
      <c r="G429" t="s">
        <v>6877</v>
      </c>
      <c r="H429">
        <v>1</v>
      </c>
      <c r="I429" t="str">
        <f t="shared" si="8"/>
        <v>('CGM-LP-261','laptop','SOPHOS','','','OCUPADO',1),</v>
      </c>
    </row>
    <row r="430" spans="1:9" x14ac:dyDescent="0.25">
      <c r="A430">
        <v>429</v>
      </c>
      <c r="B430" t="s">
        <v>9552</v>
      </c>
      <c r="C430" t="s">
        <v>4354</v>
      </c>
      <c r="D430" t="s">
        <v>7140</v>
      </c>
      <c r="F430" s="8" t="s">
        <v>4340</v>
      </c>
      <c r="G430" t="s">
        <v>6877</v>
      </c>
      <c r="H430">
        <v>1</v>
      </c>
      <c r="I430" t="str">
        <f t="shared" si="8"/>
        <v>('CGM-LP-262','laptop','SOPHOS','','','OCUPADO',1),</v>
      </c>
    </row>
    <row r="431" spans="1:9" x14ac:dyDescent="0.25">
      <c r="A431">
        <v>430</v>
      </c>
      <c r="B431" t="s">
        <v>7180</v>
      </c>
      <c r="C431" t="s">
        <v>4354</v>
      </c>
      <c r="D431" t="s">
        <v>7140</v>
      </c>
      <c r="F431" s="8" t="s">
        <v>4340</v>
      </c>
      <c r="G431" t="s">
        <v>6877</v>
      </c>
      <c r="H431">
        <v>1</v>
      </c>
      <c r="I431" t="str">
        <f t="shared" si="8"/>
        <v>('CGM-LP-263','laptop','SOPHOS','','','OCUPADO',1),</v>
      </c>
    </row>
    <row r="432" spans="1:9" x14ac:dyDescent="0.25">
      <c r="A432">
        <v>431</v>
      </c>
      <c r="B432" t="s">
        <v>9549</v>
      </c>
      <c r="C432" t="s">
        <v>4354</v>
      </c>
      <c r="D432" t="s">
        <v>7140</v>
      </c>
      <c r="F432" s="8" t="s">
        <v>4340</v>
      </c>
      <c r="G432" t="s">
        <v>6877</v>
      </c>
      <c r="H432">
        <v>1</v>
      </c>
      <c r="I432" t="str">
        <f t="shared" si="8"/>
        <v>('CGM-LP-264','laptop','SOPHOS','','','OCUPADO',1),</v>
      </c>
    </row>
    <row r="433" spans="1:9" x14ac:dyDescent="0.25">
      <c r="A433">
        <v>432</v>
      </c>
      <c r="B433" t="s">
        <v>9548</v>
      </c>
      <c r="C433" t="s">
        <v>4354</v>
      </c>
      <c r="D433" t="s">
        <v>7140</v>
      </c>
      <c r="F433" s="8" t="s">
        <v>4340</v>
      </c>
      <c r="G433" t="s">
        <v>6877</v>
      </c>
      <c r="H433">
        <v>1</v>
      </c>
      <c r="I433" t="str">
        <f t="shared" si="8"/>
        <v>('CGM-LP-265','laptop','SOPHOS','','','OCUPADO',1),</v>
      </c>
    </row>
    <row r="434" spans="1:9" x14ac:dyDescent="0.25">
      <c r="A434">
        <v>433</v>
      </c>
      <c r="B434" t="s">
        <v>9513</v>
      </c>
      <c r="C434" t="s">
        <v>4354</v>
      </c>
      <c r="D434" t="s">
        <v>7140</v>
      </c>
      <c r="F434" s="8" t="s">
        <v>4340</v>
      </c>
      <c r="G434" t="s">
        <v>6877</v>
      </c>
      <c r="H434">
        <v>1</v>
      </c>
      <c r="I434" t="str">
        <f t="shared" si="8"/>
        <v>('CGM-LP-266','laptop','SOPHOS','','','OCUPADO',1),</v>
      </c>
    </row>
    <row r="435" spans="1:9" x14ac:dyDescent="0.25">
      <c r="A435">
        <v>434</v>
      </c>
      <c r="B435" t="s">
        <v>9455</v>
      </c>
      <c r="C435" t="s">
        <v>4354</v>
      </c>
      <c r="D435" t="s">
        <v>7140</v>
      </c>
      <c r="F435" s="8" t="s">
        <v>4340</v>
      </c>
      <c r="G435" t="s">
        <v>6877</v>
      </c>
      <c r="H435">
        <v>1</v>
      </c>
      <c r="I435" t="str">
        <f t="shared" si="8"/>
        <v>('CGM-LP-267','laptop','SOPHOS','','','OCUPADO',1),</v>
      </c>
    </row>
    <row r="436" spans="1:9" x14ac:dyDescent="0.25">
      <c r="A436">
        <v>435</v>
      </c>
      <c r="B436" t="s">
        <v>9434</v>
      </c>
      <c r="C436" t="s">
        <v>4354</v>
      </c>
      <c r="D436" t="s">
        <v>7140</v>
      </c>
      <c r="F436" s="8" t="s">
        <v>4340</v>
      </c>
      <c r="G436" t="s">
        <v>6877</v>
      </c>
      <c r="H436">
        <v>1</v>
      </c>
      <c r="I436" t="str">
        <f t="shared" si="8"/>
        <v>('CGM-LP-268','laptop','SOPHOS','','','OCUPADO',1),</v>
      </c>
    </row>
    <row r="437" spans="1:9" x14ac:dyDescent="0.25">
      <c r="A437">
        <v>436</v>
      </c>
      <c r="B437" t="s">
        <v>7181</v>
      </c>
      <c r="C437" t="s">
        <v>4354</v>
      </c>
      <c r="D437" t="s">
        <v>7140</v>
      </c>
      <c r="F437" s="8" t="s">
        <v>4340</v>
      </c>
      <c r="G437" t="s">
        <v>6877</v>
      </c>
      <c r="H437">
        <v>1</v>
      </c>
      <c r="I437" t="str">
        <f t="shared" si="8"/>
        <v>('CGM-LP-269','laptop','SOPHOS','','','OCUPADO',1),</v>
      </c>
    </row>
    <row r="438" spans="1:9" x14ac:dyDescent="0.25">
      <c r="A438">
        <v>437</v>
      </c>
      <c r="B438" t="s">
        <v>9387</v>
      </c>
      <c r="C438" t="s">
        <v>4354</v>
      </c>
      <c r="D438" t="s">
        <v>7140</v>
      </c>
      <c r="F438" s="8" t="s">
        <v>4340</v>
      </c>
      <c r="G438" t="s">
        <v>6877</v>
      </c>
      <c r="H438">
        <v>1</v>
      </c>
      <c r="I438" t="str">
        <f t="shared" si="8"/>
        <v>('CGM-LP-271','laptop','SOPHOS','','','OCUPADO',1),</v>
      </c>
    </row>
    <row r="439" spans="1:9" x14ac:dyDescent="0.25">
      <c r="A439">
        <v>438</v>
      </c>
      <c r="B439" t="s">
        <v>7182</v>
      </c>
      <c r="C439" t="s">
        <v>4354</v>
      </c>
      <c r="D439" t="s">
        <v>7140</v>
      </c>
      <c r="F439" s="8" t="s">
        <v>4340</v>
      </c>
      <c r="G439" t="s">
        <v>6877</v>
      </c>
      <c r="H439">
        <v>1</v>
      </c>
      <c r="I439" t="str">
        <f t="shared" si="8"/>
        <v>('CGM-LP-272','laptop','SOPHOS','','','OCUPADO',1),</v>
      </c>
    </row>
    <row r="440" spans="1:9" x14ac:dyDescent="0.25">
      <c r="A440">
        <v>439</v>
      </c>
      <c r="B440" t="s">
        <v>9390</v>
      </c>
      <c r="C440" t="s">
        <v>4354</v>
      </c>
      <c r="D440" t="s">
        <v>7140</v>
      </c>
      <c r="F440" s="8" t="s">
        <v>4340</v>
      </c>
      <c r="G440" t="s">
        <v>6877</v>
      </c>
      <c r="H440">
        <v>1</v>
      </c>
      <c r="I440" t="str">
        <f t="shared" si="8"/>
        <v>('CGM-LP-273','laptop','SOPHOS','','','OCUPADO',1),</v>
      </c>
    </row>
    <row r="441" spans="1:9" x14ac:dyDescent="0.25">
      <c r="A441">
        <v>440</v>
      </c>
      <c r="B441" t="s">
        <v>9451</v>
      </c>
      <c r="C441" t="s">
        <v>4354</v>
      </c>
      <c r="D441" t="s">
        <v>7140</v>
      </c>
      <c r="F441" s="8" t="s">
        <v>4340</v>
      </c>
      <c r="G441" t="s">
        <v>6877</v>
      </c>
      <c r="H441">
        <v>1</v>
      </c>
      <c r="I441" t="str">
        <f t="shared" si="8"/>
        <v>('CGM-LP-274','laptop','SOPHOS','','','OCUPADO',1),</v>
      </c>
    </row>
    <row r="442" spans="1:9" x14ac:dyDescent="0.25">
      <c r="A442">
        <v>441</v>
      </c>
      <c r="B442" t="s">
        <v>7183</v>
      </c>
      <c r="C442" t="s">
        <v>4354</v>
      </c>
      <c r="D442" t="s">
        <v>7140</v>
      </c>
      <c r="F442" s="8" t="s">
        <v>4340</v>
      </c>
      <c r="G442" t="s">
        <v>6877</v>
      </c>
      <c r="H442">
        <v>1</v>
      </c>
      <c r="I442" t="str">
        <f t="shared" si="8"/>
        <v>('CGM-LP-275','laptop','SOPHOS','','','OCUPADO',1),</v>
      </c>
    </row>
    <row r="443" spans="1:9" x14ac:dyDescent="0.25">
      <c r="A443">
        <v>442</v>
      </c>
      <c r="B443" t="s">
        <v>7183</v>
      </c>
      <c r="C443" t="s">
        <v>4354</v>
      </c>
      <c r="D443" t="s">
        <v>7140</v>
      </c>
      <c r="F443" s="8" t="s">
        <v>4340</v>
      </c>
      <c r="G443" t="s">
        <v>6877</v>
      </c>
      <c r="H443">
        <v>1</v>
      </c>
      <c r="I443" t="str">
        <f t="shared" si="8"/>
        <v>('CGM-LP-275','laptop','SOPHOS','','','OCUPADO',1),</v>
      </c>
    </row>
    <row r="444" spans="1:9" x14ac:dyDescent="0.25">
      <c r="A444">
        <v>443</v>
      </c>
      <c r="B444" t="s">
        <v>9385</v>
      </c>
      <c r="C444" t="s">
        <v>4354</v>
      </c>
      <c r="D444" t="s">
        <v>7140</v>
      </c>
      <c r="F444" s="8" t="s">
        <v>4340</v>
      </c>
      <c r="G444" t="s">
        <v>6877</v>
      </c>
      <c r="H444">
        <v>1</v>
      </c>
      <c r="I444" t="str">
        <f t="shared" si="8"/>
        <v>('CGM-LP-276','laptop','SOPHOS','','','OCUPADO',1),</v>
      </c>
    </row>
    <row r="445" spans="1:9" x14ac:dyDescent="0.25">
      <c r="A445">
        <v>444</v>
      </c>
      <c r="B445" t="s">
        <v>9385</v>
      </c>
      <c r="C445" t="s">
        <v>4354</v>
      </c>
      <c r="D445" t="s">
        <v>7140</v>
      </c>
      <c r="F445" s="8" t="s">
        <v>4340</v>
      </c>
      <c r="G445" t="s">
        <v>6877</v>
      </c>
      <c r="H445">
        <v>1</v>
      </c>
      <c r="I445" t="str">
        <f t="shared" si="8"/>
        <v>('CGM-LP-276','laptop','SOPHOS','','','OCUPADO',1),</v>
      </c>
    </row>
    <row r="446" spans="1:9" x14ac:dyDescent="0.25">
      <c r="A446">
        <v>445</v>
      </c>
      <c r="B446" t="s">
        <v>9424</v>
      </c>
      <c r="C446" t="s">
        <v>4354</v>
      </c>
      <c r="D446" t="s">
        <v>7140</v>
      </c>
      <c r="F446" s="8" t="s">
        <v>4340</v>
      </c>
      <c r="G446" t="s">
        <v>6877</v>
      </c>
      <c r="H446">
        <v>1</v>
      </c>
      <c r="I446" t="str">
        <f t="shared" si="8"/>
        <v>('CGM-LP-277','laptop','SOPHOS','','','OCUPADO',1),</v>
      </c>
    </row>
    <row r="447" spans="1:9" x14ac:dyDescent="0.25">
      <c r="A447">
        <v>446</v>
      </c>
      <c r="B447" t="s">
        <v>9424</v>
      </c>
      <c r="C447" t="s">
        <v>4354</v>
      </c>
      <c r="D447" t="s">
        <v>7140</v>
      </c>
      <c r="F447" s="8" t="s">
        <v>4340</v>
      </c>
      <c r="G447" t="s">
        <v>6877</v>
      </c>
      <c r="H447">
        <v>1</v>
      </c>
      <c r="I447" t="str">
        <f t="shared" si="8"/>
        <v>('CGM-LP-277','laptop','SOPHOS','','','OCUPADO',1),</v>
      </c>
    </row>
    <row r="448" spans="1:9" x14ac:dyDescent="0.25">
      <c r="A448">
        <v>447</v>
      </c>
      <c r="B448" t="s">
        <v>9428</v>
      </c>
      <c r="C448" t="s">
        <v>4354</v>
      </c>
      <c r="D448" t="s">
        <v>7140</v>
      </c>
      <c r="F448" s="8" t="s">
        <v>4340</v>
      </c>
      <c r="G448" t="s">
        <v>6877</v>
      </c>
      <c r="H448">
        <v>1</v>
      </c>
      <c r="I448" t="str">
        <f t="shared" si="8"/>
        <v>('CGM-LP-278','laptop','SOPHOS','','','OCUPADO',1),</v>
      </c>
    </row>
    <row r="449" spans="1:9" x14ac:dyDescent="0.25">
      <c r="A449">
        <v>448</v>
      </c>
      <c r="B449" t="s">
        <v>9444</v>
      </c>
      <c r="C449" t="s">
        <v>4354</v>
      </c>
      <c r="D449" t="s">
        <v>7140</v>
      </c>
      <c r="F449" s="8" t="s">
        <v>4340</v>
      </c>
      <c r="G449" t="s">
        <v>6877</v>
      </c>
      <c r="H449">
        <v>1</v>
      </c>
      <c r="I449" t="str">
        <f t="shared" si="8"/>
        <v>('CGM-LP-279','laptop','SOPHOS','','','OCUPADO',1),</v>
      </c>
    </row>
    <row r="450" spans="1:9" x14ac:dyDescent="0.25">
      <c r="A450">
        <v>449</v>
      </c>
      <c r="B450" t="s">
        <v>9405</v>
      </c>
      <c r="C450" t="s">
        <v>4354</v>
      </c>
      <c r="D450" t="s">
        <v>7140</v>
      </c>
      <c r="F450" s="8" t="s">
        <v>4340</v>
      </c>
      <c r="G450" t="s">
        <v>6877</v>
      </c>
      <c r="H450">
        <v>1</v>
      </c>
      <c r="I450" t="str">
        <f t="shared" si="8"/>
        <v>('CGM-LP-280','laptop','SOPHOS','','','OCUPADO',1),</v>
      </c>
    </row>
    <row r="451" spans="1:9" x14ac:dyDescent="0.25">
      <c r="A451">
        <v>450</v>
      </c>
      <c r="B451" t="s">
        <v>9405</v>
      </c>
      <c r="C451" t="s">
        <v>4354</v>
      </c>
      <c r="D451" t="s">
        <v>7140</v>
      </c>
      <c r="F451" s="8" t="s">
        <v>4340</v>
      </c>
      <c r="G451" t="s">
        <v>6877</v>
      </c>
      <c r="H451">
        <v>1</v>
      </c>
      <c r="I451" t="str">
        <f t="shared" si="8"/>
        <v>('CGM-LP-280','laptop','SOPHOS','','','OCUPADO',1),</v>
      </c>
    </row>
    <row r="452" spans="1:9" x14ac:dyDescent="0.25">
      <c r="A452">
        <v>451</v>
      </c>
      <c r="B452" t="s">
        <v>9404</v>
      </c>
      <c r="C452" t="s">
        <v>4354</v>
      </c>
      <c r="D452" t="s">
        <v>7140</v>
      </c>
      <c r="F452" s="8" t="s">
        <v>4340</v>
      </c>
      <c r="G452" t="s">
        <v>6877</v>
      </c>
      <c r="H452">
        <v>1</v>
      </c>
      <c r="I452" t="str">
        <f t="shared" si="8"/>
        <v>('CGM-LP-281','laptop','SOPHOS','','','OCUPADO',1),</v>
      </c>
    </row>
    <row r="453" spans="1:9" x14ac:dyDescent="0.25">
      <c r="A453">
        <v>452</v>
      </c>
      <c r="B453" t="s">
        <v>9404</v>
      </c>
      <c r="C453" t="s">
        <v>4354</v>
      </c>
      <c r="D453" t="s">
        <v>7140</v>
      </c>
      <c r="F453" s="8" t="s">
        <v>4340</v>
      </c>
      <c r="G453" t="s">
        <v>6877</v>
      </c>
      <c r="H453">
        <v>1</v>
      </c>
      <c r="I453" t="str">
        <f t="shared" si="8"/>
        <v>('CGM-LP-281','laptop','SOPHOS','','','OCUPADO',1),</v>
      </c>
    </row>
    <row r="454" spans="1:9" x14ac:dyDescent="0.25">
      <c r="A454">
        <v>453</v>
      </c>
      <c r="B454" t="s">
        <v>9404</v>
      </c>
      <c r="C454" t="s">
        <v>4354</v>
      </c>
      <c r="D454" t="s">
        <v>7140</v>
      </c>
      <c r="F454" s="8" t="s">
        <v>4340</v>
      </c>
      <c r="G454" t="s">
        <v>6877</v>
      </c>
      <c r="H454">
        <v>1</v>
      </c>
      <c r="I454" t="str">
        <f t="shared" ref="I454:I517" si="9">_xlfn.CONCAT("('",B454,"','",C454,"','",D454,"','",E454,"','",F454,"','",G454,"',",H454,"),")</f>
        <v>('CGM-LP-281','laptop','SOPHOS','','','OCUPADO',1),</v>
      </c>
    </row>
    <row r="455" spans="1:9" x14ac:dyDescent="0.25">
      <c r="A455">
        <v>454</v>
      </c>
      <c r="B455" t="s">
        <v>9448</v>
      </c>
      <c r="C455" t="s">
        <v>4354</v>
      </c>
      <c r="D455" t="s">
        <v>7140</v>
      </c>
      <c r="F455" s="8" t="s">
        <v>4340</v>
      </c>
      <c r="G455" t="s">
        <v>6877</v>
      </c>
      <c r="H455">
        <v>1</v>
      </c>
      <c r="I455" t="str">
        <f t="shared" si="9"/>
        <v>('CGM-LP-282','laptop','SOPHOS','','','OCUPADO',1),</v>
      </c>
    </row>
    <row r="456" spans="1:9" x14ac:dyDescent="0.25">
      <c r="A456">
        <v>455</v>
      </c>
      <c r="B456" t="s">
        <v>9537</v>
      </c>
      <c r="C456" t="s">
        <v>4354</v>
      </c>
      <c r="D456" t="s">
        <v>7140</v>
      </c>
      <c r="F456" s="8" t="s">
        <v>4340</v>
      </c>
      <c r="G456" t="s">
        <v>6877</v>
      </c>
      <c r="H456">
        <v>1</v>
      </c>
      <c r="I456" t="str">
        <f t="shared" si="9"/>
        <v>('CGM-LP-283','laptop','SOPHOS','','','OCUPADO',1),</v>
      </c>
    </row>
    <row r="457" spans="1:9" x14ac:dyDescent="0.25">
      <c r="A457">
        <v>456</v>
      </c>
      <c r="B457" t="s">
        <v>9508</v>
      </c>
      <c r="C457" t="s">
        <v>4354</v>
      </c>
      <c r="D457" t="s">
        <v>7140</v>
      </c>
      <c r="F457" s="8" t="s">
        <v>4340</v>
      </c>
      <c r="G457" t="s">
        <v>6877</v>
      </c>
      <c r="H457">
        <v>1</v>
      </c>
      <c r="I457" t="str">
        <f t="shared" si="9"/>
        <v>('CGM-LP-284','laptop','SOPHOS','','','OCUPADO',1),</v>
      </c>
    </row>
    <row r="458" spans="1:9" x14ac:dyDescent="0.25">
      <c r="A458">
        <v>457</v>
      </c>
      <c r="B458" t="s">
        <v>9491</v>
      </c>
      <c r="C458" t="s">
        <v>4354</v>
      </c>
      <c r="D458" t="s">
        <v>7140</v>
      </c>
      <c r="F458" s="8" t="s">
        <v>4340</v>
      </c>
      <c r="G458" t="s">
        <v>6877</v>
      </c>
      <c r="H458">
        <v>1</v>
      </c>
      <c r="I458" t="str">
        <f t="shared" si="9"/>
        <v>('CGM-LP-285','laptop','SOPHOS','','','OCUPADO',1),</v>
      </c>
    </row>
    <row r="459" spans="1:9" x14ac:dyDescent="0.25">
      <c r="A459">
        <v>458</v>
      </c>
      <c r="B459" t="s">
        <v>9384</v>
      </c>
      <c r="C459" t="s">
        <v>4354</v>
      </c>
      <c r="D459" t="s">
        <v>7140</v>
      </c>
      <c r="F459" s="8" t="s">
        <v>4340</v>
      </c>
      <c r="G459" t="s">
        <v>6877</v>
      </c>
      <c r="H459">
        <v>1</v>
      </c>
      <c r="I459" t="str">
        <f t="shared" si="9"/>
        <v>('CGM-LP-288','laptop','SOPHOS','','','OCUPADO',1),</v>
      </c>
    </row>
    <row r="460" spans="1:9" x14ac:dyDescent="0.25">
      <c r="A460">
        <v>459</v>
      </c>
      <c r="B460" t="s">
        <v>7184</v>
      </c>
      <c r="C460" t="s">
        <v>4354</v>
      </c>
      <c r="D460" t="s">
        <v>7140</v>
      </c>
      <c r="F460" s="8" t="s">
        <v>4340</v>
      </c>
      <c r="G460" t="s">
        <v>6877</v>
      </c>
      <c r="H460">
        <v>1</v>
      </c>
      <c r="I460" t="str">
        <f t="shared" si="9"/>
        <v>('CGM-LP-289','laptop','SOPHOS','','','OCUPADO',1),</v>
      </c>
    </row>
    <row r="461" spans="1:9" x14ac:dyDescent="0.25">
      <c r="A461">
        <v>460</v>
      </c>
      <c r="B461" t="s">
        <v>7185</v>
      </c>
      <c r="C461" t="s">
        <v>4354</v>
      </c>
      <c r="D461" t="s">
        <v>7140</v>
      </c>
      <c r="F461" s="8" t="s">
        <v>4340</v>
      </c>
      <c r="G461" t="s">
        <v>6877</v>
      </c>
      <c r="H461">
        <v>1</v>
      </c>
      <c r="I461" t="str">
        <f t="shared" si="9"/>
        <v>('CGM-LP-290','laptop','SOPHOS','','','OCUPADO',1),</v>
      </c>
    </row>
    <row r="462" spans="1:9" x14ac:dyDescent="0.25">
      <c r="A462">
        <v>461</v>
      </c>
      <c r="B462" t="s">
        <v>7186</v>
      </c>
      <c r="C462" t="s">
        <v>4354</v>
      </c>
      <c r="D462" t="s">
        <v>7140</v>
      </c>
      <c r="F462" s="8" t="s">
        <v>4340</v>
      </c>
      <c r="G462" t="s">
        <v>6877</v>
      </c>
      <c r="H462">
        <v>1</v>
      </c>
      <c r="I462" t="str">
        <f t="shared" si="9"/>
        <v>('CGM-LP-291','laptop','SOPHOS','','','OCUPADO',1),</v>
      </c>
    </row>
    <row r="463" spans="1:9" x14ac:dyDescent="0.25">
      <c r="A463">
        <v>462</v>
      </c>
      <c r="B463" t="s">
        <v>9398</v>
      </c>
      <c r="C463" t="s">
        <v>4354</v>
      </c>
      <c r="D463" t="s">
        <v>7140</v>
      </c>
      <c r="F463" s="8" t="s">
        <v>4340</v>
      </c>
      <c r="G463" t="s">
        <v>6877</v>
      </c>
      <c r="H463">
        <v>1</v>
      </c>
      <c r="I463" t="str">
        <f t="shared" si="9"/>
        <v>('CGM-LP-292','laptop','SOPHOS','','','OCUPADO',1),</v>
      </c>
    </row>
    <row r="464" spans="1:9" x14ac:dyDescent="0.25">
      <c r="A464">
        <v>463</v>
      </c>
      <c r="B464" t="s">
        <v>9379</v>
      </c>
      <c r="C464" t="s">
        <v>4354</v>
      </c>
      <c r="D464" t="s">
        <v>7140</v>
      </c>
      <c r="F464" s="8" t="s">
        <v>4340</v>
      </c>
      <c r="G464" t="s">
        <v>6877</v>
      </c>
      <c r="H464">
        <v>1</v>
      </c>
      <c r="I464" t="str">
        <f t="shared" si="9"/>
        <v>('CGM-LP-293','laptop','SOPHOS','','','OCUPADO',1),</v>
      </c>
    </row>
    <row r="465" spans="1:9" x14ac:dyDescent="0.25">
      <c r="A465">
        <v>464</v>
      </c>
      <c r="B465" t="s">
        <v>9502</v>
      </c>
      <c r="C465" t="s">
        <v>4354</v>
      </c>
      <c r="D465" t="s">
        <v>7140</v>
      </c>
      <c r="F465" s="8" t="s">
        <v>4340</v>
      </c>
      <c r="G465" t="s">
        <v>6877</v>
      </c>
      <c r="H465">
        <v>1</v>
      </c>
      <c r="I465" t="str">
        <f t="shared" si="9"/>
        <v>('CGM-LP-294','laptop','SOPHOS','','','OCUPADO',1),</v>
      </c>
    </row>
    <row r="466" spans="1:9" x14ac:dyDescent="0.25">
      <c r="A466">
        <v>465</v>
      </c>
      <c r="B466" t="s">
        <v>9466</v>
      </c>
      <c r="C466" t="s">
        <v>4354</v>
      </c>
      <c r="D466" t="s">
        <v>7140</v>
      </c>
      <c r="F466" s="8" t="s">
        <v>4340</v>
      </c>
      <c r="G466" t="s">
        <v>6877</v>
      </c>
      <c r="H466">
        <v>1</v>
      </c>
      <c r="I466" t="str">
        <f t="shared" si="9"/>
        <v>('CGM-LP-296','laptop','SOPHOS','','','OCUPADO',1),</v>
      </c>
    </row>
    <row r="467" spans="1:9" x14ac:dyDescent="0.25">
      <c r="A467">
        <v>466</v>
      </c>
      <c r="B467" t="s">
        <v>7187</v>
      </c>
      <c r="C467" t="s">
        <v>4354</v>
      </c>
      <c r="D467" t="s">
        <v>7140</v>
      </c>
      <c r="F467" s="8" t="s">
        <v>4340</v>
      </c>
      <c r="G467" t="s">
        <v>6877</v>
      </c>
      <c r="H467">
        <v>1</v>
      </c>
      <c r="I467" t="str">
        <f t="shared" si="9"/>
        <v>('CGM-LP-297','laptop','SOPHOS','','','OCUPADO',1),</v>
      </c>
    </row>
    <row r="468" spans="1:9" x14ac:dyDescent="0.25">
      <c r="A468">
        <v>467</v>
      </c>
      <c r="B468" t="s">
        <v>9397</v>
      </c>
      <c r="C468" t="s">
        <v>4354</v>
      </c>
      <c r="D468" t="s">
        <v>7140</v>
      </c>
      <c r="F468" s="8" t="s">
        <v>4340</v>
      </c>
      <c r="G468" t="s">
        <v>6877</v>
      </c>
      <c r="H468">
        <v>1</v>
      </c>
      <c r="I468" t="str">
        <f t="shared" si="9"/>
        <v>('CGM-LP-298','laptop','SOPHOS','','','OCUPADO',1),</v>
      </c>
    </row>
    <row r="469" spans="1:9" x14ac:dyDescent="0.25">
      <c r="A469">
        <v>468</v>
      </c>
      <c r="B469" t="s">
        <v>9521</v>
      </c>
      <c r="C469" t="s">
        <v>4354</v>
      </c>
      <c r="D469" t="s">
        <v>7140</v>
      </c>
      <c r="F469" s="8" t="s">
        <v>4340</v>
      </c>
      <c r="G469" t="s">
        <v>6877</v>
      </c>
      <c r="H469">
        <v>1</v>
      </c>
      <c r="I469" t="str">
        <f t="shared" si="9"/>
        <v>('CGM-LP-299','laptop','SOPHOS','','','OCUPADO',1),</v>
      </c>
    </row>
    <row r="470" spans="1:9" x14ac:dyDescent="0.25">
      <c r="A470">
        <v>469</v>
      </c>
      <c r="B470" t="s">
        <v>9422</v>
      </c>
      <c r="C470" t="s">
        <v>4354</v>
      </c>
      <c r="D470" t="s">
        <v>7140</v>
      </c>
      <c r="F470" s="8" t="s">
        <v>4340</v>
      </c>
      <c r="G470" t="s">
        <v>6877</v>
      </c>
      <c r="H470">
        <v>1</v>
      </c>
      <c r="I470" t="str">
        <f t="shared" si="9"/>
        <v>('CGM-LP-300','laptop','SOPHOS','','','OCUPADO',1),</v>
      </c>
    </row>
    <row r="471" spans="1:9" x14ac:dyDescent="0.25">
      <c r="A471">
        <v>470</v>
      </c>
      <c r="B471" t="s">
        <v>7188</v>
      </c>
      <c r="C471" t="s">
        <v>4354</v>
      </c>
      <c r="D471" t="s">
        <v>7140</v>
      </c>
      <c r="F471" s="8" t="s">
        <v>4340</v>
      </c>
      <c r="G471" t="s">
        <v>6877</v>
      </c>
      <c r="H471">
        <v>1</v>
      </c>
      <c r="I471" t="str">
        <f t="shared" si="9"/>
        <v>('CGM-LP-301','laptop','SOPHOS','','','OCUPADO',1),</v>
      </c>
    </row>
    <row r="472" spans="1:9" x14ac:dyDescent="0.25">
      <c r="A472">
        <v>471</v>
      </c>
      <c r="B472" t="s">
        <v>7189</v>
      </c>
      <c r="C472" t="s">
        <v>4354</v>
      </c>
      <c r="D472" t="s">
        <v>7140</v>
      </c>
      <c r="F472" s="8" t="s">
        <v>4340</v>
      </c>
      <c r="G472" t="s">
        <v>6877</v>
      </c>
      <c r="H472">
        <v>1</v>
      </c>
      <c r="I472" t="str">
        <f t="shared" si="9"/>
        <v>('CGM-LP-302','laptop','SOPHOS','','','OCUPADO',1),</v>
      </c>
    </row>
    <row r="473" spans="1:9" x14ac:dyDescent="0.25">
      <c r="A473">
        <v>472</v>
      </c>
      <c r="B473" t="s">
        <v>9395</v>
      </c>
      <c r="C473" t="s">
        <v>4354</v>
      </c>
      <c r="D473" t="s">
        <v>7140</v>
      </c>
      <c r="F473" s="8" t="s">
        <v>4340</v>
      </c>
      <c r="G473" t="s">
        <v>6877</v>
      </c>
      <c r="H473">
        <v>1</v>
      </c>
      <c r="I473" t="str">
        <f t="shared" si="9"/>
        <v>('CGM-LP-303','laptop','SOPHOS','','','OCUPADO',1),</v>
      </c>
    </row>
    <row r="474" spans="1:9" x14ac:dyDescent="0.25">
      <c r="A474">
        <v>473</v>
      </c>
      <c r="B474" t="s">
        <v>7190</v>
      </c>
      <c r="C474" t="s">
        <v>4354</v>
      </c>
      <c r="D474" t="s">
        <v>7140</v>
      </c>
      <c r="F474" s="8" t="s">
        <v>4340</v>
      </c>
      <c r="G474" t="s">
        <v>6877</v>
      </c>
      <c r="H474">
        <v>1</v>
      </c>
      <c r="I474" t="str">
        <f t="shared" si="9"/>
        <v>('CGM-LP-304','laptop','SOPHOS','','','OCUPADO',1),</v>
      </c>
    </row>
    <row r="475" spans="1:9" x14ac:dyDescent="0.25">
      <c r="A475">
        <v>474</v>
      </c>
      <c r="B475" t="s">
        <v>9482</v>
      </c>
      <c r="C475" t="s">
        <v>4354</v>
      </c>
      <c r="D475" t="s">
        <v>7140</v>
      </c>
      <c r="F475" s="8" t="s">
        <v>4340</v>
      </c>
      <c r="G475" t="s">
        <v>6877</v>
      </c>
      <c r="H475">
        <v>1</v>
      </c>
      <c r="I475" t="str">
        <f t="shared" si="9"/>
        <v>('CGM-LP-305','laptop','SOPHOS','','','OCUPADO',1),</v>
      </c>
    </row>
    <row r="476" spans="1:9" x14ac:dyDescent="0.25">
      <c r="A476">
        <v>475</v>
      </c>
      <c r="B476" t="s">
        <v>9382</v>
      </c>
      <c r="C476" t="s">
        <v>4354</v>
      </c>
      <c r="D476" t="s">
        <v>7140</v>
      </c>
      <c r="F476" s="8" t="s">
        <v>4340</v>
      </c>
      <c r="G476" t="s">
        <v>6877</v>
      </c>
      <c r="H476">
        <v>1</v>
      </c>
      <c r="I476" t="str">
        <f t="shared" si="9"/>
        <v>('CGM-LP-306','laptop','SOPHOS','','','OCUPADO',1),</v>
      </c>
    </row>
    <row r="477" spans="1:9" x14ac:dyDescent="0.25">
      <c r="A477">
        <v>476</v>
      </c>
      <c r="B477" t="s">
        <v>7191</v>
      </c>
      <c r="C477" t="s">
        <v>4354</v>
      </c>
      <c r="D477" t="s">
        <v>7140</v>
      </c>
      <c r="F477" s="8" t="s">
        <v>4340</v>
      </c>
      <c r="G477" t="s">
        <v>6877</v>
      </c>
      <c r="H477">
        <v>1</v>
      </c>
      <c r="I477" t="str">
        <f t="shared" si="9"/>
        <v>('CGM-LP-307','laptop','SOPHOS','','','OCUPADO',1),</v>
      </c>
    </row>
    <row r="478" spans="1:9" x14ac:dyDescent="0.25">
      <c r="A478">
        <v>477</v>
      </c>
      <c r="B478" t="s">
        <v>7192</v>
      </c>
      <c r="C478" t="s">
        <v>4354</v>
      </c>
      <c r="D478" t="s">
        <v>7140</v>
      </c>
      <c r="F478" s="8" t="s">
        <v>4340</v>
      </c>
      <c r="G478" t="s">
        <v>6877</v>
      </c>
      <c r="H478">
        <v>1</v>
      </c>
      <c r="I478" t="str">
        <f t="shared" si="9"/>
        <v>('CGM-LP-308','laptop','SOPHOS','','','OCUPADO',1),</v>
      </c>
    </row>
    <row r="479" spans="1:9" x14ac:dyDescent="0.25">
      <c r="A479">
        <v>478</v>
      </c>
      <c r="B479" t="s">
        <v>9440</v>
      </c>
      <c r="C479" t="s">
        <v>4354</v>
      </c>
      <c r="D479" t="s">
        <v>7140</v>
      </c>
      <c r="F479" s="8" t="s">
        <v>4340</v>
      </c>
      <c r="G479" t="s">
        <v>6877</v>
      </c>
      <c r="H479">
        <v>1</v>
      </c>
      <c r="I479" t="str">
        <f t="shared" si="9"/>
        <v>('CGM-LP-309','laptop','SOPHOS','','','OCUPADO',1),</v>
      </c>
    </row>
    <row r="480" spans="1:9" x14ac:dyDescent="0.25">
      <c r="A480">
        <v>479</v>
      </c>
      <c r="B480" t="s">
        <v>7193</v>
      </c>
      <c r="C480" t="s">
        <v>4354</v>
      </c>
      <c r="D480" t="s">
        <v>7140</v>
      </c>
      <c r="F480" s="8" t="s">
        <v>4340</v>
      </c>
      <c r="G480" t="s">
        <v>6877</v>
      </c>
      <c r="H480">
        <v>1</v>
      </c>
      <c r="I480" t="str">
        <f t="shared" si="9"/>
        <v>('CGM-LP-310','laptop','SOPHOS','','','OCUPADO',1),</v>
      </c>
    </row>
    <row r="481" spans="1:9" x14ac:dyDescent="0.25">
      <c r="A481">
        <v>480</v>
      </c>
      <c r="B481" t="s">
        <v>7194</v>
      </c>
      <c r="C481" t="s">
        <v>4354</v>
      </c>
      <c r="D481" t="s">
        <v>7140</v>
      </c>
      <c r="F481" s="8" t="s">
        <v>4340</v>
      </c>
      <c r="G481" t="s">
        <v>6877</v>
      </c>
      <c r="H481">
        <v>1</v>
      </c>
      <c r="I481" t="str">
        <f t="shared" si="9"/>
        <v>('CGM-LP-311','laptop','SOPHOS','','','OCUPADO',1),</v>
      </c>
    </row>
    <row r="482" spans="1:9" x14ac:dyDescent="0.25">
      <c r="A482">
        <v>481</v>
      </c>
      <c r="B482" t="s">
        <v>9475</v>
      </c>
      <c r="C482" t="s">
        <v>4354</v>
      </c>
      <c r="D482" t="s">
        <v>7140</v>
      </c>
      <c r="F482" s="8" t="s">
        <v>4340</v>
      </c>
      <c r="G482" t="s">
        <v>6877</v>
      </c>
      <c r="H482">
        <v>1</v>
      </c>
      <c r="I482" t="str">
        <f t="shared" si="9"/>
        <v>('CGM-LP-312','laptop','SOPHOS','','','OCUPADO',1),</v>
      </c>
    </row>
    <row r="483" spans="1:9" x14ac:dyDescent="0.25">
      <c r="A483">
        <v>482</v>
      </c>
      <c r="B483" t="s">
        <v>9510</v>
      </c>
      <c r="C483" t="s">
        <v>4354</v>
      </c>
      <c r="D483" t="s">
        <v>7140</v>
      </c>
      <c r="F483" s="8" t="s">
        <v>4340</v>
      </c>
      <c r="G483" t="s">
        <v>6877</v>
      </c>
      <c r="H483">
        <v>1</v>
      </c>
      <c r="I483" t="str">
        <f t="shared" si="9"/>
        <v>('CGM-LP-313','laptop','SOPHOS','','','OCUPADO',1),</v>
      </c>
    </row>
    <row r="484" spans="1:9" x14ac:dyDescent="0.25">
      <c r="A484">
        <v>483</v>
      </c>
      <c r="B484" t="s">
        <v>9383</v>
      </c>
      <c r="C484" t="s">
        <v>4354</v>
      </c>
      <c r="D484" t="s">
        <v>7140</v>
      </c>
      <c r="F484" s="8" t="s">
        <v>4340</v>
      </c>
      <c r="G484" t="s">
        <v>6877</v>
      </c>
      <c r="H484">
        <v>1</v>
      </c>
      <c r="I484" t="str">
        <f t="shared" si="9"/>
        <v>('CGM-LP-315','laptop','SOPHOS','','','OCUPADO',1),</v>
      </c>
    </row>
    <row r="485" spans="1:9" x14ac:dyDescent="0.25">
      <c r="A485">
        <v>484</v>
      </c>
      <c r="B485" t="s">
        <v>9425</v>
      </c>
      <c r="C485" t="s">
        <v>4354</v>
      </c>
      <c r="D485" t="s">
        <v>7140</v>
      </c>
      <c r="F485" s="8" t="s">
        <v>4340</v>
      </c>
      <c r="G485" t="s">
        <v>6877</v>
      </c>
      <c r="H485">
        <v>1</v>
      </c>
      <c r="I485" t="str">
        <f t="shared" si="9"/>
        <v>('CGM-LP-317','laptop','SOPHOS','','','OCUPADO',1),</v>
      </c>
    </row>
    <row r="486" spans="1:9" x14ac:dyDescent="0.25">
      <c r="A486">
        <v>485</v>
      </c>
      <c r="B486" t="s">
        <v>7195</v>
      </c>
      <c r="C486" t="s">
        <v>4354</v>
      </c>
      <c r="D486" t="s">
        <v>7140</v>
      </c>
      <c r="F486" s="8" t="s">
        <v>4340</v>
      </c>
      <c r="G486" t="s">
        <v>6877</v>
      </c>
      <c r="H486">
        <v>1</v>
      </c>
      <c r="I486" t="str">
        <f t="shared" si="9"/>
        <v>('CGM-LP-318','laptop','SOPHOS','','','OCUPADO',1),</v>
      </c>
    </row>
    <row r="487" spans="1:9" x14ac:dyDescent="0.25">
      <c r="A487">
        <v>486</v>
      </c>
      <c r="B487" t="s">
        <v>9517</v>
      </c>
      <c r="C487" t="s">
        <v>4354</v>
      </c>
      <c r="D487" t="s">
        <v>7140</v>
      </c>
      <c r="F487" s="8" t="s">
        <v>4340</v>
      </c>
      <c r="G487" t="s">
        <v>6877</v>
      </c>
      <c r="H487">
        <v>1</v>
      </c>
      <c r="I487" t="str">
        <f t="shared" si="9"/>
        <v>('CGM-LP-320','laptop','SOPHOS','','','OCUPADO',1),</v>
      </c>
    </row>
    <row r="488" spans="1:9" x14ac:dyDescent="0.25">
      <c r="A488">
        <v>487</v>
      </c>
      <c r="B488" t="s">
        <v>9541</v>
      </c>
      <c r="C488" t="s">
        <v>4354</v>
      </c>
      <c r="D488" t="s">
        <v>7140</v>
      </c>
      <c r="F488" s="8" t="s">
        <v>4340</v>
      </c>
      <c r="G488" t="s">
        <v>6877</v>
      </c>
      <c r="H488">
        <v>1</v>
      </c>
      <c r="I488" t="str">
        <f t="shared" si="9"/>
        <v>('CGM-LP-321','laptop','SOPHOS','','','OCUPADO',1),</v>
      </c>
    </row>
    <row r="489" spans="1:9" x14ac:dyDescent="0.25">
      <c r="A489">
        <v>488</v>
      </c>
      <c r="B489" t="s">
        <v>7196</v>
      </c>
      <c r="C489" t="s">
        <v>4354</v>
      </c>
      <c r="D489" t="s">
        <v>7140</v>
      </c>
      <c r="F489" s="8" t="s">
        <v>4340</v>
      </c>
      <c r="G489" t="s">
        <v>6877</v>
      </c>
      <c r="H489">
        <v>1</v>
      </c>
      <c r="I489" t="str">
        <f t="shared" si="9"/>
        <v>('CGM-LP-322','laptop','SOPHOS','','','OCUPADO',1),</v>
      </c>
    </row>
    <row r="490" spans="1:9" x14ac:dyDescent="0.25">
      <c r="A490">
        <v>489</v>
      </c>
      <c r="B490" t="s">
        <v>9399</v>
      </c>
      <c r="C490" t="s">
        <v>4354</v>
      </c>
      <c r="D490" t="s">
        <v>7140</v>
      </c>
      <c r="F490" s="8" t="s">
        <v>4340</v>
      </c>
      <c r="G490" t="s">
        <v>6877</v>
      </c>
      <c r="H490">
        <v>1</v>
      </c>
      <c r="I490" t="str">
        <f t="shared" si="9"/>
        <v>('CGM-LP-323','laptop','SOPHOS','','','OCUPADO',1),</v>
      </c>
    </row>
    <row r="491" spans="1:9" x14ac:dyDescent="0.25">
      <c r="A491">
        <v>490</v>
      </c>
      <c r="B491" t="s">
        <v>9480</v>
      </c>
      <c r="C491" t="s">
        <v>4354</v>
      </c>
      <c r="D491" t="s">
        <v>7140</v>
      </c>
      <c r="F491" s="8" t="s">
        <v>4340</v>
      </c>
      <c r="G491" t="s">
        <v>6877</v>
      </c>
      <c r="H491">
        <v>1</v>
      </c>
      <c r="I491" t="str">
        <f t="shared" si="9"/>
        <v>('CGM-LP-324','laptop','SOPHOS','','','OCUPADO',1),</v>
      </c>
    </row>
    <row r="492" spans="1:9" x14ac:dyDescent="0.25">
      <c r="A492">
        <v>491</v>
      </c>
      <c r="B492" t="s">
        <v>9415</v>
      </c>
      <c r="C492" t="s">
        <v>4354</v>
      </c>
      <c r="D492" t="s">
        <v>7140</v>
      </c>
      <c r="F492" s="8" t="s">
        <v>4340</v>
      </c>
      <c r="G492" t="s">
        <v>6877</v>
      </c>
      <c r="H492">
        <v>1</v>
      </c>
      <c r="I492" t="str">
        <f t="shared" si="9"/>
        <v>('CGM-LP-325','laptop','SOPHOS','','','OCUPADO',1),</v>
      </c>
    </row>
    <row r="493" spans="1:9" x14ac:dyDescent="0.25">
      <c r="A493">
        <v>492</v>
      </c>
      <c r="B493" t="s">
        <v>9415</v>
      </c>
      <c r="C493" t="s">
        <v>4354</v>
      </c>
      <c r="D493" t="s">
        <v>7140</v>
      </c>
      <c r="F493" s="8" t="s">
        <v>4340</v>
      </c>
      <c r="G493" t="s">
        <v>6877</v>
      </c>
      <c r="H493">
        <v>1</v>
      </c>
      <c r="I493" t="str">
        <f t="shared" si="9"/>
        <v>('CGM-LP-325','laptop','SOPHOS','','','OCUPADO',1),</v>
      </c>
    </row>
    <row r="494" spans="1:9" x14ac:dyDescent="0.25">
      <c r="A494">
        <v>493</v>
      </c>
      <c r="B494" t="s">
        <v>9429</v>
      </c>
      <c r="C494" t="s">
        <v>4354</v>
      </c>
      <c r="D494" t="s">
        <v>7140</v>
      </c>
      <c r="F494" s="8" t="s">
        <v>4340</v>
      </c>
      <c r="G494" t="s">
        <v>6877</v>
      </c>
      <c r="H494">
        <v>1</v>
      </c>
      <c r="I494" t="str">
        <f t="shared" si="9"/>
        <v>('CGM-LP-326','laptop','SOPHOS','','','OCUPADO',1),</v>
      </c>
    </row>
    <row r="495" spans="1:9" x14ac:dyDescent="0.25">
      <c r="A495">
        <v>494</v>
      </c>
      <c r="B495" t="s">
        <v>9525</v>
      </c>
      <c r="C495" t="s">
        <v>4354</v>
      </c>
      <c r="D495" t="s">
        <v>7140</v>
      </c>
      <c r="F495" s="8" t="s">
        <v>4340</v>
      </c>
      <c r="G495" t="s">
        <v>6877</v>
      </c>
      <c r="H495">
        <v>1</v>
      </c>
      <c r="I495" t="str">
        <f t="shared" si="9"/>
        <v>('CGM-LP-327','laptop','SOPHOS','','','OCUPADO',1),</v>
      </c>
    </row>
    <row r="496" spans="1:9" x14ac:dyDescent="0.25">
      <c r="A496">
        <v>495</v>
      </c>
      <c r="B496" t="s">
        <v>9534</v>
      </c>
      <c r="C496" t="s">
        <v>4354</v>
      </c>
      <c r="D496" t="s">
        <v>7140</v>
      </c>
      <c r="F496" s="8" t="s">
        <v>4340</v>
      </c>
      <c r="G496" t="s">
        <v>6877</v>
      </c>
      <c r="H496">
        <v>1</v>
      </c>
      <c r="I496" t="str">
        <f t="shared" si="9"/>
        <v>('CGM-LP-328','laptop','SOPHOS','','','OCUPADO',1),</v>
      </c>
    </row>
    <row r="497" spans="1:9" x14ac:dyDescent="0.25">
      <c r="A497">
        <v>496</v>
      </c>
      <c r="B497" t="s">
        <v>9442</v>
      </c>
      <c r="C497" t="s">
        <v>4354</v>
      </c>
      <c r="D497" t="s">
        <v>7140</v>
      </c>
      <c r="F497" s="8" t="s">
        <v>4340</v>
      </c>
      <c r="G497" t="s">
        <v>6877</v>
      </c>
      <c r="H497">
        <v>1</v>
      </c>
      <c r="I497" t="str">
        <f t="shared" si="9"/>
        <v>('CGM-LP-329','laptop','SOPHOS','','','OCUPADO',1),</v>
      </c>
    </row>
    <row r="498" spans="1:9" x14ac:dyDescent="0.25">
      <c r="A498">
        <v>497</v>
      </c>
      <c r="B498" t="s">
        <v>9442</v>
      </c>
      <c r="C498" t="s">
        <v>4354</v>
      </c>
      <c r="D498" t="s">
        <v>7140</v>
      </c>
      <c r="F498" s="8" t="s">
        <v>4340</v>
      </c>
      <c r="G498" t="s">
        <v>6877</v>
      </c>
      <c r="H498">
        <v>1</v>
      </c>
      <c r="I498" t="str">
        <f t="shared" si="9"/>
        <v>('CGM-LP-329','laptop','SOPHOS','','','OCUPADO',1),</v>
      </c>
    </row>
    <row r="499" spans="1:9" x14ac:dyDescent="0.25">
      <c r="A499">
        <v>498</v>
      </c>
      <c r="B499" t="s">
        <v>9450</v>
      </c>
      <c r="C499" t="s">
        <v>4354</v>
      </c>
      <c r="D499" t="s">
        <v>7140</v>
      </c>
      <c r="F499" s="8" t="s">
        <v>4340</v>
      </c>
      <c r="G499" t="s">
        <v>6877</v>
      </c>
      <c r="H499">
        <v>1</v>
      </c>
      <c r="I499" t="str">
        <f t="shared" si="9"/>
        <v>('CGM-LP-330','laptop','SOPHOS','','','OCUPADO',1),</v>
      </c>
    </row>
    <row r="500" spans="1:9" x14ac:dyDescent="0.25">
      <c r="A500">
        <v>499</v>
      </c>
      <c r="B500" t="s">
        <v>9450</v>
      </c>
      <c r="C500" t="s">
        <v>4354</v>
      </c>
      <c r="D500" t="s">
        <v>7140</v>
      </c>
      <c r="F500" s="8" t="s">
        <v>4340</v>
      </c>
      <c r="G500" t="s">
        <v>6877</v>
      </c>
      <c r="H500">
        <v>1</v>
      </c>
      <c r="I500" t="str">
        <f t="shared" si="9"/>
        <v>('CGM-LP-330','laptop','SOPHOS','','','OCUPADO',1),</v>
      </c>
    </row>
    <row r="501" spans="1:9" x14ac:dyDescent="0.25">
      <c r="A501">
        <v>500</v>
      </c>
      <c r="B501" t="s">
        <v>7197</v>
      </c>
      <c r="C501" t="s">
        <v>4354</v>
      </c>
      <c r="D501" t="s">
        <v>7140</v>
      </c>
      <c r="F501" s="8" t="s">
        <v>4340</v>
      </c>
      <c r="G501" t="s">
        <v>6877</v>
      </c>
      <c r="H501">
        <v>1</v>
      </c>
      <c r="I501" t="str">
        <f t="shared" si="9"/>
        <v>('CGM-LP-331','laptop','SOPHOS','','','OCUPADO',1),</v>
      </c>
    </row>
    <row r="502" spans="1:9" x14ac:dyDescent="0.25">
      <c r="A502">
        <v>501</v>
      </c>
      <c r="B502" t="s">
        <v>9495</v>
      </c>
      <c r="C502" t="s">
        <v>4354</v>
      </c>
      <c r="D502" t="s">
        <v>7140</v>
      </c>
      <c r="F502" s="8" t="s">
        <v>4340</v>
      </c>
      <c r="G502" t="s">
        <v>6877</v>
      </c>
      <c r="H502">
        <v>1</v>
      </c>
      <c r="I502" t="str">
        <f t="shared" si="9"/>
        <v>('CGM-LP-332','laptop','SOPHOS','','','OCUPADO',1),</v>
      </c>
    </row>
    <row r="503" spans="1:9" x14ac:dyDescent="0.25">
      <c r="A503">
        <v>502</v>
      </c>
      <c r="B503" t="s">
        <v>9495</v>
      </c>
      <c r="C503" t="s">
        <v>4354</v>
      </c>
      <c r="D503" t="s">
        <v>7140</v>
      </c>
      <c r="F503" s="8" t="s">
        <v>4340</v>
      </c>
      <c r="G503" t="s">
        <v>6877</v>
      </c>
      <c r="H503">
        <v>1</v>
      </c>
      <c r="I503" t="str">
        <f t="shared" si="9"/>
        <v>('CGM-LP-332','laptop','SOPHOS','','','OCUPADO',1),</v>
      </c>
    </row>
    <row r="504" spans="1:9" x14ac:dyDescent="0.25">
      <c r="A504">
        <v>503</v>
      </c>
      <c r="B504" t="s">
        <v>9452</v>
      </c>
      <c r="C504" t="s">
        <v>4354</v>
      </c>
      <c r="D504" t="s">
        <v>7140</v>
      </c>
      <c r="F504" s="8" t="s">
        <v>4340</v>
      </c>
      <c r="G504" t="s">
        <v>6877</v>
      </c>
      <c r="H504">
        <v>1</v>
      </c>
      <c r="I504" t="str">
        <f t="shared" si="9"/>
        <v>('CGM-LP-333','laptop','SOPHOS','','','OCUPADO',1),</v>
      </c>
    </row>
    <row r="505" spans="1:9" x14ac:dyDescent="0.25">
      <c r="A505">
        <v>504</v>
      </c>
      <c r="B505" t="s">
        <v>7198</v>
      </c>
      <c r="C505" t="s">
        <v>4354</v>
      </c>
      <c r="D505" t="s">
        <v>7140</v>
      </c>
      <c r="F505" s="8" t="s">
        <v>4340</v>
      </c>
      <c r="G505" t="s">
        <v>6877</v>
      </c>
      <c r="H505">
        <v>1</v>
      </c>
      <c r="I505" t="str">
        <f t="shared" si="9"/>
        <v>('CGM-LP-334','laptop','SOPHOS','','','OCUPADO',1),</v>
      </c>
    </row>
    <row r="506" spans="1:9" x14ac:dyDescent="0.25">
      <c r="A506">
        <v>505</v>
      </c>
      <c r="B506" t="s">
        <v>9545</v>
      </c>
      <c r="C506" t="s">
        <v>4354</v>
      </c>
      <c r="D506" t="s">
        <v>7140</v>
      </c>
      <c r="F506" s="8" t="s">
        <v>4340</v>
      </c>
      <c r="G506" t="s">
        <v>6877</v>
      </c>
      <c r="H506">
        <v>1</v>
      </c>
      <c r="I506" t="str">
        <f t="shared" si="9"/>
        <v>('CGM-LP-335','laptop','SOPHOS','','','OCUPADO',1),</v>
      </c>
    </row>
    <row r="507" spans="1:9" x14ac:dyDescent="0.25">
      <c r="A507">
        <v>506</v>
      </c>
      <c r="B507" t="s">
        <v>9524</v>
      </c>
      <c r="C507" t="s">
        <v>4354</v>
      </c>
      <c r="D507" t="s">
        <v>7140</v>
      </c>
      <c r="F507" s="8" t="s">
        <v>4340</v>
      </c>
      <c r="G507" t="s">
        <v>6877</v>
      </c>
      <c r="H507">
        <v>1</v>
      </c>
      <c r="I507" t="str">
        <f t="shared" si="9"/>
        <v>('CGM-LP-336','laptop','SOPHOS','','','OCUPADO',1),</v>
      </c>
    </row>
    <row r="508" spans="1:9" x14ac:dyDescent="0.25">
      <c r="A508">
        <v>507</v>
      </c>
      <c r="B508" t="s">
        <v>9443</v>
      </c>
      <c r="C508" t="s">
        <v>4354</v>
      </c>
      <c r="D508" t="s">
        <v>7140</v>
      </c>
      <c r="F508" s="8" t="s">
        <v>4340</v>
      </c>
      <c r="G508" t="s">
        <v>6877</v>
      </c>
      <c r="H508">
        <v>1</v>
      </c>
      <c r="I508" t="str">
        <f t="shared" si="9"/>
        <v>('CGM-LP-337','laptop','SOPHOS','','','OCUPADO',1),</v>
      </c>
    </row>
    <row r="509" spans="1:9" x14ac:dyDescent="0.25">
      <c r="A509">
        <v>508</v>
      </c>
      <c r="B509" t="s">
        <v>9443</v>
      </c>
      <c r="C509" t="s">
        <v>4354</v>
      </c>
      <c r="D509" t="s">
        <v>7140</v>
      </c>
      <c r="F509" s="8" t="s">
        <v>4340</v>
      </c>
      <c r="G509" t="s">
        <v>6877</v>
      </c>
      <c r="H509">
        <v>1</v>
      </c>
      <c r="I509" t="str">
        <f t="shared" si="9"/>
        <v>('CGM-LP-337','laptop','SOPHOS','','','OCUPADO',1),</v>
      </c>
    </row>
    <row r="510" spans="1:9" x14ac:dyDescent="0.25">
      <c r="A510">
        <v>509</v>
      </c>
      <c r="B510" t="s">
        <v>9542</v>
      </c>
      <c r="C510" t="s">
        <v>4354</v>
      </c>
      <c r="D510" t="s">
        <v>7140</v>
      </c>
      <c r="F510" s="8" t="s">
        <v>4340</v>
      </c>
      <c r="G510" t="s">
        <v>6877</v>
      </c>
      <c r="H510">
        <v>1</v>
      </c>
      <c r="I510" t="str">
        <f t="shared" si="9"/>
        <v>('CGM-LP-338','laptop','SOPHOS','','','OCUPADO',1),</v>
      </c>
    </row>
    <row r="511" spans="1:9" x14ac:dyDescent="0.25">
      <c r="A511">
        <v>510</v>
      </c>
      <c r="B511" t="s">
        <v>9516</v>
      </c>
      <c r="C511" t="s">
        <v>4354</v>
      </c>
      <c r="D511" t="s">
        <v>7140</v>
      </c>
      <c r="F511" s="8" t="s">
        <v>4340</v>
      </c>
      <c r="G511" t="s">
        <v>6877</v>
      </c>
      <c r="H511">
        <v>1</v>
      </c>
      <c r="I511" t="str">
        <f t="shared" si="9"/>
        <v>('CGM-LP-339','laptop','SOPHOS','','','OCUPADO',1),</v>
      </c>
    </row>
    <row r="512" spans="1:9" x14ac:dyDescent="0.25">
      <c r="A512">
        <v>511</v>
      </c>
      <c r="B512" t="s">
        <v>9465</v>
      </c>
      <c r="C512" t="s">
        <v>4354</v>
      </c>
      <c r="D512" t="s">
        <v>7140</v>
      </c>
      <c r="F512" s="8" t="s">
        <v>4340</v>
      </c>
      <c r="G512" t="s">
        <v>6877</v>
      </c>
      <c r="H512">
        <v>1</v>
      </c>
      <c r="I512" t="str">
        <f t="shared" si="9"/>
        <v>('CGM-LP-340','laptop','SOPHOS','','','OCUPADO',1),</v>
      </c>
    </row>
    <row r="513" spans="1:9" x14ac:dyDescent="0.25">
      <c r="A513">
        <v>512</v>
      </c>
      <c r="B513" t="s">
        <v>9445</v>
      </c>
      <c r="C513" t="s">
        <v>4354</v>
      </c>
      <c r="D513" t="s">
        <v>7140</v>
      </c>
      <c r="F513" s="8" t="s">
        <v>4340</v>
      </c>
      <c r="G513" t="s">
        <v>6877</v>
      </c>
      <c r="H513">
        <v>1</v>
      </c>
      <c r="I513" t="str">
        <f t="shared" si="9"/>
        <v>('CGM-LP-341','laptop','SOPHOS','','','OCUPADO',1),</v>
      </c>
    </row>
    <row r="514" spans="1:9" x14ac:dyDescent="0.25">
      <c r="A514">
        <v>513</v>
      </c>
      <c r="B514" t="s">
        <v>9457</v>
      </c>
      <c r="C514" t="s">
        <v>4354</v>
      </c>
      <c r="D514" t="s">
        <v>7140</v>
      </c>
      <c r="F514" s="8" t="s">
        <v>4340</v>
      </c>
      <c r="G514" t="s">
        <v>6877</v>
      </c>
      <c r="H514">
        <v>1</v>
      </c>
      <c r="I514" t="str">
        <f t="shared" si="9"/>
        <v>('CGM-LP-342','laptop','SOPHOS','','','OCUPADO',1),</v>
      </c>
    </row>
    <row r="515" spans="1:9" x14ac:dyDescent="0.25">
      <c r="A515">
        <v>514</v>
      </c>
      <c r="B515" t="s">
        <v>9458</v>
      </c>
      <c r="C515" t="s">
        <v>4354</v>
      </c>
      <c r="D515" t="s">
        <v>7140</v>
      </c>
      <c r="F515" s="8" t="s">
        <v>4340</v>
      </c>
      <c r="G515" t="s">
        <v>6877</v>
      </c>
      <c r="H515">
        <v>1</v>
      </c>
      <c r="I515" t="str">
        <f t="shared" si="9"/>
        <v>('CGM-LP-343','laptop','SOPHOS','','','OCUPADO',1),</v>
      </c>
    </row>
    <row r="516" spans="1:9" x14ac:dyDescent="0.25">
      <c r="A516">
        <v>515</v>
      </c>
      <c r="B516" t="s">
        <v>9458</v>
      </c>
      <c r="C516" t="s">
        <v>4354</v>
      </c>
      <c r="D516" t="s">
        <v>7140</v>
      </c>
      <c r="F516" s="8" t="s">
        <v>4340</v>
      </c>
      <c r="G516" t="s">
        <v>6877</v>
      </c>
      <c r="H516">
        <v>1</v>
      </c>
      <c r="I516" t="str">
        <f t="shared" si="9"/>
        <v>('CGM-LP-343','laptop','SOPHOS','','','OCUPADO',1),</v>
      </c>
    </row>
    <row r="517" spans="1:9" x14ac:dyDescent="0.25">
      <c r="A517">
        <v>516</v>
      </c>
      <c r="B517" t="s">
        <v>9532</v>
      </c>
      <c r="C517" t="s">
        <v>4354</v>
      </c>
      <c r="D517" t="s">
        <v>7140</v>
      </c>
      <c r="F517" s="8" t="s">
        <v>4340</v>
      </c>
      <c r="G517" t="s">
        <v>6877</v>
      </c>
      <c r="H517">
        <v>1</v>
      </c>
      <c r="I517" t="str">
        <f t="shared" si="9"/>
        <v>('CGM-LP-344','laptop','SOPHOS','','','OCUPADO',1),</v>
      </c>
    </row>
    <row r="518" spans="1:9" x14ac:dyDescent="0.25">
      <c r="A518">
        <v>517</v>
      </c>
      <c r="B518" t="s">
        <v>9459</v>
      </c>
      <c r="C518" t="s">
        <v>4354</v>
      </c>
      <c r="D518" t="s">
        <v>7140</v>
      </c>
      <c r="F518" s="8" t="s">
        <v>4340</v>
      </c>
      <c r="G518" t="s">
        <v>6877</v>
      </c>
      <c r="H518">
        <v>1</v>
      </c>
      <c r="I518" t="str">
        <f t="shared" ref="I518:I538" si="10">_xlfn.CONCAT("('",B518,"','",C518,"','",D518,"','",E518,"','",F518,"','",G518,"',",H518,"),")</f>
        <v>('CGM-LP-345','laptop','SOPHOS','','','OCUPADO',1),</v>
      </c>
    </row>
    <row r="519" spans="1:9" x14ac:dyDescent="0.25">
      <c r="A519">
        <v>518</v>
      </c>
      <c r="B519" t="s">
        <v>9509</v>
      </c>
      <c r="C519" t="s">
        <v>4354</v>
      </c>
      <c r="D519" t="s">
        <v>7140</v>
      </c>
      <c r="F519" s="8" t="s">
        <v>4340</v>
      </c>
      <c r="G519" t="s">
        <v>6877</v>
      </c>
      <c r="H519">
        <v>1</v>
      </c>
      <c r="I519" t="str">
        <f t="shared" si="10"/>
        <v>('CGM-LP-347','laptop','SOPHOS','','','OCUPADO',1),</v>
      </c>
    </row>
    <row r="520" spans="1:9" x14ac:dyDescent="0.25">
      <c r="A520">
        <v>519</v>
      </c>
      <c r="B520" t="s">
        <v>9439</v>
      </c>
      <c r="C520" t="s">
        <v>4354</v>
      </c>
      <c r="D520" t="s">
        <v>7140</v>
      </c>
      <c r="F520" s="8" t="s">
        <v>4340</v>
      </c>
      <c r="G520" t="s">
        <v>6877</v>
      </c>
      <c r="H520">
        <v>1</v>
      </c>
      <c r="I520" t="str">
        <f t="shared" si="10"/>
        <v>('CGM-LP-349','laptop','SOPHOS','','','OCUPADO',1),</v>
      </c>
    </row>
    <row r="521" spans="1:9" x14ac:dyDescent="0.25">
      <c r="A521">
        <v>520</v>
      </c>
      <c r="B521" t="s">
        <v>9427</v>
      </c>
      <c r="C521" t="s">
        <v>4354</v>
      </c>
      <c r="D521" t="s">
        <v>7140</v>
      </c>
      <c r="F521" s="8" t="s">
        <v>4340</v>
      </c>
      <c r="G521" t="s">
        <v>6877</v>
      </c>
      <c r="H521">
        <v>1</v>
      </c>
      <c r="I521" t="str">
        <f t="shared" si="10"/>
        <v>('CGM-LP-350','laptop','SOPHOS','','','OCUPADO',1),</v>
      </c>
    </row>
    <row r="522" spans="1:9" x14ac:dyDescent="0.25">
      <c r="A522">
        <v>521</v>
      </c>
      <c r="B522" t="s">
        <v>9529</v>
      </c>
      <c r="C522" t="s">
        <v>4354</v>
      </c>
      <c r="D522" t="s">
        <v>7140</v>
      </c>
      <c r="F522" s="8" t="s">
        <v>4340</v>
      </c>
      <c r="G522" t="s">
        <v>6877</v>
      </c>
      <c r="H522">
        <v>1</v>
      </c>
      <c r="I522" t="str">
        <f t="shared" si="10"/>
        <v>('CGM-LP-351','laptop','SOPHOS','','','OCUPADO',1),</v>
      </c>
    </row>
    <row r="523" spans="1:9" x14ac:dyDescent="0.25">
      <c r="A523">
        <v>522</v>
      </c>
      <c r="B523" t="s">
        <v>9468</v>
      </c>
      <c r="C523" t="s">
        <v>4354</v>
      </c>
      <c r="D523" t="s">
        <v>7140</v>
      </c>
      <c r="F523" s="8" t="s">
        <v>4340</v>
      </c>
      <c r="G523" t="s">
        <v>6877</v>
      </c>
      <c r="H523">
        <v>1</v>
      </c>
      <c r="I523" t="str">
        <f t="shared" si="10"/>
        <v>('CGM-LP-352','laptop','SOPHOS','','','OCUPADO',1),</v>
      </c>
    </row>
    <row r="524" spans="1:9" x14ac:dyDescent="0.25">
      <c r="A524">
        <v>523</v>
      </c>
      <c r="B524" t="s">
        <v>9473</v>
      </c>
      <c r="C524" t="s">
        <v>4354</v>
      </c>
      <c r="D524" t="s">
        <v>7140</v>
      </c>
      <c r="F524" s="8" t="s">
        <v>4340</v>
      </c>
      <c r="G524" t="s">
        <v>6877</v>
      </c>
      <c r="H524">
        <v>1</v>
      </c>
      <c r="I524" t="str">
        <f t="shared" si="10"/>
        <v>('CGM-LP-353','laptop','SOPHOS','','','OCUPADO',1),</v>
      </c>
    </row>
    <row r="525" spans="1:9" x14ac:dyDescent="0.25">
      <c r="A525">
        <v>524</v>
      </c>
      <c r="B525" t="s">
        <v>9403</v>
      </c>
      <c r="C525" t="s">
        <v>4354</v>
      </c>
      <c r="D525" t="s">
        <v>7140</v>
      </c>
      <c r="F525" s="8" t="s">
        <v>4340</v>
      </c>
      <c r="G525" t="s">
        <v>6877</v>
      </c>
      <c r="H525">
        <v>1</v>
      </c>
      <c r="I525" t="str">
        <f t="shared" si="10"/>
        <v>('CGM-LP-356','laptop','SOPHOS','','','OCUPADO',1),</v>
      </c>
    </row>
    <row r="526" spans="1:9" x14ac:dyDescent="0.25">
      <c r="A526">
        <v>525</v>
      </c>
      <c r="B526" t="s">
        <v>9403</v>
      </c>
      <c r="C526" t="s">
        <v>4354</v>
      </c>
      <c r="D526" t="s">
        <v>7140</v>
      </c>
      <c r="F526" s="8" t="s">
        <v>4340</v>
      </c>
      <c r="G526" t="s">
        <v>6877</v>
      </c>
      <c r="H526">
        <v>1</v>
      </c>
      <c r="I526" t="str">
        <f t="shared" si="10"/>
        <v>('CGM-LP-356','laptop','SOPHOS','','','OCUPADO',1),</v>
      </c>
    </row>
    <row r="527" spans="1:9" x14ac:dyDescent="0.25">
      <c r="A527">
        <v>526</v>
      </c>
      <c r="B527" t="s">
        <v>9484</v>
      </c>
      <c r="C527" t="s">
        <v>4354</v>
      </c>
      <c r="D527" t="s">
        <v>7140</v>
      </c>
      <c r="F527" s="8" t="s">
        <v>4340</v>
      </c>
      <c r="G527" t="s">
        <v>6877</v>
      </c>
      <c r="H527">
        <v>1</v>
      </c>
      <c r="I527" t="str">
        <f t="shared" si="10"/>
        <v>('CGM-LP-357','laptop','SOPHOS','','','OCUPADO',1),</v>
      </c>
    </row>
    <row r="528" spans="1:9" x14ac:dyDescent="0.25">
      <c r="A528">
        <v>527</v>
      </c>
      <c r="B528" t="s">
        <v>9499</v>
      </c>
      <c r="C528" t="s">
        <v>4354</v>
      </c>
      <c r="D528" t="s">
        <v>7140</v>
      </c>
      <c r="F528" s="8" t="s">
        <v>4340</v>
      </c>
      <c r="G528" t="s">
        <v>6877</v>
      </c>
      <c r="H528">
        <v>1</v>
      </c>
      <c r="I528" t="str">
        <f t="shared" si="10"/>
        <v>('CGM-LP-358','laptop','SOPHOS','','','OCUPADO',1),</v>
      </c>
    </row>
    <row r="529" spans="1:9" x14ac:dyDescent="0.25">
      <c r="A529">
        <v>528</v>
      </c>
      <c r="B529" t="s">
        <v>9467</v>
      </c>
      <c r="C529" t="s">
        <v>4354</v>
      </c>
      <c r="D529" t="s">
        <v>7140</v>
      </c>
      <c r="F529" s="8" t="s">
        <v>4340</v>
      </c>
      <c r="G529" t="s">
        <v>6877</v>
      </c>
      <c r="H529">
        <v>1</v>
      </c>
      <c r="I529" t="str">
        <f t="shared" si="10"/>
        <v>('CGM-LP-360','laptop','SOPHOS','','','OCUPADO',1),</v>
      </c>
    </row>
    <row r="530" spans="1:9" x14ac:dyDescent="0.25">
      <c r="A530">
        <v>529</v>
      </c>
      <c r="B530" t="s">
        <v>9483</v>
      </c>
      <c r="C530" t="s">
        <v>4354</v>
      </c>
      <c r="D530" t="s">
        <v>7140</v>
      </c>
      <c r="F530" s="8" t="s">
        <v>4340</v>
      </c>
      <c r="G530" t="s">
        <v>6877</v>
      </c>
      <c r="H530">
        <v>1</v>
      </c>
      <c r="I530" t="str">
        <f t="shared" si="10"/>
        <v>('CGM-LP-361','laptop','SOPHOS','','','OCUPADO',1),</v>
      </c>
    </row>
    <row r="531" spans="1:9" x14ac:dyDescent="0.25">
      <c r="A531">
        <v>530</v>
      </c>
      <c r="B531" t="s">
        <v>9489</v>
      </c>
      <c r="C531" t="s">
        <v>4354</v>
      </c>
      <c r="D531" t="s">
        <v>7140</v>
      </c>
      <c r="F531" s="8" t="s">
        <v>4340</v>
      </c>
      <c r="G531" t="s">
        <v>6877</v>
      </c>
      <c r="H531">
        <v>1</v>
      </c>
      <c r="I531" t="str">
        <f t="shared" si="10"/>
        <v>('CGM-LP-363','laptop','SOPHOS','','','OCUPADO',1),</v>
      </c>
    </row>
    <row r="532" spans="1:9" x14ac:dyDescent="0.25">
      <c r="A532">
        <v>531</v>
      </c>
      <c r="B532" t="s">
        <v>9472</v>
      </c>
      <c r="C532" t="s">
        <v>4354</v>
      </c>
      <c r="D532" t="s">
        <v>7140</v>
      </c>
      <c r="F532" s="8" t="s">
        <v>4340</v>
      </c>
      <c r="G532" t="s">
        <v>6877</v>
      </c>
      <c r="H532">
        <v>1</v>
      </c>
      <c r="I532" t="str">
        <f t="shared" si="10"/>
        <v>('CGM-LP-364','laptop','SOPHOS','','','OCUPADO',1),</v>
      </c>
    </row>
    <row r="533" spans="1:9" x14ac:dyDescent="0.25">
      <c r="A533">
        <v>532</v>
      </c>
      <c r="B533" t="s">
        <v>9472</v>
      </c>
      <c r="C533" t="s">
        <v>4354</v>
      </c>
      <c r="D533" t="s">
        <v>7140</v>
      </c>
      <c r="F533" s="8" t="s">
        <v>4340</v>
      </c>
      <c r="G533" t="s">
        <v>6877</v>
      </c>
      <c r="H533">
        <v>1</v>
      </c>
      <c r="I533" t="str">
        <f t="shared" si="10"/>
        <v>('CGM-LP-364','laptop','SOPHOS','','','OCUPADO',1),</v>
      </c>
    </row>
    <row r="534" spans="1:9" x14ac:dyDescent="0.25">
      <c r="A534">
        <v>533</v>
      </c>
      <c r="B534" t="s">
        <v>9492</v>
      </c>
      <c r="C534" t="s">
        <v>4354</v>
      </c>
      <c r="D534" t="s">
        <v>7140</v>
      </c>
      <c r="F534" s="8" t="s">
        <v>4340</v>
      </c>
      <c r="G534" t="s">
        <v>6877</v>
      </c>
      <c r="H534">
        <v>1</v>
      </c>
      <c r="I534" t="str">
        <f t="shared" si="10"/>
        <v>('CGM-LP-366','laptop','SOPHOS','','','OCUPADO',1),</v>
      </c>
    </row>
    <row r="535" spans="1:9" x14ac:dyDescent="0.25">
      <c r="A535">
        <v>534</v>
      </c>
      <c r="B535" t="s">
        <v>9550</v>
      </c>
      <c r="C535" t="s">
        <v>4354</v>
      </c>
      <c r="D535" t="s">
        <v>7140</v>
      </c>
      <c r="F535" s="8" t="s">
        <v>4340</v>
      </c>
      <c r="G535" t="s">
        <v>6877</v>
      </c>
      <c r="H535">
        <v>1</v>
      </c>
      <c r="I535" t="str">
        <f t="shared" si="10"/>
        <v>('CGM-LP-367','laptop','SOPHOS','','','OCUPADO',1),</v>
      </c>
    </row>
    <row r="536" spans="1:9" x14ac:dyDescent="0.25">
      <c r="A536">
        <v>535</v>
      </c>
      <c r="B536" t="s">
        <v>7199</v>
      </c>
      <c r="C536" t="s">
        <v>4354</v>
      </c>
      <c r="D536" t="s">
        <v>7140</v>
      </c>
      <c r="F536" s="8" t="s">
        <v>4340</v>
      </c>
      <c r="G536" t="s">
        <v>6877</v>
      </c>
      <c r="H536">
        <v>1</v>
      </c>
      <c r="I536" t="str">
        <f t="shared" si="10"/>
        <v>('CGM-LP-368','laptop','SOPHOS','','','OCUPADO',1),</v>
      </c>
    </row>
    <row r="537" spans="1:9" x14ac:dyDescent="0.25">
      <c r="A537">
        <v>536</v>
      </c>
      <c r="B537" t="s">
        <v>7200</v>
      </c>
      <c r="C537" t="s">
        <v>4354</v>
      </c>
      <c r="D537" t="s">
        <v>7140</v>
      </c>
      <c r="F537" s="8" t="s">
        <v>4340</v>
      </c>
      <c r="G537" t="s">
        <v>6877</v>
      </c>
      <c r="H537">
        <v>1</v>
      </c>
      <c r="I537" t="str">
        <f t="shared" si="10"/>
        <v>('CGM-PC-015','laptop','SOPHOS','','','OCUPADO',1),</v>
      </c>
    </row>
    <row r="538" spans="1:9" x14ac:dyDescent="0.25">
      <c r="A538">
        <v>537</v>
      </c>
      <c r="B538" t="s">
        <v>7201</v>
      </c>
      <c r="C538" t="s">
        <v>4354</v>
      </c>
      <c r="D538" t="s">
        <v>7140</v>
      </c>
      <c r="F538" s="8" t="s">
        <v>4340</v>
      </c>
      <c r="G538" t="s">
        <v>6877</v>
      </c>
      <c r="H538">
        <v>1</v>
      </c>
      <c r="I538" t="str">
        <f t="shared" si="10"/>
        <v>('CGM-PC-020','laptop','SOPHOS','','','OCUPADO',1),</v>
      </c>
    </row>
  </sheetData>
  <autoFilter ref="A1:I538" xr:uid="{22FFC4CF-EFEB-48F5-9196-2E7ED5B0E802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FED4-D450-41CB-91A1-C7310F74727A}">
  <dimension ref="A1:G322"/>
  <sheetViews>
    <sheetView workbookViewId="0">
      <selection activeCell="B6" sqref="B6"/>
    </sheetView>
  </sheetViews>
  <sheetFormatPr baseColWidth="10" defaultRowHeight="15" x14ac:dyDescent="0.25"/>
  <cols>
    <col min="1" max="1" width="4" bestFit="1" customWidth="1"/>
    <col min="2" max="2" width="14.28515625" bestFit="1" customWidth="1"/>
    <col min="3" max="3" width="15.7109375" bestFit="1" customWidth="1"/>
    <col min="4" max="4" width="27.28515625" bestFit="1" customWidth="1"/>
    <col min="5" max="5" width="10.140625" bestFit="1" customWidth="1"/>
    <col min="6" max="6" width="9.140625" bestFit="1" customWidth="1"/>
    <col min="7" max="7" width="60.7109375" bestFit="1" customWidth="1"/>
  </cols>
  <sheetData>
    <row r="1" spans="1:7" x14ac:dyDescent="0.25">
      <c r="B1" t="s">
        <v>7236</v>
      </c>
      <c r="C1" t="s">
        <v>7237</v>
      </c>
      <c r="D1" t="s">
        <v>7238</v>
      </c>
      <c r="E1" t="s">
        <v>7239</v>
      </c>
      <c r="F1" t="s">
        <v>4352</v>
      </c>
    </row>
    <row r="2" spans="1:7" x14ac:dyDescent="0.25">
      <c r="A2">
        <v>1</v>
      </c>
      <c r="B2">
        <v>987204820</v>
      </c>
      <c r="C2" t="s">
        <v>7286</v>
      </c>
      <c r="D2" t="s">
        <v>7244</v>
      </c>
      <c r="E2" t="s">
        <v>6877</v>
      </c>
      <c r="F2">
        <v>1</v>
      </c>
      <c r="G2" t="str">
        <f>_xlfn.CONCAT("('",B2,"','",C2,"','",D2,"','",E2,"',","",F2,"","","),")</f>
        <v>('987204820','ENTEL','Empresa CORP 44.90','OCUPADO',1),</v>
      </c>
    </row>
    <row r="3" spans="1:7" x14ac:dyDescent="0.25">
      <c r="A3">
        <v>2</v>
      </c>
      <c r="B3">
        <v>997646797</v>
      </c>
      <c r="C3" t="s">
        <v>7287</v>
      </c>
      <c r="D3" t="s">
        <v>7269</v>
      </c>
      <c r="E3" t="s">
        <v>6877</v>
      </c>
      <c r="F3">
        <v>1</v>
      </c>
      <c r="G3" t="str">
        <f t="shared" ref="G3:G66" si="0">_xlfn.CONCAT("('",B3,"','",C3,"','",D3,"','",E3,"',","",F3,"","","),")</f>
        <v>('997646797','CLARO','Max Negocios 39.90','OCUPADO',1),</v>
      </c>
    </row>
    <row r="4" spans="1:7" x14ac:dyDescent="0.25">
      <c r="A4">
        <v>3</v>
      </c>
      <c r="B4">
        <v>997646740</v>
      </c>
      <c r="C4" t="s">
        <v>7287</v>
      </c>
      <c r="D4" t="s">
        <v>7269</v>
      </c>
      <c r="E4" t="s">
        <v>6877</v>
      </c>
      <c r="F4">
        <v>1</v>
      </c>
      <c r="G4" t="str">
        <f t="shared" si="0"/>
        <v>('997646740','CLARO','Max Negocios 39.90','OCUPADO',1),</v>
      </c>
    </row>
    <row r="5" spans="1:7" x14ac:dyDescent="0.25">
      <c r="A5">
        <v>4</v>
      </c>
      <c r="B5">
        <v>997646736</v>
      </c>
      <c r="C5" t="s">
        <v>7287</v>
      </c>
      <c r="D5" t="s">
        <v>7269</v>
      </c>
      <c r="E5" t="s">
        <v>6877</v>
      </c>
      <c r="F5">
        <v>1</v>
      </c>
      <c r="G5" t="str">
        <f t="shared" si="0"/>
        <v>('997646736','CLARO','Max Negocios 39.90','OCUPADO',1),</v>
      </c>
    </row>
    <row r="6" spans="1:7" x14ac:dyDescent="0.25">
      <c r="A6">
        <v>5</v>
      </c>
      <c r="B6">
        <v>997646701</v>
      </c>
      <c r="C6" t="s">
        <v>7287</v>
      </c>
      <c r="D6" t="s">
        <v>7269</v>
      </c>
      <c r="E6" t="s">
        <v>6877</v>
      </c>
      <c r="F6">
        <v>1</v>
      </c>
      <c r="G6" t="str">
        <f t="shared" si="0"/>
        <v>('997646701','CLARO','Max Negocios 39.90','OCUPADO',1),</v>
      </c>
    </row>
    <row r="7" spans="1:7" x14ac:dyDescent="0.25">
      <c r="A7">
        <v>6</v>
      </c>
      <c r="B7">
        <v>997646619</v>
      </c>
      <c r="C7" t="s">
        <v>7287</v>
      </c>
      <c r="D7" t="s">
        <v>7269</v>
      </c>
      <c r="E7" t="s">
        <v>6877</v>
      </c>
      <c r="F7">
        <v>1</v>
      </c>
      <c r="G7" t="str">
        <f t="shared" si="0"/>
        <v>('997646619','CLARO','Max Negocios 39.90','OCUPADO',1),</v>
      </c>
    </row>
    <row r="8" spans="1:7" x14ac:dyDescent="0.25">
      <c r="A8">
        <v>7</v>
      </c>
      <c r="B8">
        <v>997646419</v>
      </c>
      <c r="C8" t="s">
        <v>7287</v>
      </c>
      <c r="D8" t="s">
        <v>7269</v>
      </c>
      <c r="E8" t="s">
        <v>6877</v>
      </c>
      <c r="F8">
        <v>1</v>
      </c>
      <c r="G8" t="str">
        <f t="shared" si="0"/>
        <v>('997646419','CLARO','Max Negocios 39.90','OCUPADO',1),</v>
      </c>
    </row>
    <row r="9" spans="1:7" x14ac:dyDescent="0.25">
      <c r="A9">
        <v>8</v>
      </c>
      <c r="B9">
        <v>994854954</v>
      </c>
      <c r="C9" t="s">
        <v>7287</v>
      </c>
      <c r="D9" t="s">
        <v>7270</v>
      </c>
      <c r="E9" t="s">
        <v>6877</v>
      </c>
      <c r="F9">
        <v>1</v>
      </c>
      <c r="G9" t="str">
        <f t="shared" si="0"/>
        <v>('994854954','CLARO','Max Negocios 49.90','OCUPADO',1),</v>
      </c>
    </row>
    <row r="10" spans="1:7" x14ac:dyDescent="0.25">
      <c r="A10">
        <v>9</v>
      </c>
      <c r="B10">
        <v>994805850</v>
      </c>
      <c r="C10" t="s">
        <v>7287</v>
      </c>
      <c r="D10" t="s">
        <v>7270</v>
      </c>
      <c r="E10" t="s">
        <v>6877</v>
      </c>
      <c r="F10">
        <v>1</v>
      </c>
      <c r="G10" t="str">
        <f t="shared" si="0"/>
        <v>('994805850','CLARO','Max Negocios 49.90','OCUPADO',1),</v>
      </c>
    </row>
    <row r="11" spans="1:7" x14ac:dyDescent="0.25">
      <c r="A11">
        <v>10</v>
      </c>
      <c r="B11">
        <v>994649976</v>
      </c>
      <c r="C11" t="s">
        <v>7287</v>
      </c>
      <c r="D11" t="s">
        <v>7270</v>
      </c>
      <c r="E11" t="s">
        <v>6877</v>
      </c>
      <c r="F11">
        <v>1</v>
      </c>
      <c r="G11" t="str">
        <f t="shared" si="0"/>
        <v>('994649976','CLARO','Max Negocios 49.90','OCUPADO',1),</v>
      </c>
    </row>
    <row r="12" spans="1:7" x14ac:dyDescent="0.25">
      <c r="A12">
        <v>11</v>
      </c>
      <c r="B12">
        <v>994649974</v>
      </c>
      <c r="C12" t="s">
        <v>7287</v>
      </c>
      <c r="D12" t="s">
        <v>7275</v>
      </c>
      <c r="E12" t="s">
        <v>6877</v>
      </c>
      <c r="F12">
        <v>1</v>
      </c>
      <c r="G12" t="str">
        <f t="shared" si="0"/>
        <v>('994649974','CLARO','Max Negocios Ilimitado 69.90','OCUPADO',1),</v>
      </c>
    </row>
    <row r="13" spans="1:7" x14ac:dyDescent="0.25">
      <c r="A13">
        <v>12</v>
      </c>
      <c r="B13">
        <v>992761052</v>
      </c>
      <c r="C13" t="s">
        <v>7287</v>
      </c>
      <c r="D13" t="s">
        <v>7270</v>
      </c>
      <c r="E13" t="s">
        <v>6877</v>
      </c>
      <c r="F13">
        <v>1</v>
      </c>
      <c r="G13" t="str">
        <f t="shared" si="0"/>
        <v>('992761052','CLARO','Max Negocios 49.90','OCUPADO',1),</v>
      </c>
    </row>
    <row r="14" spans="1:7" x14ac:dyDescent="0.25">
      <c r="A14">
        <v>13</v>
      </c>
      <c r="B14">
        <v>991267248</v>
      </c>
      <c r="C14" t="s">
        <v>7287</v>
      </c>
      <c r="D14" t="s">
        <v>7262</v>
      </c>
      <c r="E14" t="s">
        <v>6877</v>
      </c>
      <c r="F14">
        <v>1</v>
      </c>
      <c r="G14" t="str">
        <f t="shared" si="0"/>
        <v>('991267248','CLARO','Max Corporativo 29.90','OCUPADO',1),</v>
      </c>
    </row>
    <row r="15" spans="1:7" x14ac:dyDescent="0.25">
      <c r="A15">
        <v>14</v>
      </c>
      <c r="B15">
        <v>989888842</v>
      </c>
      <c r="C15" t="s">
        <v>7286</v>
      </c>
      <c r="D15" t="s">
        <v>7244</v>
      </c>
      <c r="E15" t="s">
        <v>6877</v>
      </c>
      <c r="F15">
        <v>1</v>
      </c>
      <c r="G15" t="str">
        <f t="shared" si="0"/>
        <v>('989888842','ENTEL','Empresa CORP 44.90','OCUPADO',1),</v>
      </c>
    </row>
    <row r="16" spans="1:7" x14ac:dyDescent="0.25">
      <c r="A16">
        <v>15</v>
      </c>
      <c r="B16">
        <v>989643220</v>
      </c>
      <c r="C16" t="s">
        <v>7287</v>
      </c>
      <c r="D16" t="s">
        <v>7271</v>
      </c>
      <c r="E16" t="s">
        <v>6877</v>
      </c>
      <c r="F16">
        <v>1</v>
      </c>
      <c r="G16" t="str">
        <f t="shared" si="0"/>
        <v>('989643220','CLARO','Max Negocios 55.90','OCUPADO',1),</v>
      </c>
    </row>
    <row r="17" spans="1:7" x14ac:dyDescent="0.25">
      <c r="A17">
        <v>16</v>
      </c>
      <c r="B17">
        <v>989642840</v>
      </c>
      <c r="C17" t="s">
        <v>7287</v>
      </c>
      <c r="D17" t="s">
        <v>7271</v>
      </c>
      <c r="E17" t="s">
        <v>6877</v>
      </c>
      <c r="F17">
        <v>1</v>
      </c>
      <c r="G17" t="str">
        <f t="shared" si="0"/>
        <v>('989642840','CLARO','Max Negocios 55.90','OCUPADO',1),</v>
      </c>
    </row>
    <row r="18" spans="1:7" x14ac:dyDescent="0.25">
      <c r="A18">
        <v>17</v>
      </c>
      <c r="B18">
        <v>989642803</v>
      </c>
      <c r="C18" t="s">
        <v>7287</v>
      </c>
      <c r="D18" t="s">
        <v>7269</v>
      </c>
      <c r="E18" t="s">
        <v>6877</v>
      </c>
      <c r="F18">
        <v>1</v>
      </c>
      <c r="G18" t="str">
        <f t="shared" si="0"/>
        <v>('989642803','CLARO','Max Negocios 39.90','OCUPADO',1),</v>
      </c>
    </row>
    <row r="19" spans="1:7" x14ac:dyDescent="0.25">
      <c r="A19">
        <v>18</v>
      </c>
      <c r="B19">
        <v>927941577</v>
      </c>
      <c r="C19" t="s">
        <v>7288</v>
      </c>
      <c r="D19" t="s">
        <v>7271</v>
      </c>
      <c r="E19" t="s">
        <v>6877</v>
      </c>
      <c r="F19">
        <v>1</v>
      </c>
      <c r="G19" t="str">
        <f t="shared" si="0"/>
        <v>('927941577','BITEL','Max Negocios 55.90','OCUPADO',1),</v>
      </c>
    </row>
    <row r="20" spans="1:7" x14ac:dyDescent="0.25">
      <c r="A20">
        <v>19</v>
      </c>
      <c r="B20">
        <v>989642788</v>
      </c>
      <c r="C20" t="s">
        <v>7287</v>
      </c>
      <c r="D20" t="s">
        <v>7271</v>
      </c>
      <c r="E20" t="s">
        <v>6877</v>
      </c>
      <c r="F20">
        <v>1</v>
      </c>
      <c r="G20" t="str">
        <f t="shared" si="0"/>
        <v>('989642788','CLARO','Max Negocios 55.90','OCUPADO',1),</v>
      </c>
    </row>
    <row r="21" spans="1:7" x14ac:dyDescent="0.25">
      <c r="A21">
        <v>20</v>
      </c>
      <c r="B21">
        <v>989642741</v>
      </c>
      <c r="C21" t="s">
        <v>7289</v>
      </c>
      <c r="D21" t="s">
        <v>7280</v>
      </c>
      <c r="E21" t="s">
        <v>6877</v>
      </c>
      <c r="F21">
        <v>1</v>
      </c>
      <c r="G21" t="str">
        <f t="shared" si="0"/>
        <v>('989642741','MOVISTAR','Movistar Empresas 59.9','OCUPADO',1),</v>
      </c>
    </row>
    <row r="22" spans="1:7" x14ac:dyDescent="0.25">
      <c r="A22">
        <v>21</v>
      </c>
      <c r="B22">
        <v>989642341</v>
      </c>
      <c r="C22" t="s">
        <v>7287</v>
      </c>
      <c r="D22" t="s">
        <v>7271</v>
      </c>
      <c r="E22" t="s">
        <v>6877</v>
      </c>
      <c r="F22">
        <v>1</v>
      </c>
      <c r="G22" t="str">
        <f t="shared" si="0"/>
        <v>('989642341','CLARO','Max Negocios 55.90','OCUPADO',1),</v>
      </c>
    </row>
    <row r="23" spans="1:7" x14ac:dyDescent="0.25">
      <c r="A23">
        <v>22</v>
      </c>
      <c r="B23">
        <v>959163266</v>
      </c>
      <c r="C23" t="s">
        <v>7287</v>
      </c>
      <c r="D23" t="s">
        <v>7271</v>
      </c>
      <c r="E23" t="s">
        <v>6877</v>
      </c>
      <c r="F23">
        <v>1</v>
      </c>
      <c r="G23" t="str">
        <f t="shared" si="0"/>
        <v>('959163266','CLARO','Max Negocios 55.90','OCUPADO',1),</v>
      </c>
    </row>
    <row r="24" spans="1:7" x14ac:dyDescent="0.25">
      <c r="A24">
        <v>23</v>
      </c>
      <c r="B24">
        <v>989640419</v>
      </c>
      <c r="C24" t="s">
        <v>7287</v>
      </c>
      <c r="D24" t="s">
        <v>7271</v>
      </c>
      <c r="E24" t="s">
        <v>6877</v>
      </c>
      <c r="F24">
        <v>1</v>
      </c>
      <c r="G24" t="str">
        <f t="shared" si="0"/>
        <v>('989640419','CLARO','Max Negocios 55.90','OCUPADO',1),</v>
      </c>
    </row>
    <row r="25" spans="1:7" x14ac:dyDescent="0.25">
      <c r="A25">
        <v>24</v>
      </c>
      <c r="B25">
        <v>989640418</v>
      </c>
      <c r="C25" t="s">
        <v>7287</v>
      </c>
      <c r="D25" t="s">
        <v>7271</v>
      </c>
      <c r="E25" t="s">
        <v>6877</v>
      </c>
      <c r="F25">
        <v>1</v>
      </c>
      <c r="G25" t="str">
        <f t="shared" si="0"/>
        <v>('989640418','CLARO','Max Negocios 55.90','OCUPADO',1),</v>
      </c>
    </row>
    <row r="26" spans="1:7" x14ac:dyDescent="0.25">
      <c r="A26">
        <v>25</v>
      </c>
      <c r="B26">
        <v>989640416</v>
      </c>
      <c r="C26" t="s">
        <v>7287</v>
      </c>
      <c r="D26" t="s">
        <v>7271</v>
      </c>
      <c r="E26" t="s">
        <v>6877</v>
      </c>
      <c r="F26">
        <v>1</v>
      </c>
      <c r="G26" t="str">
        <f t="shared" si="0"/>
        <v>('989640416','CLARO','Max Negocios 55.90','OCUPADO',1),</v>
      </c>
    </row>
    <row r="27" spans="1:7" x14ac:dyDescent="0.25">
      <c r="A27">
        <v>26</v>
      </c>
      <c r="B27">
        <v>989640296</v>
      </c>
      <c r="C27" t="s">
        <v>7287</v>
      </c>
      <c r="D27" t="s">
        <v>7271</v>
      </c>
      <c r="E27" t="s">
        <v>6877</v>
      </c>
      <c r="F27">
        <v>1</v>
      </c>
      <c r="G27" t="str">
        <f t="shared" si="0"/>
        <v>('989640296','CLARO','Max Negocios 55.90','OCUPADO',1),</v>
      </c>
    </row>
    <row r="28" spans="1:7" x14ac:dyDescent="0.25">
      <c r="A28">
        <v>27</v>
      </c>
      <c r="B28">
        <v>989639617</v>
      </c>
      <c r="C28" t="s">
        <v>7287</v>
      </c>
      <c r="D28" t="s">
        <v>7271</v>
      </c>
      <c r="E28" t="s">
        <v>6877</v>
      </c>
      <c r="F28">
        <v>1</v>
      </c>
      <c r="G28" t="str">
        <f t="shared" si="0"/>
        <v>('989639617','CLARO','Max Negocios 55.90','OCUPADO',1),</v>
      </c>
    </row>
    <row r="29" spans="1:7" x14ac:dyDescent="0.25">
      <c r="A29">
        <v>28</v>
      </c>
      <c r="B29">
        <v>989639168</v>
      </c>
      <c r="C29" t="s">
        <v>7287</v>
      </c>
      <c r="D29" t="s">
        <v>7271</v>
      </c>
      <c r="E29" t="s">
        <v>6877</v>
      </c>
      <c r="F29">
        <v>1</v>
      </c>
      <c r="G29" t="str">
        <f t="shared" si="0"/>
        <v>('989639168','CLARO','Max Negocios 55.90','OCUPADO',1),</v>
      </c>
    </row>
    <row r="30" spans="1:7" x14ac:dyDescent="0.25">
      <c r="A30">
        <v>29</v>
      </c>
      <c r="B30">
        <v>989576947</v>
      </c>
      <c r="C30" t="s">
        <v>7287</v>
      </c>
      <c r="D30" t="s">
        <v>7274</v>
      </c>
      <c r="E30" t="s">
        <v>6877</v>
      </c>
      <c r="F30">
        <v>1</v>
      </c>
      <c r="G30" t="str">
        <f t="shared" si="0"/>
        <v>('989576947','CLARO','Max Negocios Ilimitado 55.90','OCUPADO',1),</v>
      </c>
    </row>
    <row r="31" spans="1:7" x14ac:dyDescent="0.25">
      <c r="A31">
        <v>30</v>
      </c>
      <c r="B31">
        <v>989574827</v>
      </c>
      <c r="C31" t="s">
        <v>7287</v>
      </c>
      <c r="D31" t="s">
        <v>7270</v>
      </c>
      <c r="E31" t="s">
        <v>6877</v>
      </c>
      <c r="F31">
        <v>1</v>
      </c>
      <c r="G31" t="str">
        <f t="shared" si="0"/>
        <v>('989574827','CLARO','Max Negocios 49.90','OCUPADO',1),</v>
      </c>
    </row>
    <row r="32" spans="1:7" x14ac:dyDescent="0.25">
      <c r="A32">
        <v>31</v>
      </c>
      <c r="B32">
        <v>989574660</v>
      </c>
      <c r="C32" t="s">
        <v>7287</v>
      </c>
      <c r="D32" t="s">
        <v>7270</v>
      </c>
      <c r="E32" t="s">
        <v>6877</v>
      </c>
      <c r="F32">
        <v>1</v>
      </c>
      <c r="G32" t="str">
        <f t="shared" si="0"/>
        <v>('989574660','CLARO','Max Negocios 49.90','OCUPADO',1),</v>
      </c>
    </row>
    <row r="33" spans="1:7" x14ac:dyDescent="0.25">
      <c r="A33">
        <v>32</v>
      </c>
      <c r="B33">
        <v>989267274</v>
      </c>
      <c r="C33" t="s">
        <v>7287</v>
      </c>
      <c r="D33" t="s">
        <v>7270</v>
      </c>
      <c r="E33" t="s">
        <v>6877</v>
      </c>
      <c r="F33">
        <v>1</v>
      </c>
      <c r="G33" t="str">
        <f t="shared" si="0"/>
        <v>('989267274','CLARO','Max Negocios 49.90','OCUPADO',1),</v>
      </c>
    </row>
    <row r="34" spans="1:7" x14ac:dyDescent="0.25">
      <c r="A34">
        <v>33</v>
      </c>
      <c r="B34">
        <v>989267271</v>
      </c>
      <c r="C34" t="s">
        <v>7287</v>
      </c>
      <c r="D34" t="s">
        <v>7270</v>
      </c>
      <c r="E34" t="s">
        <v>6877</v>
      </c>
      <c r="F34">
        <v>1</v>
      </c>
      <c r="G34" t="str">
        <f t="shared" si="0"/>
        <v>('989267271','CLARO','Max Negocios 49.90','OCUPADO',1),</v>
      </c>
    </row>
    <row r="35" spans="1:7" x14ac:dyDescent="0.25">
      <c r="A35">
        <v>34</v>
      </c>
      <c r="B35">
        <v>989267269</v>
      </c>
      <c r="C35" t="s">
        <v>7287</v>
      </c>
      <c r="D35" t="s">
        <v>7271</v>
      </c>
      <c r="E35" t="s">
        <v>6877</v>
      </c>
      <c r="F35">
        <v>1</v>
      </c>
      <c r="G35" t="str">
        <f t="shared" si="0"/>
        <v>('989267269','CLARO','Max Negocios 55.90','OCUPADO',1),</v>
      </c>
    </row>
    <row r="36" spans="1:7" x14ac:dyDescent="0.25">
      <c r="A36">
        <v>35</v>
      </c>
      <c r="B36">
        <v>989267267</v>
      </c>
      <c r="C36" t="s">
        <v>7286</v>
      </c>
      <c r="D36" t="s">
        <v>7244</v>
      </c>
      <c r="E36" t="s">
        <v>6877</v>
      </c>
      <c r="F36">
        <v>1</v>
      </c>
      <c r="G36" t="str">
        <f t="shared" si="0"/>
        <v>('989267267','ENTEL','Empresa CORP 44.90','OCUPADO',1),</v>
      </c>
    </row>
    <row r="37" spans="1:7" x14ac:dyDescent="0.25">
      <c r="A37">
        <v>36</v>
      </c>
      <c r="B37">
        <v>989267266</v>
      </c>
      <c r="C37" t="s">
        <v>7287</v>
      </c>
      <c r="D37" t="s">
        <v>7270</v>
      </c>
      <c r="E37" t="s">
        <v>6877</v>
      </c>
      <c r="F37">
        <v>1</v>
      </c>
      <c r="G37" t="str">
        <f t="shared" si="0"/>
        <v>('989267266','CLARO','Max Negocios 49.90','OCUPADO',1),</v>
      </c>
    </row>
    <row r="38" spans="1:7" x14ac:dyDescent="0.25">
      <c r="A38">
        <v>37</v>
      </c>
      <c r="B38">
        <v>989255800</v>
      </c>
      <c r="C38" t="s">
        <v>7289</v>
      </c>
      <c r="D38" t="s">
        <v>7283</v>
      </c>
      <c r="E38" t="s">
        <v>6877</v>
      </c>
      <c r="F38">
        <v>1</v>
      </c>
      <c r="G38" t="str">
        <f t="shared" si="0"/>
        <v>('989255800','MOVISTAR','Movistar Empresas 82.9','OCUPADO',1),</v>
      </c>
    </row>
    <row r="39" spans="1:7" x14ac:dyDescent="0.25">
      <c r="A39">
        <v>38</v>
      </c>
      <c r="B39">
        <v>927894688</v>
      </c>
      <c r="C39" t="s">
        <v>7288</v>
      </c>
      <c r="D39" t="s">
        <v>7271</v>
      </c>
      <c r="E39" t="s">
        <v>6877</v>
      </c>
      <c r="F39">
        <v>1</v>
      </c>
      <c r="G39" t="str">
        <f t="shared" si="0"/>
        <v>('927894688','BITEL','Max Negocios 55.90','OCUPADO',1),</v>
      </c>
    </row>
    <row r="40" spans="1:7" x14ac:dyDescent="0.25">
      <c r="A40">
        <v>39</v>
      </c>
      <c r="B40">
        <v>989220254</v>
      </c>
      <c r="C40" t="s">
        <v>7287</v>
      </c>
      <c r="D40" t="s">
        <v>7270</v>
      </c>
      <c r="E40" t="s">
        <v>6877</v>
      </c>
      <c r="F40">
        <v>1</v>
      </c>
      <c r="G40" t="str">
        <f t="shared" si="0"/>
        <v>('989220254','CLARO','Max Negocios 49.90','OCUPADO',1),</v>
      </c>
    </row>
    <row r="41" spans="1:7" x14ac:dyDescent="0.25">
      <c r="A41">
        <v>40</v>
      </c>
      <c r="B41">
        <v>989220167</v>
      </c>
      <c r="C41" t="s">
        <v>7287</v>
      </c>
      <c r="D41" t="s">
        <v>7270</v>
      </c>
      <c r="E41" t="s">
        <v>6877</v>
      </c>
      <c r="F41">
        <v>1</v>
      </c>
      <c r="G41" t="str">
        <f t="shared" si="0"/>
        <v>('989220167','CLARO','Max Negocios 49.90','OCUPADO',1),</v>
      </c>
    </row>
    <row r="42" spans="1:7" x14ac:dyDescent="0.25">
      <c r="A42">
        <v>41</v>
      </c>
      <c r="B42">
        <v>989220166</v>
      </c>
      <c r="C42" t="s">
        <v>7286</v>
      </c>
      <c r="D42" t="s">
        <v>7260</v>
      </c>
      <c r="E42" t="s">
        <v>6877</v>
      </c>
      <c r="F42">
        <v>1</v>
      </c>
      <c r="G42" t="str">
        <f t="shared" si="0"/>
        <v>('989220166','ENTEL','Empresa Plus 99.90','OCUPADO',1),</v>
      </c>
    </row>
    <row r="43" spans="1:7" x14ac:dyDescent="0.25">
      <c r="A43">
        <v>42</v>
      </c>
      <c r="B43">
        <v>989170899</v>
      </c>
      <c r="C43" t="s">
        <v>7286</v>
      </c>
      <c r="D43" t="s">
        <v>7244</v>
      </c>
      <c r="E43" t="s">
        <v>6877</v>
      </c>
      <c r="F43">
        <v>1</v>
      </c>
      <c r="G43" t="str">
        <f t="shared" si="0"/>
        <v>('989170899','ENTEL','Empresa CORP 44.90','OCUPADO',1),</v>
      </c>
    </row>
    <row r="44" spans="1:7" x14ac:dyDescent="0.25">
      <c r="A44">
        <v>43</v>
      </c>
      <c r="B44">
        <v>989112228</v>
      </c>
      <c r="C44" t="s">
        <v>7289</v>
      </c>
      <c r="D44" t="s">
        <v>7285</v>
      </c>
      <c r="E44" t="s">
        <v>6877</v>
      </c>
      <c r="F44">
        <v>1</v>
      </c>
      <c r="G44" t="str">
        <f t="shared" si="0"/>
        <v>('989112228','MOVISTAR','Movistar Empresas 90.9','OCUPADO',1),</v>
      </c>
    </row>
    <row r="45" spans="1:7" x14ac:dyDescent="0.25">
      <c r="A45">
        <v>44</v>
      </c>
      <c r="B45">
        <v>989071249</v>
      </c>
      <c r="C45" t="s">
        <v>7286</v>
      </c>
      <c r="D45" t="s">
        <v>7244</v>
      </c>
      <c r="E45" t="s">
        <v>6877</v>
      </c>
      <c r="F45">
        <v>1</v>
      </c>
      <c r="G45" t="str">
        <f t="shared" si="0"/>
        <v>('989071249','ENTEL','Empresa CORP 44.90','OCUPADO',1),</v>
      </c>
    </row>
    <row r="46" spans="1:7" x14ac:dyDescent="0.25">
      <c r="A46">
        <v>45</v>
      </c>
      <c r="B46">
        <v>989070492</v>
      </c>
      <c r="C46" t="s">
        <v>7286</v>
      </c>
      <c r="D46" t="s">
        <v>7244</v>
      </c>
      <c r="E46" t="s">
        <v>6877</v>
      </c>
      <c r="F46">
        <v>1</v>
      </c>
      <c r="G46" t="str">
        <f t="shared" si="0"/>
        <v>('989070492','ENTEL','Empresa CORP 44.90','OCUPADO',1),</v>
      </c>
    </row>
    <row r="47" spans="1:7" x14ac:dyDescent="0.25">
      <c r="A47">
        <v>46</v>
      </c>
      <c r="B47">
        <v>989070442</v>
      </c>
      <c r="C47" t="s">
        <v>7287</v>
      </c>
      <c r="D47" t="s">
        <v>7274</v>
      </c>
      <c r="E47" t="s">
        <v>6877</v>
      </c>
      <c r="F47">
        <v>1</v>
      </c>
      <c r="G47" t="str">
        <f t="shared" si="0"/>
        <v>('989070442','CLARO','Max Negocios Ilimitado 55.90','OCUPADO',1),</v>
      </c>
    </row>
    <row r="48" spans="1:7" x14ac:dyDescent="0.25">
      <c r="A48">
        <v>47</v>
      </c>
      <c r="B48">
        <v>989067363</v>
      </c>
      <c r="C48" t="s">
        <v>7286</v>
      </c>
      <c r="D48" t="s">
        <v>7246</v>
      </c>
      <c r="E48" t="s">
        <v>6877</v>
      </c>
      <c r="F48">
        <v>1</v>
      </c>
      <c r="G48" t="str">
        <f t="shared" si="0"/>
        <v>('989067363','ENTEL','Empresa Plus 109.90','OCUPADO',1),</v>
      </c>
    </row>
    <row r="49" spans="1:7" x14ac:dyDescent="0.25">
      <c r="A49">
        <v>48</v>
      </c>
      <c r="B49">
        <v>989057595</v>
      </c>
      <c r="C49" t="s">
        <v>7287</v>
      </c>
      <c r="D49" t="s">
        <v>7270</v>
      </c>
      <c r="E49" t="s">
        <v>6877</v>
      </c>
      <c r="F49">
        <v>1</v>
      </c>
      <c r="G49" t="str">
        <f t="shared" si="0"/>
        <v>('989057595','CLARO','Max Negocios 49.90','OCUPADO',1),</v>
      </c>
    </row>
    <row r="50" spans="1:7" x14ac:dyDescent="0.25">
      <c r="A50">
        <v>49</v>
      </c>
      <c r="B50">
        <v>989026173</v>
      </c>
      <c r="C50" t="s">
        <v>7287</v>
      </c>
      <c r="D50" t="s">
        <v>7270</v>
      </c>
      <c r="E50" t="s">
        <v>6877</v>
      </c>
      <c r="F50">
        <v>1</v>
      </c>
      <c r="G50" t="str">
        <f t="shared" si="0"/>
        <v>('989026173','CLARO','Max Negocios 49.90','OCUPADO',1),</v>
      </c>
    </row>
    <row r="51" spans="1:7" x14ac:dyDescent="0.25">
      <c r="A51">
        <v>50</v>
      </c>
      <c r="B51">
        <v>989013568</v>
      </c>
      <c r="C51" t="s">
        <v>7287</v>
      </c>
      <c r="D51" t="s">
        <v>7270</v>
      </c>
      <c r="E51" t="s">
        <v>6877</v>
      </c>
      <c r="F51">
        <v>1</v>
      </c>
      <c r="G51" t="str">
        <f t="shared" si="0"/>
        <v>('989013568','CLARO','Max Negocios 49.90','OCUPADO',1),</v>
      </c>
    </row>
    <row r="52" spans="1:7" x14ac:dyDescent="0.25">
      <c r="A52">
        <v>51</v>
      </c>
      <c r="B52">
        <v>989013492</v>
      </c>
      <c r="C52" t="s">
        <v>7287</v>
      </c>
      <c r="D52" t="s">
        <v>7274</v>
      </c>
      <c r="E52" t="s">
        <v>6877</v>
      </c>
      <c r="F52">
        <v>1</v>
      </c>
      <c r="G52" t="str">
        <f t="shared" si="0"/>
        <v>('989013492','CLARO','Max Negocios Ilimitado 55.90','OCUPADO',1),</v>
      </c>
    </row>
    <row r="53" spans="1:7" x14ac:dyDescent="0.25">
      <c r="A53">
        <v>52</v>
      </c>
      <c r="B53">
        <v>987968538</v>
      </c>
      <c r="C53" t="s">
        <v>7287</v>
      </c>
      <c r="D53" t="s">
        <v>7271</v>
      </c>
      <c r="E53" t="s">
        <v>6877</v>
      </c>
      <c r="F53">
        <v>1</v>
      </c>
      <c r="G53" t="str">
        <f t="shared" si="0"/>
        <v>('987968538','CLARO','Max Negocios 55.90','OCUPADO',1),</v>
      </c>
    </row>
    <row r="54" spans="1:7" x14ac:dyDescent="0.25">
      <c r="A54">
        <v>53</v>
      </c>
      <c r="B54">
        <v>987943702</v>
      </c>
      <c r="C54" t="s">
        <v>7286</v>
      </c>
      <c r="D54" t="s">
        <v>7257</v>
      </c>
      <c r="E54" t="s">
        <v>6877</v>
      </c>
      <c r="F54">
        <v>1</v>
      </c>
      <c r="G54" t="str">
        <f t="shared" si="0"/>
        <v>('987943702','ENTEL','Empresa Plus 76.90','OCUPADO',1),</v>
      </c>
    </row>
    <row r="55" spans="1:7" x14ac:dyDescent="0.25">
      <c r="A55">
        <v>54</v>
      </c>
      <c r="B55">
        <v>987943700</v>
      </c>
      <c r="C55" t="s">
        <v>7287</v>
      </c>
      <c r="D55" t="s">
        <v>7270</v>
      </c>
      <c r="E55" t="s">
        <v>6877</v>
      </c>
      <c r="F55">
        <v>1</v>
      </c>
      <c r="G55" t="str">
        <f t="shared" si="0"/>
        <v>('987943700','CLARO','Max Negocios 49.90','OCUPADO',1),</v>
      </c>
    </row>
    <row r="56" spans="1:7" x14ac:dyDescent="0.25">
      <c r="A56">
        <v>55</v>
      </c>
      <c r="B56">
        <v>987939987</v>
      </c>
      <c r="C56" t="s">
        <v>7287</v>
      </c>
      <c r="D56" t="s">
        <v>7270</v>
      </c>
      <c r="E56" t="s">
        <v>6877</v>
      </c>
      <c r="F56">
        <v>1</v>
      </c>
      <c r="G56" t="str">
        <f t="shared" si="0"/>
        <v>('987939987','CLARO','Max Negocios 49.90','OCUPADO',1),</v>
      </c>
    </row>
    <row r="57" spans="1:7" x14ac:dyDescent="0.25">
      <c r="A57">
        <v>56</v>
      </c>
      <c r="B57">
        <v>987939986</v>
      </c>
      <c r="C57" t="s">
        <v>7287</v>
      </c>
      <c r="D57" t="s">
        <v>7275</v>
      </c>
      <c r="E57" t="s">
        <v>6877</v>
      </c>
      <c r="F57">
        <v>1</v>
      </c>
      <c r="G57" t="str">
        <f t="shared" si="0"/>
        <v>('987939986','CLARO','Max Negocios Ilimitado 69.90','OCUPADO',1),</v>
      </c>
    </row>
    <row r="58" spans="1:7" x14ac:dyDescent="0.25">
      <c r="A58">
        <v>57</v>
      </c>
      <c r="B58">
        <v>987912244</v>
      </c>
      <c r="C58" t="s">
        <v>7287</v>
      </c>
      <c r="D58" t="s">
        <v>7271</v>
      </c>
      <c r="E58" t="s">
        <v>6877</v>
      </c>
      <c r="F58">
        <v>1</v>
      </c>
      <c r="G58" t="str">
        <f t="shared" si="0"/>
        <v>('987912244','CLARO','Max Negocios 55.90','OCUPADO',1),</v>
      </c>
    </row>
    <row r="59" spans="1:7" x14ac:dyDescent="0.25">
      <c r="A59">
        <v>58</v>
      </c>
      <c r="B59">
        <v>987293698</v>
      </c>
      <c r="C59" t="s">
        <v>7286</v>
      </c>
      <c r="D59" t="s">
        <v>7259</v>
      </c>
      <c r="E59" t="s">
        <v>6877</v>
      </c>
      <c r="F59">
        <v>1</v>
      </c>
      <c r="G59" t="str">
        <f t="shared" si="0"/>
        <v>('987293698','ENTEL','Empresa Plus 80.90','OCUPADO',1),</v>
      </c>
    </row>
    <row r="60" spans="1:7" x14ac:dyDescent="0.25">
      <c r="A60">
        <v>59</v>
      </c>
      <c r="B60">
        <v>987261012</v>
      </c>
      <c r="C60" t="s">
        <v>7287</v>
      </c>
      <c r="D60" t="s">
        <v>7270</v>
      </c>
      <c r="E60" t="s">
        <v>6877</v>
      </c>
      <c r="F60">
        <v>1</v>
      </c>
      <c r="G60" t="str">
        <f t="shared" si="0"/>
        <v>('987261012','CLARO','Max Negocios 49.90','OCUPADO',1),</v>
      </c>
    </row>
    <row r="61" spans="1:7" x14ac:dyDescent="0.25">
      <c r="A61">
        <v>60</v>
      </c>
      <c r="B61">
        <v>987204799</v>
      </c>
      <c r="C61" t="s">
        <v>7287</v>
      </c>
      <c r="D61" t="s">
        <v>7275</v>
      </c>
      <c r="E61" t="s">
        <v>6877</v>
      </c>
      <c r="F61">
        <v>1</v>
      </c>
      <c r="G61" t="str">
        <f t="shared" si="0"/>
        <v>('987204799','CLARO','Max Negocios Ilimitado 69.90','OCUPADO',1),</v>
      </c>
    </row>
    <row r="62" spans="1:7" x14ac:dyDescent="0.25">
      <c r="A62">
        <v>61</v>
      </c>
      <c r="B62">
        <v>987079613</v>
      </c>
      <c r="C62" t="s">
        <v>7287</v>
      </c>
      <c r="D62" t="s">
        <v>7270</v>
      </c>
      <c r="E62" t="s">
        <v>6877</v>
      </c>
      <c r="F62">
        <v>1</v>
      </c>
      <c r="G62" t="str">
        <f t="shared" si="0"/>
        <v>('987079613','CLARO','Max Negocios 49.90','OCUPADO',1),</v>
      </c>
    </row>
    <row r="63" spans="1:7" x14ac:dyDescent="0.25">
      <c r="A63">
        <v>62</v>
      </c>
      <c r="B63">
        <v>987079611</v>
      </c>
      <c r="C63" t="s">
        <v>7287</v>
      </c>
      <c r="D63" t="s">
        <v>7271</v>
      </c>
      <c r="E63" t="s">
        <v>6877</v>
      </c>
      <c r="F63">
        <v>1</v>
      </c>
      <c r="G63" t="str">
        <f t="shared" si="0"/>
        <v>('987079611','CLARO','Max Negocios 55.90','OCUPADO',1),</v>
      </c>
    </row>
    <row r="64" spans="1:7" x14ac:dyDescent="0.25">
      <c r="A64">
        <v>63</v>
      </c>
      <c r="B64">
        <v>986782633</v>
      </c>
      <c r="C64" t="s">
        <v>7287</v>
      </c>
      <c r="D64" t="s">
        <v>7271</v>
      </c>
      <c r="E64" t="s">
        <v>6877</v>
      </c>
      <c r="F64">
        <v>1</v>
      </c>
      <c r="G64" t="str">
        <f t="shared" si="0"/>
        <v>('986782633','CLARO','Max Negocios 55.90','OCUPADO',1),</v>
      </c>
    </row>
    <row r="65" spans="1:7" x14ac:dyDescent="0.25">
      <c r="A65">
        <v>64</v>
      </c>
      <c r="B65">
        <v>986672280</v>
      </c>
      <c r="C65" t="s">
        <v>7287</v>
      </c>
      <c r="D65" t="s">
        <v>7276</v>
      </c>
      <c r="E65" t="s">
        <v>6877</v>
      </c>
      <c r="F65">
        <v>1</v>
      </c>
      <c r="G65" t="str">
        <f t="shared" si="0"/>
        <v>('986672280','CLARO','Max Negocios Ilimitado 79.90','OCUPADO',1),</v>
      </c>
    </row>
    <row r="66" spans="1:7" x14ac:dyDescent="0.25">
      <c r="A66">
        <v>65</v>
      </c>
      <c r="B66">
        <v>986672279</v>
      </c>
      <c r="C66" t="s">
        <v>7287</v>
      </c>
      <c r="D66" t="s">
        <v>7276</v>
      </c>
      <c r="E66" t="s">
        <v>6877</v>
      </c>
      <c r="F66">
        <v>1</v>
      </c>
      <c r="G66" t="str">
        <f t="shared" si="0"/>
        <v>('986672279','CLARO','Max Negocios Ilimitado 79.90','OCUPADO',1),</v>
      </c>
    </row>
    <row r="67" spans="1:7" x14ac:dyDescent="0.25">
      <c r="A67">
        <v>66</v>
      </c>
      <c r="B67">
        <v>986672277</v>
      </c>
      <c r="C67" t="s">
        <v>7287</v>
      </c>
      <c r="D67" t="s">
        <v>7277</v>
      </c>
      <c r="E67" t="s">
        <v>6877</v>
      </c>
      <c r="F67">
        <v>1</v>
      </c>
      <c r="G67" t="str">
        <f t="shared" ref="G67:G130" si="1">_xlfn.CONCAT("('",B67,"','",C67,"','",D67,"','",E67,"',","",F67,"","","),")</f>
        <v>('986672277','CLARO','Max Negocios Ilimitado 89.90','OCUPADO',1),</v>
      </c>
    </row>
    <row r="68" spans="1:7" x14ac:dyDescent="0.25">
      <c r="A68">
        <v>67</v>
      </c>
      <c r="B68">
        <v>986672276</v>
      </c>
      <c r="C68" t="s">
        <v>7287</v>
      </c>
      <c r="D68" t="s">
        <v>7270</v>
      </c>
      <c r="E68" t="s">
        <v>6877</v>
      </c>
      <c r="F68">
        <v>1</v>
      </c>
      <c r="G68" t="str">
        <f t="shared" si="1"/>
        <v>('986672276','CLARO','Max Negocios 49.90','OCUPADO',1),</v>
      </c>
    </row>
    <row r="69" spans="1:7" x14ac:dyDescent="0.25">
      <c r="A69">
        <v>68</v>
      </c>
      <c r="B69">
        <v>986672275</v>
      </c>
      <c r="C69" t="s">
        <v>7286</v>
      </c>
      <c r="D69" t="s">
        <v>7257</v>
      </c>
      <c r="E69" t="s">
        <v>6877</v>
      </c>
      <c r="F69">
        <v>1</v>
      </c>
      <c r="G69" t="str">
        <f t="shared" si="1"/>
        <v>('986672275','ENTEL','Empresa Plus 76.90','OCUPADO',1),</v>
      </c>
    </row>
    <row r="70" spans="1:7" x14ac:dyDescent="0.25">
      <c r="A70">
        <v>69</v>
      </c>
      <c r="B70">
        <v>986672271</v>
      </c>
      <c r="C70" t="s">
        <v>7287</v>
      </c>
      <c r="D70" t="s">
        <v>7270</v>
      </c>
      <c r="E70" t="s">
        <v>6877</v>
      </c>
      <c r="F70">
        <v>1</v>
      </c>
      <c r="G70" t="str">
        <f t="shared" si="1"/>
        <v>('986672271','CLARO','Max Negocios 49.90','OCUPADO',1),</v>
      </c>
    </row>
    <row r="71" spans="1:7" x14ac:dyDescent="0.25">
      <c r="A71">
        <v>70</v>
      </c>
      <c r="B71">
        <v>986672268</v>
      </c>
      <c r="C71" t="s">
        <v>7286</v>
      </c>
      <c r="D71" t="s">
        <v>7260</v>
      </c>
      <c r="E71" t="s">
        <v>6877</v>
      </c>
      <c r="F71">
        <v>1</v>
      </c>
      <c r="G71" t="str">
        <f t="shared" si="1"/>
        <v>('986672268','ENTEL','Empresa Plus 99.90','OCUPADO',1),</v>
      </c>
    </row>
    <row r="72" spans="1:7" x14ac:dyDescent="0.25">
      <c r="A72">
        <v>71</v>
      </c>
      <c r="B72">
        <v>986672267</v>
      </c>
      <c r="C72" t="s">
        <v>7287</v>
      </c>
      <c r="D72" t="s">
        <v>7270</v>
      </c>
      <c r="E72" t="s">
        <v>6877</v>
      </c>
      <c r="F72">
        <v>1</v>
      </c>
      <c r="G72" t="str">
        <f t="shared" si="1"/>
        <v>('986672267','CLARO','Max Negocios 49.90','OCUPADO',1),</v>
      </c>
    </row>
    <row r="73" spans="1:7" x14ac:dyDescent="0.25">
      <c r="A73">
        <v>72</v>
      </c>
      <c r="B73">
        <v>986672266</v>
      </c>
      <c r="C73" t="s">
        <v>7287</v>
      </c>
      <c r="D73" t="s">
        <v>7270</v>
      </c>
      <c r="E73" t="s">
        <v>6877</v>
      </c>
      <c r="F73">
        <v>1</v>
      </c>
      <c r="G73" t="str">
        <f t="shared" si="1"/>
        <v>('986672266','CLARO','Max Negocios 49.90','OCUPADO',1),</v>
      </c>
    </row>
    <row r="74" spans="1:7" x14ac:dyDescent="0.25">
      <c r="A74">
        <v>73</v>
      </c>
      <c r="B74">
        <v>986672265</v>
      </c>
      <c r="C74" t="s">
        <v>7286</v>
      </c>
      <c r="D74" t="s">
        <v>7244</v>
      </c>
      <c r="E74" t="s">
        <v>6877</v>
      </c>
      <c r="F74">
        <v>1</v>
      </c>
      <c r="G74" t="str">
        <f t="shared" si="1"/>
        <v>('986672265','ENTEL','Empresa CORP 44.90','OCUPADO',1),</v>
      </c>
    </row>
    <row r="75" spans="1:7" x14ac:dyDescent="0.25">
      <c r="A75">
        <v>74</v>
      </c>
      <c r="B75">
        <v>986635402</v>
      </c>
      <c r="C75" t="s">
        <v>7287</v>
      </c>
      <c r="D75" t="s">
        <v>7271</v>
      </c>
      <c r="E75" t="s">
        <v>6877</v>
      </c>
      <c r="F75">
        <v>1</v>
      </c>
      <c r="G75" t="str">
        <f t="shared" si="1"/>
        <v>('986635402','CLARO','Max Negocios 55.90','OCUPADO',1),</v>
      </c>
    </row>
    <row r="76" spans="1:7" x14ac:dyDescent="0.25">
      <c r="A76">
        <v>75</v>
      </c>
      <c r="B76">
        <v>986633770</v>
      </c>
      <c r="C76" t="s">
        <v>7287</v>
      </c>
      <c r="D76" t="s">
        <v>7270</v>
      </c>
      <c r="E76" t="s">
        <v>6877</v>
      </c>
      <c r="F76">
        <v>1</v>
      </c>
      <c r="G76" t="str">
        <f t="shared" si="1"/>
        <v>('986633770','CLARO','Max Negocios 49.90','OCUPADO',1),</v>
      </c>
    </row>
    <row r="77" spans="1:7" x14ac:dyDescent="0.25">
      <c r="A77">
        <v>76</v>
      </c>
      <c r="B77">
        <v>986633713</v>
      </c>
      <c r="C77" t="s">
        <v>7287</v>
      </c>
      <c r="D77" t="s">
        <v>7270</v>
      </c>
      <c r="E77" t="s">
        <v>6877</v>
      </c>
      <c r="F77">
        <v>1</v>
      </c>
      <c r="G77" t="str">
        <f t="shared" si="1"/>
        <v>('986633713','CLARO','Max Negocios 49.90','OCUPADO',1),</v>
      </c>
    </row>
    <row r="78" spans="1:7" x14ac:dyDescent="0.25">
      <c r="A78">
        <v>77</v>
      </c>
      <c r="B78">
        <v>986285296</v>
      </c>
      <c r="C78" t="s">
        <v>7287</v>
      </c>
      <c r="D78" t="s">
        <v>7268</v>
      </c>
      <c r="E78" t="s">
        <v>6877</v>
      </c>
      <c r="F78">
        <v>1</v>
      </c>
      <c r="G78" t="str">
        <f t="shared" si="1"/>
        <v>('986285296','CLARO','Max Negocios 29.90','OCUPADO',1),</v>
      </c>
    </row>
    <row r="79" spans="1:7" x14ac:dyDescent="0.25">
      <c r="A79">
        <v>78</v>
      </c>
      <c r="B79">
        <v>984359576</v>
      </c>
      <c r="C79" t="s">
        <v>7287</v>
      </c>
      <c r="D79" t="s">
        <v>7271</v>
      </c>
      <c r="E79" t="s">
        <v>6877</v>
      </c>
      <c r="F79">
        <v>1</v>
      </c>
      <c r="G79" t="str">
        <f t="shared" si="1"/>
        <v>('984359576','CLARO','Max Negocios 55.90','OCUPADO',1),</v>
      </c>
    </row>
    <row r="80" spans="1:7" x14ac:dyDescent="0.25">
      <c r="A80">
        <v>79</v>
      </c>
      <c r="B80">
        <v>984359325</v>
      </c>
      <c r="C80" t="s">
        <v>7287</v>
      </c>
      <c r="D80" t="s">
        <v>7269</v>
      </c>
      <c r="E80" t="s">
        <v>6877</v>
      </c>
      <c r="F80">
        <v>1</v>
      </c>
      <c r="G80" t="str">
        <f t="shared" si="1"/>
        <v>('984359325','CLARO','Max Negocios 39.90','OCUPADO',1),</v>
      </c>
    </row>
    <row r="81" spans="1:7" x14ac:dyDescent="0.25">
      <c r="A81">
        <v>80</v>
      </c>
      <c r="B81">
        <v>984113251</v>
      </c>
      <c r="C81" t="s">
        <v>7287</v>
      </c>
      <c r="D81" t="s">
        <v>7270</v>
      </c>
      <c r="E81" t="s">
        <v>6877</v>
      </c>
      <c r="F81">
        <v>1</v>
      </c>
      <c r="G81" t="str">
        <f t="shared" si="1"/>
        <v>('984113251','CLARO','Max Negocios 49.90','OCUPADO',1),</v>
      </c>
    </row>
    <row r="82" spans="1:7" x14ac:dyDescent="0.25">
      <c r="A82">
        <v>81</v>
      </c>
      <c r="B82">
        <v>984113039</v>
      </c>
      <c r="C82" t="s">
        <v>7287</v>
      </c>
      <c r="D82" t="s">
        <v>7271</v>
      </c>
      <c r="E82" t="s">
        <v>6877</v>
      </c>
      <c r="F82">
        <v>1</v>
      </c>
      <c r="G82" t="str">
        <f t="shared" si="1"/>
        <v>('984113039','CLARO','Max Negocios 55.90','OCUPADO',1),</v>
      </c>
    </row>
    <row r="83" spans="1:7" x14ac:dyDescent="0.25">
      <c r="A83">
        <v>82</v>
      </c>
      <c r="B83">
        <v>983279528</v>
      </c>
      <c r="C83" t="s">
        <v>7287</v>
      </c>
      <c r="D83" t="s">
        <v>7271</v>
      </c>
      <c r="E83" t="s">
        <v>6877</v>
      </c>
      <c r="F83">
        <v>1</v>
      </c>
      <c r="G83" t="str">
        <f t="shared" si="1"/>
        <v>('983279528','CLARO','Max Negocios 55.90','OCUPADO',1),</v>
      </c>
    </row>
    <row r="84" spans="1:7" x14ac:dyDescent="0.25">
      <c r="A84">
        <v>83</v>
      </c>
      <c r="B84">
        <v>983279457</v>
      </c>
      <c r="C84" t="s">
        <v>7287</v>
      </c>
      <c r="D84" t="s">
        <v>7270</v>
      </c>
      <c r="E84" t="s">
        <v>6877</v>
      </c>
      <c r="F84">
        <v>1</v>
      </c>
      <c r="G84" t="str">
        <f t="shared" si="1"/>
        <v>('983279457','CLARO','Max Negocios 49.90','OCUPADO',1),</v>
      </c>
    </row>
    <row r="85" spans="1:7" x14ac:dyDescent="0.25">
      <c r="A85">
        <v>84</v>
      </c>
      <c r="B85">
        <v>983279456</v>
      </c>
      <c r="C85" t="s">
        <v>7287</v>
      </c>
      <c r="D85" t="s">
        <v>7270</v>
      </c>
      <c r="E85" t="s">
        <v>6877</v>
      </c>
      <c r="F85">
        <v>1</v>
      </c>
      <c r="G85" t="str">
        <f t="shared" si="1"/>
        <v>('983279456','CLARO','Max Negocios 49.90','OCUPADO',1),</v>
      </c>
    </row>
    <row r="86" spans="1:7" x14ac:dyDescent="0.25">
      <c r="A86">
        <v>85</v>
      </c>
      <c r="B86">
        <v>983279455</v>
      </c>
      <c r="C86" t="s">
        <v>7287</v>
      </c>
      <c r="D86" t="s">
        <v>7270</v>
      </c>
      <c r="E86" t="s">
        <v>6877</v>
      </c>
      <c r="F86">
        <v>1</v>
      </c>
      <c r="G86" t="str">
        <f t="shared" si="1"/>
        <v>('983279455','CLARO','Max Negocios 49.90','OCUPADO',1),</v>
      </c>
    </row>
    <row r="87" spans="1:7" x14ac:dyDescent="0.25">
      <c r="A87">
        <v>86</v>
      </c>
      <c r="B87">
        <v>983279454</v>
      </c>
      <c r="C87" t="s">
        <v>7287</v>
      </c>
      <c r="D87" t="s">
        <v>7270</v>
      </c>
      <c r="E87" t="s">
        <v>6877</v>
      </c>
      <c r="F87">
        <v>1</v>
      </c>
      <c r="G87" t="str">
        <f t="shared" si="1"/>
        <v>('983279454','CLARO','Max Negocios 49.90','OCUPADO',1),</v>
      </c>
    </row>
    <row r="88" spans="1:7" x14ac:dyDescent="0.25">
      <c r="A88">
        <v>87</v>
      </c>
      <c r="B88">
        <v>983279452</v>
      </c>
      <c r="C88" t="s">
        <v>7287</v>
      </c>
      <c r="D88" t="s">
        <v>7270</v>
      </c>
      <c r="E88" t="s">
        <v>6877</v>
      </c>
      <c r="F88">
        <v>1</v>
      </c>
      <c r="G88" t="str">
        <f t="shared" si="1"/>
        <v>('983279452','CLARO','Max Negocios 49.90','OCUPADO',1),</v>
      </c>
    </row>
    <row r="89" spans="1:7" x14ac:dyDescent="0.25">
      <c r="A89">
        <v>88</v>
      </c>
      <c r="B89">
        <v>982798115</v>
      </c>
      <c r="C89" t="s">
        <v>7286</v>
      </c>
      <c r="D89" t="s">
        <v>7260</v>
      </c>
      <c r="E89" t="s">
        <v>6877</v>
      </c>
      <c r="F89">
        <v>1</v>
      </c>
      <c r="G89" t="str">
        <f t="shared" si="1"/>
        <v>('982798115','ENTEL','Empresa Plus 99.90','OCUPADO',1),</v>
      </c>
    </row>
    <row r="90" spans="1:7" x14ac:dyDescent="0.25">
      <c r="A90">
        <v>89</v>
      </c>
      <c r="B90">
        <v>982569784</v>
      </c>
      <c r="C90" t="s">
        <v>7287</v>
      </c>
      <c r="D90" t="s">
        <v>7270</v>
      </c>
      <c r="E90" t="s">
        <v>6877</v>
      </c>
      <c r="F90">
        <v>1</v>
      </c>
      <c r="G90" t="str">
        <f t="shared" si="1"/>
        <v>('982569784','CLARO','Max Negocios 49.90','OCUPADO',1),</v>
      </c>
    </row>
    <row r="91" spans="1:7" x14ac:dyDescent="0.25">
      <c r="A91">
        <v>90</v>
      </c>
      <c r="B91">
        <v>980636672</v>
      </c>
      <c r="C91" t="s">
        <v>7287</v>
      </c>
      <c r="D91" t="s">
        <v>7274</v>
      </c>
      <c r="E91" t="s">
        <v>6877</v>
      </c>
      <c r="F91">
        <v>1</v>
      </c>
      <c r="G91" t="str">
        <f t="shared" si="1"/>
        <v>('980636672','CLARO','Max Negocios Ilimitado 55.90','OCUPADO',1),</v>
      </c>
    </row>
    <row r="92" spans="1:7" x14ac:dyDescent="0.25">
      <c r="A92">
        <v>91</v>
      </c>
      <c r="B92">
        <v>980451642</v>
      </c>
      <c r="C92" t="s">
        <v>7287</v>
      </c>
      <c r="D92" t="s">
        <v>7271</v>
      </c>
      <c r="E92" t="s">
        <v>6877</v>
      </c>
      <c r="F92">
        <v>1</v>
      </c>
      <c r="G92" t="str">
        <f t="shared" si="1"/>
        <v>('980451642','CLARO','Max Negocios 55.90','OCUPADO',1),</v>
      </c>
    </row>
    <row r="93" spans="1:7" x14ac:dyDescent="0.25">
      <c r="A93">
        <v>92</v>
      </c>
      <c r="B93">
        <v>979706590</v>
      </c>
      <c r="C93" t="s">
        <v>7287</v>
      </c>
      <c r="D93" t="s">
        <v>7270</v>
      </c>
      <c r="E93" t="s">
        <v>6877</v>
      </c>
      <c r="F93">
        <v>1</v>
      </c>
      <c r="G93" t="str">
        <f t="shared" si="1"/>
        <v>('979706590','CLARO','Max Negocios 49.90','OCUPADO',1),</v>
      </c>
    </row>
    <row r="94" spans="1:7" x14ac:dyDescent="0.25">
      <c r="A94">
        <v>93</v>
      </c>
      <c r="B94">
        <v>979706587</v>
      </c>
      <c r="C94" t="s">
        <v>7287</v>
      </c>
      <c r="D94" t="s">
        <v>7271</v>
      </c>
      <c r="E94" t="s">
        <v>6877</v>
      </c>
      <c r="F94">
        <v>1</v>
      </c>
      <c r="G94" t="str">
        <f t="shared" si="1"/>
        <v>('979706587','CLARO','Max Negocios 55.90','OCUPADO',1),</v>
      </c>
    </row>
    <row r="95" spans="1:7" x14ac:dyDescent="0.25">
      <c r="A95">
        <v>94</v>
      </c>
      <c r="B95">
        <v>979706582</v>
      </c>
      <c r="C95" t="s">
        <v>7286</v>
      </c>
      <c r="D95" t="s">
        <v>7257</v>
      </c>
      <c r="E95" t="s">
        <v>6877</v>
      </c>
      <c r="F95">
        <v>1</v>
      </c>
      <c r="G95" t="str">
        <f t="shared" si="1"/>
        <v>('979706582','ENTEL','Empresa Plus 76.90','OCUPADO',1),</v>
      </c>
    </row>
    <row r="96" spans="1:7" x14ac:dyDescent="0.25">
      <c r="A96">
        <v>95</v>
      </c>
      <c r="B96">
        <v>979357254</v>
      </c>
      <c r="C96" t="s">
        <v>7287</v>
      </c>
      <c r="D96" t="s">
        <v>7270</v>
      </c>
      <c r="E96" t="s">
        <v>6877</v>
      </c>
      <c r="F96">
        <v>1</v>
      </c>
      <c r="G96" t="str">
        <f t="shared" si="1"/>
        <v>('979357254','CLARO','Max Negocios 49.90','OCUPADO',1),</v>
      </c>
    </row>
    <row r="97" spans="1:7" x14ac:dyDescent="0.25">
      <c r="A97">
        <v>96</v>
      </c>
      <c r="B97">
        <v>978619220</v>
      </c>
      <c r="C97" t="s">
        <v>7289</v>
      </c>
      <c r="D97" t="s">
        <v>7282</v>
      </c>
      <c r="E97" t="s">
        <v>6877</v>
      </c>
      <c r="F97">
        <v>1</v>
      </c>
      <c r="G97" t="str">
        <f t="shared" si="1"/>
        <v>('978619220','MOVISTAR','Movistar Empresas 77.9 III','OCUPADO',1),</v>
      </c>
    </row>
    <row r="98" spans="1:7" x14ac:dyDescent="0.25">
      <c r="A98">
        <v>97</v>
      </c>
      <c r="B98">
        <v>974839102</v>
      </c>
      <c r="C98" t="s">
        <v>7287</v>
      </c>
      <c r="D98" t="s">
        <v>7271</v>
      </c>
      <c r="E98" t="s">
        <v>6877</v>
      </c>
      <c r="F98">
        <v>1</v>
      </c>
      <c r="G98" t="str">
        <f t="shared" si="1"/>
        <v>('974839102','CLARO','Max Negocios 55.90','OCUPADO',1),</v>
      </c>
    </row>
    <row r="99" spans="1:7" x14ac:dyDescent="0.25">
      <c r="A99">
        <v>98</v>
      </c>
      <c r="B99">
        <v>974132293</v>
      </c>
      <c r="C99" t="s">
        <v>7287</v>
      </c>
      <c r="D99" t="s">
        <v>7271</v>
      </c>
      <c r="E99" t="s">
        <v>6877</v>
      </c>
      <c r="F99">
        <v>1</v>
      </c>
      <c r="G99" t="str">
        <f t="shared" si="1"/>
        <v>('974132293','CLARO','Max Negocios 55.90','OCUPADO',1),</v>
      </c>
    </row>
    <row r="100" spans="1:7" x14ac:dyDescent="0.25">
      <c r="A100">
        <v>99</v>
      </c>
      <c r="B100">
        <v>973348688</v>
      </c>
      <c r="C100" t="s">
        <v>7287</v>
      </c>
      <c r="D100" t="s">
        <v>7271</v>
      </c>
      <c r="E100" t="s">
        <v>6877</v>
      </c>
      <c r="F100">
        <v>1</v>
      </c>
      <c r="G100" t="str">
        <f t="shared" si="1"/>
        <v>('973348688','CLARO','Max Negocios 55.90','OCUPADO',1),</v>
      </c>
    </row>
    <row r="101" spans="1:7" x14ac:dyDescent="0.25">
      <c r="A101">
        <v>100</v>
      </c>
      <c r="B101">
        <v>973212218</v>
      </c>
      <c r="C101" t="s">
        <v>7287</v>
      </c>
      <c r="D101" t="s">
        <v>7271</v>
      </c>
      <c r="E101" t="s">
        <v>6877</v>
      </c>
      <c r="F101">
        <v>1</v>
      </c>
      <c r="G101" t="str">
        <f t="shared" si="1"/>
        <v>('973212218','CLARO','Max Negocios 55.90','OCUPADO',1),</v>
      </c>
    </row>
    <row r="102" spans="1:7" x14ac:dyDescent="0.25">
      <c r="A102">
        <v>101</v>
      </c>
      <c r="B102">
        <v>973151177</v>
      </c>
      <c r="C102" t="s">
        <v>7286</v>
      </c>
      <c r="D102" t="s">
        <v>7244</v>
      </c>
      <c r="E102" t="s">
        <v>6877</v>
      </c>
      <c r="F102">
        <v>1</v>
      </c>
      <c r="G102" t="str">
        <f t="shared" si="1"/>
        <v>('973151177','ENTEL','Empresa CORP 44.90','OCUPADO',1),</v>
      </c>
    </row>
    <row r="103" spans="1:7" x14ac:dyDescent="0.25">
      <c r="A103">
        <v>102</v>
      </c>
      <c r="B103">
        <v>972225997</v>
      </c>
      <c r="C103" t="s">
        <v>7287</v>
      </c>
      <c r="D103" t="s">
        <v>7271</v>
      </c>
      <c r="E103" t="s">
        <v>6877</v>
      </c>
      <c r="F103">
        <v>1</v>
      </c>
      <c r="G103" t="str">
        <f t="shared" si="1"/>
        <v>('972225997','CLARO','Max Negocios 55.90','OCUPADO',1),</v>
      </c>
    </row>
    <row r="104" spans="1:7" x14ac:dyDescent="0.25">
      <c r="A104">
        <v>103</v>
      </c>
      <c r="B104">
        <v>972225878</v>
      </c>
      <c r="C104" t="s">
        <v>7287</v>
      </c>
      <c r="D104" t="s">
        <v>7271</v>
      </c>
      <c r="E104" t="s">
        <v>6877</v>
      </c>
      <c r="F104">
        <v>1</v>
      </c>
      <c r="G104" t="str">
        <f t="shared" si="1"/>
        <v>('972225878','CLARO','Max Negocios 55.90','OCUPADO',1),</v>
      </c>
    </row>
    <row r="105" spans="1:7" x14ac:dyDescent="0.25">
      <c r="A105">
        <v>104</v>
      </c>
      <c r="B105">
        <v>972225826</v>
      </c>
      <c r="C105" t="s">
        <v>7287</v>
      </c>
      <c r="D105" t="s">
        <v>7271</v>
      </c>
      <c r="E105" t="s">
        <v>6877</v>
      </c>
      <c r="F105">
        <v>1</v>
      </c>
      <c r="G105" t="str">
        <f t="shared" si="1"/>
        <v>('972225826','CLARO','Max Negocios 55.90','OCUPADO',1),</v>
      </c>
    </row>
    <row r="106" spans="1:7" x14ac:dyDescent="0.25">
      <c r="A106">
        <v>105</v>
      </c>
      <c r="B106">
        <v>972225652</v>
      </c>
      <c r="C106" t="s">
        <v>7287</v>
      </c>
      <c r="D106" t="s">
        <v>7271</v>
      </c>
      <c r="E106" t="s">
        <v>6877</v>
      </c>
      <c r="F106">
        <v>1</v>
      </c>
      <c r="G106" t="str">
        <f t="shared" si="1"/>
        <v>('972225652','CLARO','Max Negocios 55.90','OCUPADO',1),</v>
      </c>
    </row>
    <row r="107" spans="1:7" x14ac:dyDescent="0.25">
      <c r="A107">
        <v>106</v>
      </c>
      <c r="B107">
        <v>969337083</v>
      </c>
      <c r="C107" t="s">
        <v>7287</v>
      </c>
      <c r="D107" t="s">
        <v>7273</v>
      </c>
      <c r="E107" t="s">
        <v>6877</v>
      </c>
      <c r="F107">
        <v>1</v>
      </c>
      <c r="G107" t="str">
        <f t="shared" si="1"/>
        <v>('969337083','CLARO','Max Negocios 89.90','OCUPADO',1),</v>
      </c>
    </row>
    <row r="108" spans="1:7" x14ac:dyDescent="0.25">
      <c r="A108">
        <v>107</v>
      </c>
      <c r="B108">
        <v>966714400</v>
      </c>
      <c r="C108" t="s">
        <v>7289</v>
      </c>
      <c r="D108" t="s">
        <v>7282</v>
      </c>
      <c r="E108" t="s">
        <v>6877</v>
      </c>
      <c r="F108">
        <v>1</v>
      </c>
      <c r="G108" t="str">
        <f t="shared" si="1"/>
        <v>('966714400','MOVISTAR','Movistar Empresas 77.9 III','OCUPADO',1),</v>
      </c>
    </row>
    <row r="109" spans="1:7" x14ac:dyDescent="0.25">
      <c r="A109">
        <v>108</v>
      </c>
      <c r="B109">
        <v>966508817</v>
      </c>
      <c r="C109" t="s">
        <v>7286</v>
      </c>
      <c r="D109" t="s">
        <v>7251</v>
      </c>
      <c r="E109" t="s">
        <v>6877</v>
      </c>
      <c r="F109">
        <v>1</v>
      </c>
      <c r="G109" t="str">
        <f t="shared" si="1"/>
        <v>('966508817','ENTEL','Empresa Plus 2.0 62.9','OCUPADO',1),</v>
      </c>
    </row>
    <row r="110" spans="1:7" x14ac:dyDescent="0.25">
      <c r="A110">
        <v>109</v>
      </c>
      <c r="B110">
        <v>964314020</v>
      </c>
      <c r="C110" t="s">
        <v>7286</v>
      </c>
      <c r="D110" t="s">
        <v>7257</v>
      </c>
      <c r="E110" t="s">
        <v>6877</v>
      </c>
      <c r="F110">
        <v>1</v>
      </c>
      <c r="G110" t="str">
        <f t="shared" si="1"/>
        <v>('964314020','ENTEL','Empresa Plus 76.90','OCUPADO',1),</v>
      </c>
    </row>
    <row r="111" spans="1:7" x14ac:dyDescent="0.25">
      <c r="A111">
        <v>110</v>
      </c>
      <c r="B111">
        <v>962784265</v>
      </c>
      <c r="C111" t="s">
        <v>7287</v>
      </c>
      <c r="D111" t="s">
        <v>7269</v>
      </c>
      <c r="E111" t="s">
        <v>6877</v>
      </c>
      <c r="F111">
        <v>1</v>
      </c>
      <c r="G111" t="str">
        <f t="shared" si="1"/>
        <v>('962784265','CLARO','Max Negocios 39.90','OCUPADO',1),</v>
      </c>
    </row>
    <row r="112" spans="1:7" x14ac:dyDescent="0.25">
      <c r="A112">
        <v>111</v>
      </c>
      <c r="B112">
        <v>962782013</v>
      </c>
      <c r="C112" t="s">
        <v>7287</v>
      </c>
      <c r="D112" t="s">
        <v>7269</v>
      </c>
      <c r="E112" t="s">
        <v>6877</v>
      </c>
      <c r="F112">
        <v>1</v>
      </c>
      <c r="G112" t="str">
        <f t="shared" si="1"/>
        <v>('962782013','CLARO','Max Negocios 39.90','OCUPADO',1),</v>
      </c>
    </row>
    <row r="113" spans="1:7" x14ac:dyDescent="0.25">
      <c r="A113">
        <v>112</v>
      </c>
      <c r="B113">
        <v>962779781</v>
      </c>
      <c r="C113" t="s">
        <v>7287</v>
      </c>
      <c r="D113" t="s">
        <v>7269</v>
      </c>
      <c r="E113" t="s">
        <v>6877</v>
      </c>
      <c r="F113">
        <v>1</v>
      </c>
      <c r="G113" t="str">
        <f t="shared" si="1"/>
        <v>('962779781','CLARO','Max Negocios 39.90','OCUPADO',1),</v>
      </c>
    </row>
    <row r="114" spans="1:7" x14ac:dyDescent="0.25">
      <c r="A114">
        <v>113</v>
      </c>
      <c r="B114">
        <v>961748894</v>
      </c>
      <c r="C114" t="s">
        <v>7287</v>
      </c>
      <c r="D114" t="s">
        <v>7269</v>
      </c>
      <c r="E114" t="s">
        <v>6877</v>
      </c>
      <c r="F114">
        <v>1</v>
      </c>
      <c r="G114" t="str">
        <f t="shared" si="1"/>
        <v>('961748894','CLARO','Max Negocios 39.90','OCUPADO',1),</v>
      </c>
    </row>
    <row r="115" spans="1:7" x14ac:dyDescent="0.25">
      <c r="A115">
        <v>114</v>
      </c>
      <c r="B115">
        <v>925970125</v>
      </c>
      <c r="C115" t="s">
        <v>7288</v>
      </c>
      <c r="D115" t="s">
        <v>7271</v>
      </c>
      <c r="E115" t="s">
        <v>6877</v>
      </c>
      <c r="F115">
        <v>1</v>
      </c>
      <c r="G115" t="str">
        <f t="shared" si="1"/>
        <v>('925970125','BITEL','Max Negocios 55.90','OCUPADO',1),</v>
      </c>
    </row>
    <row r="116" spans="1:7" x14ac:dyDescent="0.25">
      <c r="A116">
        <v>115</v>
      </c>
      <c r="B116">
        <v>961748876</v>
      </c>
      <c r="C116" t="s">
        <v>7287</v>
      </c>
      <c r="D116" t="s">
        <v>7271</v>
      </c>
      <c r="E116" t="s">
        <v>6877</v>
      </c>
      <c r="F116">
        <v>1</v>
      </c>
      <c r="G116" t="str">
        <f t="shared" si="1"/>
        <v>('961748876','CLARO','Max Negocios 55.90','OCUPADO',1),</v>
      </c>
    </row>
    <row r="117" spans="1:7" x14ac:dyDescent="0.25">
      <c r="A117">
        <v>116</v>
      </c>
      <c r="B117">
        <v>961748865</v>
      </c>
      <c r="C117" t="s">
        <v>7287</v>
      </c>
      <c r="D117" t="s">
        <v>7271</v>
      </c>
      <c r="E117" t="s">
        <v>6877</v>
      </c>
      <c r="F117">
        <v>1</v>
      </c>
      <c r="G117" t="str">
        <f t="shared" si="1"/>
        <v>('961748865','CLARO','Max Negocios 55.90','OCUPADO',1),</v>
      </c>
    </row>
    <row r="118" spans="1:7" x14ac:dyDescent="0.25">
      <c r="A118">
        <v>117</v>
      </c>
      <c r="B118">
        <v>957389031</v>
      </c>
      <c r="C118" t="s">
        <v>7287</v>
      </c>
      <c r="D118" t="s">
        <v>7274</v>
      </c>
      <c r="E118" t="s">
        <v>6877</v>
      </c>
      <c r="F118">
        <v>1</v>
      </c>
      <c r="G118" t="str">
        <f t="shared" si="1"/>
        <v>('957389031','CLARO','Max Negocios Ilimitado 55.90','OCUPADO',1),</v>
      </c>
    </row>
    <row r="119" spans="1:7" x14ac:dyDescent="0.25">
      <c r="A119">
        <v>118</v>
      </c>
      <c r="B119">
        <v>957388822</v>
      </c>
      <c r="C119" t="s">
        <v>7287</v>
      </c>
      <c r="D119" t="s">
        <v>7270</v>
      </c>
      <c r="E119" t="s">
        <v>6877</v>
      </c>
      <c r="F119">
        <v>1</v>
      </c>
      <c r="G119" t="str">
        <f t="shared" si="1"/>
        <v>('957388822','CLARO','Max Negocios 49.90','OCUPADO',1),</v>
      </c>
    </row>
    <row r="120" spans="1:7" x14ac:dyDescent="0.25">
      <c r="A120">
        <v>119</v>
      </c>
      <c r="B120">
        <v>957388500</v>
      </c>
      <c r="C120" t="s">
        <v>7287</v>
      </c>
      <c r="D120" t="s">
        <v>7270</v>
      </c>
      <c r="E120" t="s">
        <v>6877</v>
      </c>
      <c r="F120">
        <v>1</v>
      </c>
      <c r="G120" t="str">
        <f t="shared" si="1"/>
        <v>('957388500','CLARO','Max Negocios 49.90','OCUPADO',1),</v>
      </c>
    </row>
    <row r="121" spans="1:7" x14ac:dyDescent="0.25">
      <c r="A121">
        <v>120</v>
      </c>
      <c r="B121">
        <v>956322883</v>
      </c>
      <c r="C121" t="s">
        <v>7287</v>
      </c>
      <c r="D121" t="s">
        <v>7270</v>
      </c>
      <c r="E121" t="s">
        <v>6877</v>
      </c>
      <c r="F121">
        <v>1</v>
      </c>
      <c r="G121" t="str">
        <f t="shared" si="1"/>
        <v>('956322883','CLARO','Max Negocios 49.90','OCUPADO',1),</v>
      </c>
    </row>
    <row r="122" spans="1:7" x14ac:dyDescent="0.25">
      <c r="A122">
        <v>121</v>
      </c>
      <c r="B122">
        <v>955753444</v>
      </c>
      <c r="C122" t="s">
        <v>7287</v>
      </c>
      <c r="D122" t="s">
        <v>7265</v>
      </c>
      <c r="E122" t="s">
        <v>6877</v>
      </c>
      <c r="F122">
        <v>1</v>
      </c>
      <c r="G122" t="str">
        <f t="shared" si="1"/>
        <v>('955753444','CLARO','Max Negocio Ilimitado 65.00','OCUPADO',1),</v>
      </c>
    </row>
    <row r="123" spans="1:7" x14ac:dyDescent="0.25">
      <c r="A123">
        <v>122</v>
      </c>
      <c r="B123">
        <v>955753443</v>
      </c>
      <c r="C123" t="s">
        <v>7286</v>
      </c>
      <c r="D123" t="s">
        <v>7244</v>
      </c>
      <c r="E123" t="s">
        <v>6877</v>
      </c>
      <c r="F123">
        <v>1</v>
      </c>
      <c r="G123" t="str">
        <f t="shared" si="1"/>
        <v>('955753443','ENTEL','Empresa CORP 44.90','OCUPADO',1),</v>
      </c>
    </row>
    <row r="124" spans="1:7" x14ac:dyDescent="0.25">
      <c r="A124">
        <v>123</v>
      </c>
      <c r="B124">
        <v>953806905</v>
      </c>
      <c r="C124" t="s">
        <v>7287</v>
      </c>
      <c r="D124" t="s">
        <v>7271</v>
      </c>
      <c r="E124" t="s">
        <v>6877</v>
      </c>
      <c r="F124">
        <v>1</v>
      </c>
      <c r="G124" t="str">
        <f t="shared" si="1"/>
        <v>('953806905','CLARO','Max Negocios 55.90','OCUPADO',1),</v>
      </c>
    </row>
    <row r="125" spans="1:7" x14ac:dyDescent="0.25">
      <c r="A125">
        <v>124</v>
      </c>
      <c r="B125">
        <v>953806904</v>
      </c>
      <c r="C125" t="s">
        <v>7287</v>
      </c>
      <c r="D125" t="s">
        <v>7270</v>
      </c>
      <c r="E125" t="s">
        <v>6877</v>
      </c>
      <c r="F125">
        <v>1</v>
      </c>
      <c r="G125" t="str">
        <f t="shared" si="1"/>
        <v>('953806904','CLARO','Max Negocios 49.90','OCUPADO',1),</v>
      </c>
    </row>
    <row r="126" spans="1:7" x14ac:dyDescent="0.25">
      <c r="A126">
        <v>125</v>
      </c>
      <c r="B126">
        <v>953806902</v>
      </c>
      <c r="C126" t="s">
        <v>7287</v>
      </c>
      <c r="D126" t="s">
        <v>7270</v>
      </c>
      <c r="E126" t="s">
        <v>6877</v>
      </c>
      <c r="F126">
        <v>1</v>
      </c>
      <c r="G126" t="str">
        <f t="shared" si="1"/>
        <v>('953806902','CLARO','Max Negocios 49.90','OCUPADO',1),</v>
      </c>
    </row>
    <row r="127" spans="1:7" x14ac:dyDescent="0.25">
      <c r="A127">
        <v>126</v>
      </c>
      <c r="B127">
        <v>953806900</v>
      </c>
      <c r="C127" t="s">
        <v>7286</v>
      </c>
      <c r="D127" t="s">
        <v>7244</v>
      </c>
      <c r="E127" t="s">
        <v>6877</v>
      </c>
      <c r="F127">
        <v>1</v>
      </c>
      <c r="G127" t="str">
        <f t="shared" si="1"/>
        <v>('953806900','ENTEL','Empresa CORP 44.90','OCUPADO',1),</v>
      </c>
    </row>
    <row r="128" spans="1:7" x14ac:dyDescent="0.25">
      <c r="A128">
        <v>127</v>
      </c>
      <c r="B128">
        <v>953806899</v>
      </c>
      <c r="C128" t="s">
        <v>7286</v>
      </c>
      <c r="D128" t="s">
        <v>7257</v>
      </c>
      <c r="E128" t="s">
        <v>6877</v>
      </c>
      <c r="F128">
        <v>1</v>
      </c>
      <c r="G128" t="str">
        <f t="shared" si="1"/>
        <v>('953806899','ENTEL','Empresa Plus 76.90','OCUPADO',1),</v>
      </c>
    </row>
    <row r="129" spans="1:7" x14ac:dyDescent="0.25">
      <c r="A129">
        <v>128</v>
      </c>
      <c r="B129">
        <v>953806898</v>
      </c>
      <c r="C129" t="s">
        <v>7287</v>
      </c>
      <c r="D129" t="s">
        <v>7270</v>
      </c>
      <c r="E129" t="s">
        <v>6877</v>
      </c>
      <c r="F129">
        <v>1</v>
      </c>
      <c r="G129" t="str">
        <f t="shared" si="1"/>
        <v>('953806898','CLARO','Max Negocios 49.90','OCUPADO',1),</v>
      </c>
    </row>
    <row r="130" spans="1:7" x14ac:dyDescent="0.25">
      <c r="A130">
        <v>129</v>
      </c>
      <c r="B130">
        <v>953806897</v>
      </c>
      <c r="C130" t="s">
        <v>7287</v>
      </c>
      <c r="D130" t="s">
        <v>7274</v>
      </c>
      <c r="E130" t="s">
        <v>6877</v>
      </c>
      <c r="F130">
        <v>1</v>
      </c>
      <c r="G130" t="str">
        <f t="shared" si="1"/>
        <v>('953806897','CLARO','Max Negocios Ilimitado 55.90','OCUPADO',1),</v>
      </c>
    </row>
    <row r="131" spans="1:7" x14ac:dyDescent="0.25">
      <c r="A131">
        <v>130</v>
      </c>
      <c r="B131">
        <v>953806896</v>
      </c>
      <c r="C131" t="s">
        <v>7287</v>
      </c>
      <c r="D131" t="s">
        <v>7270</v>
      </c>
      <c r="E131" t="s">
        <v>6877</v>
      </c>
      <c r="F131">
        <v>1</v>
      </c>
      <c r="G131" t="str">
        <f t="shared" ref="G131:G194" si="2">_xlfn.CONCAT("('",B131,"','",C131,"','",D131,"','",E131,"',","",F131,"","","),")</f>
        <v>('953806896','CLARO','Max Negocios 49.90','OCUPADO',1),</v>
      </c>
    </row>
    <row r="132" spans="1:7" x14ac:dyDescent="0.25">
      <c r="A132">
        <v>131</v>
      </c>
      <c r="B132">
        <v>953806894</v>
      </c>
      <c r="C132" t="s">
        <v>7287</v>
      </c>
      <c r="D132" t="s">
        <v>7270</v>
      </c>
      <c r="E132" t="s">
        <v>6877</v>
      </c>
      <c r="F132">
        <v>1</v>
      </c>
      <c r="G132" t="str">
        <f t="shared" si="2"/>
        <v>('953806894','CLARO','Max Negocios 49.90','OCUPADO',1),</v>
      </c>
    </row>
    <row r="133" spans="1:7" x14ac:dyDescent="0.25">
      <c r="A133">
        <v>132</v>
      </c>
      <c r="B133">
        <v>953806893</v>
      </c>
      <c r="C133" t="s">
        <v>7287</v>
      </c>
      <c r="D133" t="s">
        <v>7270</v>
      </c>
      <c r="E133" t="s">
        <v>6877</v>
      </c>
      <c r="F133">
        <v>1</v>
      </c>
      <c r="G133" t="str">
        <f t="shared" si="2"/>
        <v>('953806893','CLARO','Max Negocios 49.90','OCUPADO',1),</v>
      </c>
    </row>
    <row r="134" spans="1:7" x14ac:dyDescent="0.25">
      <c r="A134">
        <v>133</v>
      </c>
      <c r="B134">
        <v>951729586</v>
      </c>
      <c r="C134" t="s">
        <v>7287</v>
      </c>
      <c r="D134" t="s">
        <v>7271</v>
      </c>
      <c r="E134" t="s">
        <v>6877</v>
      </c>
      <c r="F134">
        <v>1</v>
      </c>
      <c r="G134" t="str">
        <f t="shared" si="2"/>
        <v>('951729586','CLARO','Max Negocios 55.90','OCUPADO',1),</v>
      </c>
    </row>
    <row r="135" spans="1:7" x14ac:dyDescent="0.25">
      <c r="A135">
        <v>134</v>
      </c>
      <c r="B135">
        <v>950233212</v>
      </c>
      <c r="C135" t="s">
        <v>7287</v>
      </c>
      <c r="D135" t="s">
        <v>7269</v>
      </c>
      <c r="E135" t="s">
        <v>6877</v>
      </c>
      <c r="F135">
        <v>1</v>
      </c>
      <c r="G135" t="str">
        <f t="shared" si="2"/>
        <v>('950233212','CLARO','Max Negocios 39.90','OCUPADO',1),</v>
      </c>
    </row>
    <row r="136" spans="1:7" x14ac:dyDescent="0.25">
      <c r="A136">
        <v>135</v>
      </c>
      <c r="B136">
        <v>950232831</v>
      </c>
      <c r="C136" t="s">
        <v>7287</v>
      </c>
      <c r="D136" t="s">
        <v>7269</v>
      </c>
      <c r="E136" t="s">
        <v>6877</v>
      </c>
      <c r="F136">
        <v>1</v>
      </c>
      <c r="G136" t="str">
        <f t="shared" si="2"/>
        <v>('950232831','CLARO','Max Negocios 39.90','OCUPADO',1),</v>
      </c>
    </row>
    <row r="137" spans="1:7" x14ac:dyDescent="0.25">
      <c r="A137">
        <v>136</v>
      </c>
      <c r="B137">
        <v>949340051</v>
      </c>
      <c r="C137" t="s">
        <v>7287</v>
      </c>
      <c r="D137" t="s">
        <v>7272</v>
      </c>
      <c r="E137" t="s">
        <v>6877</v>
      </c>
      <c r="F137">
        <v>1</v>
      </c>
      <c r="G137" t="str">
        <f t="shared" si="2"/>
        <v>('949340051','CLARO','Max Negocios 59.90','OCUPADO',1),</v>
      </c>
    </row>
    <row r="138" spans="1:7" x14ac:dyDescent="0.25">
      <c r="A138">
        <v>137</v>
      </c>
      <c r="B138">
        <v>949145953</v>
      </c>
      <c r="C138" t="s">
        <v>7287</v>
      </c>
      <c r="D138" t="s">
        <v>7271</v>
      </c>
      <c r="E138" t="s">
        <v>6877</v>
      </c>
      <c r="F138">
        <v>1</v>
      </c>
      <c r="G138" t="str">
        <f t="shared" si="2"/>
        <v>('949145953','CLARO','Max Negocios 55.90','OCUPADO',1),</v>
      </c>
    </row>
    <row r="139" spans="1:7" x14ac:dyDescent="0.25">
      <c r="A139">
        <v>138</v>
      </c>
      <c r="B139">
        <v>949145952</v>
      </c>
      <c r="C139" t="s">
        <v>7287</v>
      </c>
      <c r="D139" t="s">
        <v>7271</v>
      </c>
      <c r="E139" t="s">
        <v>6877</v>
      </c>
      <c r="F139">
        <v>1</v>
      </c>
      <c r="G139" t="str">
        <f t="shared" si="2"/>
        <v>('949145952','CLARO','Max Negocios 55.90','OCUPADO',1),</v>
      </c>
    </row>
    <row r="140" spans="1:7" x14ac:dyDescent="0.25">
      <c r="A140">
        <v>139</v>
      </c>
      <c r="B140">
        <v>949145929</v>
      </c>
      <c r="C140" t="s">
        <v>7287</v>
      </c>
      <c r="D140" t="s">
        <v>7271</v>
      </c>
      <c r="E140" t="s">
        <v>6877</v>
      </c>
      <c r="F140">
        <v>1</v>
      </c>
      <c r="G140" t="str">
        <f t="shared" si="2"/>
        <v>('949145929','CLARO','Max Negocios 55.90','OCUPADO',1),</v>
      </c>
    </row>
    <row r="141" spans="1:7" x14ac:dyDescent="0.25">
      <c r="A141">
        <v>140</v>
      </c>
      <c r="B141">
        <v>949145917</v>
      </c>
      <c r="C141" t="s">
        <v>7287</v>
      </c>
      <c r="D141" t="s">
        <v>7271</v>
      </c>
      <c r="E141" t="s">
        <v>6877</v>
      </c>
      <c r="F141">
        <v>1</v>
      </c>
      <c r="G141" t="str">
        <f t="shared" si="2"/>
        <v>('949145917','CLARO','Max Negocios 55.90','OCUPADO',1),</v>
      </c>
    </row>
    <row r="142" spans="1:7" x14ac:dyDescent="0.25">
      <c r="A142">
        <v>141</v>
      </c>
      <c r="B142">
        <v>948143525</v>
      </c>
      <c r="C142" t="s">
        <v>7287</v>
      </c>
      <c r="D142" t="s">
        <v>7268</v>
      </c>
      <c r="E142" t="s">
        <v>6877</v>
      </c>
      <c r="F142">
        <v>1</v>
      </c>
      <c r="G142" t="str">
        <f t="shared" si="2"/>
        <v>('948143525','CLARO','Max Negocios 29.90','OCUPADO',1),</v>
      </c>
    </row>
    <row r="143" spans="1:7" x14ac:dyDescent="0.25">
      <c r="A143">
        <v>142</v>
      </c>
      <c r="B143">
        <v>943567445</v>
      </c>
      <c r="C143" t="s">
        <v>7286</v>
      </c>
      <c r="D143" t="s">
        <v>7258</v>
      </c>
      <c r="E143" t="s">
        <v>6877</v>
      </c>
      <c r="F143">
        <v>1</v>
      </c>
      <c r="G143" t="str">
        <f t="shared" si="2"/>
        <v>('943567445','ENTEL','Empresa Plus 79.90','OCUPADO',1),</v>
      </c>
    </row>
    <row r="144" spans="1:7" x14ac:dyDescent="0.25">
      <c r="A144">
        <v>143</v>
      </c>
      <c r="B144">
        <v>942238670</v>
      </c>
      <c r="C144" t="s">
        <v>7287</v>
      </c>
      <c r="D144" t="s">
        <v>7270</v>
      </c>
      <c r="E144" t="s">
        <v>6877</v>
      </c>
      <c r="F144">
        <v>1</v>
      </c>
      <c r="G144" t="str">
        <f t="shared" si="2"/>
        <v>('942238670','CLARO','Max Negocios 49.90','OCUPADO',1),</v>
      </c>
    </row>
    <row r="145" spans="1:7" x14ac:dyDescent="0.25">
      <c r="A145">
        <v>144</v>
      </c>
      <c r="B145">
        <v>942238535</v>
      </c>
      <c r="C145" t="s">
        <v>7287</v>
      </c>
      <c r="D145" t="s">
        <v>7268</v>
      </c>
      <c r="E145" t="s">
        <v>6877</v>
      </c>
      <c r="F145">
        <v>1</v>
      </c>
      <c r="G145" t="str">
        <f t="shared" si="2"/>
        <v>('942238535','CLARO','Max Negocios 29.90','OCUPADO',1),</v>
      </c>
    </row>
    <row r="146" spans="1:7" x14ac:dyDescent="0.25">
      <c r="A146">
        <v>145</v>
      </c>
      <c r="B146">
        <v>942237878</v>
      </c>
      <c r="C146" t="s">
        <v>7287</v>
      </c>
      <c r="D146" t="s">
        <v>7268</v>
      </c>
      <c r="E146" t="s">
        <v>6877</v>
      </c>
      <c r="F146">
        <v>1</v>
      </c>
      <c r="G146" t="str">
        <f t="shared" si="2"/>
        <v>('942237878','CLARO','Max Negocios 29.90','OCUPADO',1),</v>
      </c>
    </row>
    <row r="147" spans="1:7" x14ac:dyDescent="0.25">
      <c r="A147">
        <v>146</v>
      </c>
      <c r="B147">
        <v>942237868</v>
      </c>
      <c r="C147" t="s">
        <v>7287</v>
      </c>
      <c r="D147" t="s">
        <v>7262</v>
      </c>
      <c r="E147" t="s">
        <v>6877</v>
      </c>
      <c r="F147">
        <v>1</v>
      </c>
      <c r="G147" t="str">
        <f t="shared" si="2"/>
        <v>('942237868','CLARO','Max Corporativo 29.90','OCUPADO',1),</v>
      </c>
    </row>
    <row r="148" spans="1:7" x14ac:dyDescent="0.25">
      <c r="A148">
        <v>147</v>
      </c>
      <c r="B148">
        <v>942008812</v>
      </c>
      <c r="C148" t="s">
        <v>7289</v>
      </c>
      <c r="D148" t="s">
        <v>7279</v>
      </c>
      <c r="E148" t="s">
        <v>6877</v>
      </c>
      <c r="F148">
        <v>1</v>
      </c>
      <c r="G148" t="str">
        <f t="shared" si="2"/>
        <v>('942008812','MOVISTAR','Movistar Empresas 45.91','OCUPADO',1),</v>
      </c>
    </row>
    <row r="149" spans="1:7" x14ac:dyDescent="0.25">
      <c r="A149">
        <v>148</v>
      </c>
      <c r="B149">
        <v>941666974</v>
      </c>
      <c r="C149" t="s">
        <v>7287</v>
      </c>
      <c r="D149" t="s">
        <v>7264</v>
      </c>
      <c r="E149" t="s">
        <v>6877</v>
      </c>
      <c r="F149">
        <v>1</v>
      </c>
      <c r="G149" t="str">
        <f t="shared" si="2"/>
        <v>('941666974','CLARO','Max Negocio Ilimitado 105.00','OCUPADO',1),</v>
      </c>
    </row>
    <row r="150" spans="1:7" x14ac:dyDescent="0.25">
      <c r="A150">
        <v>149</v>
      </c>
      <c r="B150">
        <v>941574071</v>
      </c>
      <c r="C150" t="s">
        <v>7289</v>
      </c>
      <c r="D150" t="s">
        <v>7281</v>
      </c>
      <c r="E150" t="s">
        <v>6877</v>
      </c>
      <c r="F150">
        <v>1</v>
      </c>
      <c r="G150" t="str">
        <f t="shared" si="2"/>
        <v>('941574071','MOVISTAR','Movistar Empresas 62.91','OCUPADO',1),</v>
      </c>
    </row>
    <row r="151" spans="1:7" x14ac:dyDescent="0.25">
      <c r="A151">
        <v>150</v>
      </c>
      <c r="B151">
        <v>994649978</v>
      </c>
      <c r="C151" t="s">
        <v>7289</v>
      </c>
      <c r="D151" t="s">
        <v>7283</v>
      </c>
      <c r="E151" t="s">
        <v>6877</v>
      </c>
      <c r="F151">
        <v>1</v>
      </c>
      <c r="G151" t="str">
        <f t="shared" si="2"/>
        <v>('994649978','MOVISTAR','Movistar Empresas 82.9','OCUPADO',1),</v>
      </c>
    </row>
    <row r="152" spans="1:7" x14ac:dyDescent="0.25">
      <c r="A152">
        <v>151</v>
      </c>
      <c r="B152">
        <v>941573553</v>
      </c>
      <c r="C152" t="s">
        <v>7287</v>
      </c>
      <c r="D152" t="s">
        <v>7269</v>
      </c>
      <c r="E152" t="s">
        <v>6877</v>
      </c>
      <c r="F152">
        <v>1</v>
      </c>
      <c r="G152" t="str">
        <f t="shared" si="2"/>
        <v>('941573553','CLARO','Max Negocios 39.90','OCUPADO',1),</v>
      </c>
    </row>
    <row r="153" spans="1:7" x14ac:dyDescent="0.25">
      <c r="A153">
        <v>152</v>
      </c>
      <c r="B153">
        <v>941573513</v>
      </c>
      <c r="C153" t="s">
        <v>7287</v>
      </c>
      <c r="D153" t="s">
        <v>7269</v>
      </c>
      <c r="E153" t="s">
        <v>6877</v>
      </c>
      <c r="F153">
        <v>1</v>
      </c>
      <c r="G153" t="str">
        <f t="shared" si="2"/>
        <v>('941573513','CLARO','Max Negocios 39.90','OCUPADO',1),</v>
      </c>
    </row>
    <row r="154" spans="1:7" x14ac:dyDescent="0.25">
      <c r="A154">
        <v>153</v>
      </c>
      <c r="B154">
        <v>941573116</v>
      </c>
      <c r="C154" t="s">
        <v>7287</v>
      </c>
      <c r="D154" t="s">
        <v>7269</v>
      </c>
      <c r="E154" t="s">
        <v>6877</v>
      </c>
      <c r="F154">
        <v>1</v>
      </c>
      <c r="G154" t="str">
        <f t="shared" si="2"/>
        <v>('941573116','CLARO','Max Negocios 39.90','OCUPADO',1),</v>
      </c>
    </row>
    <row r="155" spans="1:7" x14ac:dyDescent="0.25">
      <c r="A155">
        <v>154</v>
      </c>
      <c r="B155">
        <v>941573019</v>
      </c>
      <c r="C155" t="s">
        <v>7287</v>
      </c>
      <c r="D155" t="s">
        <v>7269</v>
      </c>
      <c r="E155" t="s">
        <v>6877</v>
      </c>
      <c r="F155">
        <v>1</v>
      </c>
      <c r="G155" t="str">
        <f t="shared" si="2"/>
        <v>('941573019','CLARO','Max Negocios 39.90','OCUPADO',1),</v>
      </c>
    </row>
    <row r="156" spans="1:7" x14ac:dyDescent="0.25">
      <c r="A156">
        <v>155</v>
      </c>
      <c r="B156">
        <v>941572709</v>
      </c>
      <c r="C156" t="s">
        <v>7287</v>
      </c>
      <c r="D156" t="s">
        <v>7269</v>
      </c>
      <c r="E156" t="s">
        <v>6877</v>
      </c>
      <c r="F156">
        <v>1</v>
      </c>
      <c r="G156" t="str">
        <f t="shared" si="2"/>
        <v>('941572709','CLARO','Max Negocios 39.90','OCUPADO',1),</v>
      </c>
    </row>
    <row r="157" spans="1:7" x14ac:dyDescent="0.25">
      <c r="A157">
        <v>156</v>
      </c>
      <c r="B157">
        <v>941572394</v>
      </c>
      <c r="C157" t="s">
        <v>7287</v>
      </c>
      <c r="D157" t="s">
        <v>7269</v>
      </c>
      <c r="E157" t="s">
        <v>6877</v>
      </c>
      <c r="F157">
        <v>1</v>
      </c>
      <c r="G157" t="str">
        <f t="shared" si="2"/>
        <v>('941572394','CLARO','Max Negocios 39.90','OCUPADO',1),</v>
      </c>
    </row>
    <row r="158" spans="1:7" x14ac:dyDescent="0.25">
      <c r="A158">
        <v>157</v>
      </c>
      <c r="B158">
        <v>941571521</v>
      </c>
      <c r="C158" t="s">
        <v>7287</v>
      </c>
      <c r="D158" t="s">
        <v>7269</v>
      </c>
      <c r="E158" t="s">
        <v>6877</v>
      </c>
      <c r="F158">
        <v>1</v>
      </c>
      <c r="G158" t="str">
        <f t="shared" si="2"/>
        <v>('941571521','CLARO','Max Negocios 39.90','OCUPADO',1),</v>
      </c>
    </row>
    <row r="159" spans="1:7" x14ac:dyDescent="0.25">
      <c r="A159">
        <v>158</v>
      </c>
      <c r="B159">
        <v>941571135</v>
      </c>
      <c r="C159" t="s">
        <v>7287</v>
      </c>
      <c r="D159" t="s">
        <v>7269</v>
      </c>
      <c r="E159" t="s">
        <v>6877</v>
      </c>
      <c r="F159">
        <v>1</v>
      </c>
      <c r="G159" t="str">
        <f t="shared" si="2"/>
        <v>('941571135','CLARO','Max Negocios 39.90','OCUPADO',1),</v>
      </c>
    </row>
    <row r="160" spans="1:7" x14ac:dyDescent="0.25">
      <c r="A160">
        <v>159</v>
      </c>
      <c r="B160">
        <v>941569761</v>
      </c>
      <c r="C160" t="s">
        <v>7287</v>
      </c>
      <c r="D160" t="s">
        <v>7269</v>
      </c>
      <c r="E160" t="s">
        <v>6877</v>
      </c>
      <c r="F160">
        <v>1</v>
      </c>
      <c r="G160" t="str">
        <f t="shared" si="2"/>
        <v>('941569761','CLARO','Max Negocios 39.90','OCUPADO',1),</v>
      </c>
    </row>
    <row r="161" spans="1:7" x14ac:dyDescent="0.25">
      <c r="A161">
        <v>160</v>
      </c>
      <c r="B161">
        <v>941569604</v>
      </c>
      <c r="C161" t="s">
        <v>7287</v>
      </c>
      <c r="D161" t="s">
        <v>7269</v>
      </c>
      <c r="E161" t="s">
        <v>6877</v>
      </c>
      <c r="F161">
        <v>1</v>
      </c>
      <c r="G161" t="str">
        <f t="shared" si="2"/>
        <v>('941569604','CLARO','Max Negocios 39.90','OCUPADO',1),</v>
      </c>
    </row>
    <row r="162" spans="1:7" x14ac:dyDescent="0.25">
      <c r="A162">
        <v>161</v>
      </c>
      <c r="B162">
        <v>941569232</v>
      </c>
      <c r="C162" t="s">
        <v>7287</v>
      </c>
      <c r="D162" t="s">
        <v>7271</v>
      </c>
      <c r="E162" t="s">
        <v>6877</v>
      </c>
      <c r="F162">
        <v>1</v>
      </c>
      <c r="G162" t="str">
        <f t="shared" si="2"/>
        <v>('941569232','CLARO','Max Negocios 55.90','OCUPADO',1),</v>
      </c>
    </row>
    <row r="163" spans="1:7" x14ac:dyDescent="0.25">
      <c r="A163">
        <v>162</v>
      </c>
      <c r="B163">
        <v>986672272</v>
      </c>
      <c r="C163" t="s">
        <v>7287</v>
      </c>
      <c r="D163" t="s">
        <v>7270</v>
      </c>
      <c r="E163" t="s">
        <v>6877</v>
      </c>
      <c r="F163">
        <v>1</v>
      </c>
      <c r="G163" t="str">
        <f t="shared" si="2"/>
        <v>('986672272','CLARO','Max Negocios 49.90','OCUPADO',1),</v>
      </c>
    </row>
    <row r="164" spans="1:7" x14ac:dyDescent="0.25">
      <c r="A164">
        <v>163</v>
      </c>
      <c r="B164">
        <v>941568826</v>
      </c>
      <c r="C164" t="s">
        <v>7287</v>
      </c>
      <c r="D164" t="s">
        <v>7269</v>
      </c>
      <c r="E164" t="s">
        <v>6877</v>
      </c>
      <c r="F164">
        <v>1</v>
      </c>
      <c r="G164" t="str">
        <f t="shared" si="2"/>
        <v>('941568826','CLARO','Max Negocios 39.90','OCUPADO',1),</v>
      </c>
    </row>
    <row r="165" spans="1:7" x14ac:dyDescent="0.25">
      <c r="A165">
        <v>164</v>
      </c>
      <c r="B165">
        <v>941568715</v>
      </c>
      <c r="C165" t="s">
        <v>7287</v>
      </c>
      <c r="D165" t="s">
        <v>7269</v>
      </c>
      <c r="E165" t="s">
        <v>6877</v>
      </c>
      <c r="F165">
        <v>1</v>
      </c>
      <c r="G165" t="str">
        <f t="shared" si="2"/>
        <v>('941568715','CLARO','Max Negocios 39.90','OCUPADO',1),</v>
      </c>
    </row>
    <row r="166" spans="1:7" x14ac:dyDescent="0.25">
      <c r="A166">
        <v>165</v>
      </c>
      <c r="B166">
        <v>941568671</v>
      </c>
      <c r="C166" t="s">
        <v>7287</v>
      </c>
      <c r="D166" t="s">
        <v>7269</v>
      </c>
      <c r="E166" t="s">
        <v>6877</v>
      </c>
      <c r="F166">
        <v>1</v>
      </c>
      <c r="G166" t="str">
        <f t="shared" si="2"/>
        <v>('941568671','CLARO','Max Negocios 39.90','OCUPADO',1),</v>
      </c>
    </row>
    <row r="167" spans="1:7" x14ac:dyDescent="0.25">
      <c r="A167">
        <v>166</v>
      </c>
      <c r="B167">
        <v>941100997</v>
      </c>
      <c r="C167" t="s">
        <v>7287</v>
      </c>
      <c r="D167" t="s">
        <v>7270</v>
      </c>
      <c r="E167" t="s">
        <v>6877</v>
      </c>
      <c r="F167">
        <v>1</v>
      </c>
      <c r="G167" t="str">
        <f t="shared" si="2"/>
        <v>('941100997','CLARO','Max Negocios 49.90','OCUPADO',1),</v>
      </c>
    </row>
    <row r="168" spans="1:7" x14ac:dyDescent="0.25">
      <c r="A168">
        <v>167</v>
      </c>
      <c r="B168">
        <v>940755244</v>
      </c>
      <c r="C168" t="s">
        <v>7286</v>
      </c>
      <c r="D168" t="s">
        <v>7244</v>
      </c>
      <c r="E168" t="s">
        <v>6877</v>
      </c>
      <c r="F168">
        <v>1</v>
      </c>
      <c r="G168" t="str">
        <f t="shared" si="2"/>
        <v>('940755244','ENTEL','Empresa CORP 44.90','OCUPADO',1),</v>
      </c>
    </row>
    <row r="169" spans="1:7" x14ac:dyDescent="0.25">
      <c r="A169">
        <v>168</v>
      </c>
      <c r="B169">
        <v>955753445</v>
      </c>
      <c r="C169" t="s">
        <v>7289</v>
      </c>
      <c r="D169" t="s">
        <v>7282</v>
      </c>
      <c r="E169" t="s">
        <v>6877</v>
      </c>
      <c r="F169">
        <v>1</v>
      </c>
      <c r="G169" t="str">
        <f t="shared" si="2"/>
        <v>('955753445','MOVISTAR','Movistar Empresas 77.9 III','OCUPADO',1),</v>
      </c>
    </row>
    <row r="170" spans="1:7" x14ac:dyDescent="0.25">
      <c r="A170">
        <v>169</v>
      </c>
      <c r="B170">
        <v>934778899</v>
      </c>
      <c r="C170" t="s">
        <v>7286</v>
      </c>
      <c r="D170" t="s">
        <v>7242</v>
      </c>
      <c r="E170" t="s">
        <v>6877</v>
      </c>
      <c r="F170">
        <v>1</v>
      </c>
      <c r="G170" t="str">
        <f t="shared" si="2"/>
        <v>('934778899','ENTEL','Empresa CORP 2.0 59.9','OCUPADO',1),</v>
      </c>
    </row>
    <row r="171" spans="1:7" x14ac:dyDescent="0.25">
      <c r="A171">
        <v>170</v>
      </c>
      <c r="B171">
        <v>924275891</v>
      </c>
      <c r="C171" t="s">
        <v>7286</v>
      </c>
      <c r="D171" t="s">
        <v>7250</v>
      </c>
      <c r="E171" t="s">
        <v>6877</v>
      </c>
      <c r="F171">
        <v>1</v>
      </c>
      <c r="G171" t="str">
        <f t="shared" si="2"/>
        <v>('924275891','ENTEL','Empresa Plus 2.0 58.9','OCUPADO',1),</v>
      </c>
    </row>
    <row r="172" spans="1:7" x14ac:dyDescent="0.25">
      <c r="A172">
        <v>171</v>
      </c>
      <c r="B172">
        <v>924275731</v>
      </c>
      <c r="C172" t="s">
        <v>7286</v>
      </c>
      <c r="D172" t="s">
        <v>7250</v>
      </c>
      <c r="E172" t="s">
        <v>6877</v>
      </c>
      <c r="F172">
        <v>1</v>
      </c>
      <c r="G172" t="str">
        <f t="shared" si="2"/>
        <v>('924275731','ENTEL','Empresa Plus 2.0 58.9','OCUPADO',1),</v>
      </c>
    </row>
    <row r="173" spans="1:7" x14ac:dyDescent="0.25">
      <c r="A173">
        <v>172</v>
      </c>
      <c r="B173">
        <v>924275090</v>
      </c>
      <c r="C173" t="s">
        <v>7286</v>
      </c>
      <c r="D173" t="s">
        <v>7249</v>
      </c>
      <c r="E173" t="s">
        <v>6877</v>
      </c>
      <c r="F173">
        <v>1</v>
      </c>
      <c r="G173" t="str">
        <f t="shared" si="2"/>
        <v>('924275090','ENTEL','Empresa Plus 2.0 58.10','OCUPADO',1),</v>
      </c>
    </row>
    <row r="174" spans="1:7" x14ac:dyDescent="0.25">
      <c r="A174">
        <v>173</v>
      </c>
      <c r="B174">
        <v>924274808</v>
      </c>
      <c r="C174" t="s">
        <v>7286</v>
      </c>
      <c r="D174" t="s">
        <v>7250</v>
      </c>
      <c r="E174" t="s">
        <v>6877</v>
      </c>
      <c r="F174">
        <v>1</v>
      </c>
      <c r="G174" t="str">
        <f t="shared" si="2"/>
        <v>('924274808','ENTEL','Empresa Plus 2.0 58.9','OCUPADO',1),</v>
      </c>
    </row>
    <row r="175" spans="1:7" x14ac:dyDescent="0.25">
      <c r="A175">
        <v>174</v>
      </c>
      <c r="B175">
        <v>924177159</v>
      </c>
      <c r="C175" t="s">
        <v>7286</v>
      </c>
      <c r="D175" t="s">
        <v>7251</v>
      </c>
      <c r="E175" t="s">
        <v>6877</v>
      </c>
      <c r="F175">
        <v>1</v>
      </c>
      <c r="G175" t="str">
        <f t="shared" si="2"/>
        <v>('924177159','ENTEL','Empresa Plus 2.0 62.9','OCUPADO',1),</v>
      </c>
    </row>
    <row r="176" spans="1:7" x14ac:dyDescent="0.25">
      <c r="A176">
        <v>175</v>
      </c>
      <c r="B176">
        <v>922353770</v>
      </c>
      <c r="C176" t="s">
        <v>7286</v>
      </c>
      <c r="D176" t="s">
        <v>7255</v>
      </c>
      <c r="E176" t="s">
        <v>6877</v>
      </c>
      <c r="F176">
        <v>1</v>
      </c>
      <c r="G176" t="str">
        <f t="shared" si="2"/>
        <v>('922353770','ENTEL','Empresa Plus 52.90','OCUPADO',1),</v>
      </c>
    </row>
    <row r="177" spans="1:7" x14ac:dyDescent="0.25">
      <c r="A177">
        <v>176</v>
      </c>
      <c r="B177">
        <v>919756975</v>
      </c>
      <c r="C177" t="s">
        <v>7286</v>
      </c>
      <c r="D177" t="s">
        <v>7247</v>
      </c>
      <c r="E177" t="s">
        <v>6877</v>
      </c>
      <c r="F177">
        <v>1</v>
      </c>
      <c r="G177" t="str">
        <f t="shared" si="2"/>
        <v>('919756975','ENTEL','Empresa Plus 2.0 52.9','OCUPADO',1),</v>
      </c>
    </row>
    <row r="178" spans="1:7" x14ac:dyDescent="0.25">
      <c r="A178">
        <v>177</v>
      </c>
      <c r="B178">
        <v>919753961</v>
      </c>
      <c r="C178" t="s">
        <v>7286</v>
      </c>
      <c r="D178" t="s">
        <v>7247</v>
      </c>
      <c r="E178" t="s">
        <v>6877</v>
      </c>
      <c r="F178">
        <v>1</v>
      </c>
      <c r="G178" t="str">
        <f t="shared" si="2"/>
        <v>('919753961','ENTEL','Empresa Plus 2.0 52.9','OCUPADO',1),</v>
      </c>
    </row>
    <row r="179" spans="1:7" x14ac:dyDescent="0.25">
      <c r="A179">
        <v>178</v>
      </c>
      <c r="B179">
        <v>919752181</v>
      </c>
      <c r="C179" t="s">
        <v>7287</v>
      </c>
      <c r="D179" t="s">
        <v>7247</v>
      </c>
      <c r="E179" t="s">
        <v>6877</v>
      </c>
      <c r="F179">
        <v>1</v>
      </c>
      <c r="G179" t="str">
        <f t="shared" si="2"/>
        <v>('919752181','CLARO','Empresa Plus 2.0 52.9','OCUPADO',1),</v>
      </c>
    </row>
    <row r="180" spans="1:7" x14ac:dyDescent="0.25">
      <c r="A180">
        <v>179</v>
      </c>
      <c r="B180">
        <v>919752044</v>
      </c>
      <c r="C180" t="s">
        <v>7286</v>
      </c>
      <c r="D180" t="s">
        <v>7247</v>
      </c>
      <c r="E180" t="s">
        <v>6877</v>
      </c>
      <c r="F180">
        <v>1</v>
      </c>
      <c r="G180" t="str">
        <f t="shared" si="2"/>
        <v>('919752044','ENTEL','Empresa Plus 2.0 52.9','OCUPADO',1),</v>
      </c>
    </row>
    <row r="181" spans="1:7" x14ac:dyDescent="0.25">
      <c r="A181">
        <v>180</v>
      </c>
      <c r="B181">
        <v>919745805</v>
      </c>
      <c r="C181" t="s">
        <v>7286</v>
      </c>
      <c r="D181" t="s">
        <v>7247</v>
      </c>
      <c r="E181" t="s">
        <v>6877</v>
      </c>
      <c r="F181">
        <v>1</v>
      </c>
      <c r="G181" t="str">
        <f t="shared" si="2"/>
        <v>('919745805','ENTEL','Empresa Plus 2.0 52.9','OCUPADO',1),</v>
      </c>
    </row>
    <row r="182" spans="1:7" x14ac:dyDescent="0.25">
      <c r="A182">
        <v>181</v>
      </c>
      <c r="B182">
        <v>919739185</v>
      </c>
      <c r="C182" t="s">
        <v>7286</v>
      </c>
      <c r="D182" t="s">
        <v>7247</v>
      </c>
      <c r="E182" t="s">
        <v>6877</v>
      </c>
      <c r="F182">
        <v>1</v>
      </c>
      <c r="G182" t="str">
        <f t="shared" si="2"/>
        <v>('919739185','ENTEL','Empresa Plus 2.0 52.9','OCUPADO',1),</v>
      </c>
    </row>
    <row r="183" spans="1:7" x14ac:dyDescent="0.25">
      <c r="A183">
        <v>182</v>
      </c>
      <c r="B183">
        <v>919732913</v>
      </c>
      <c r="C183" t="s">
        <v>7286</v>
      </c>
      <c r="D183" t="s">
        <v>7247</v>
      </c>
      <c r="E183" t="s">
        <v>6877</v>
      </c>
      <c r="F183">
        <v>1</v>
      </c>
      <c r="G183" t="str">
        <f t="shared" si="2"/>
        <v>('919732913','ENTEL','Empresa Plus 2.0 52.9','OCUPADO',1),</v>
      </c>
    </row>
    <row r="184" spans="1:7" x14ac:dyDescent="0.25">
      <c r="A184">
        <v>183</v>
      </c>
      <c r="B184">
        <v>919725334</v>
      </c>
      <c r="C184" t="s">
        <v>7286</v>
      </c>
      <c r="D184" t="s">
        <v>7247</v>
      </c>
      <c r="E184" t="s">
        <v>6877</v>
      </c>
      <c r="F184">
        <v>1</v>
      </c>
      <c r="G184" t="str">
        <f t="shared" si="2"/>
        <v>('919725334','ENTEL','Empresa Plus 2.0 52.9','OCUPADO',1),</v>
      </c>
    </row>
    <row r="185" spans="1:7" x14ac:dyDescent="0.25">
      <c r="A185">
        <v>184</v>
      </c>
      <c r="B185">
        <v>919289675</v>
      </c>
      <c r="C185" t="s">
        <v>7286</v>
      </c>
      <c r="D185" t="s">
        <v>7247</v>
      </c>
      <c r="E185" t="s">
        <v>6877</v>
      </c>
      <c r="F185">
        <v>1</v>
      </c>
      <c r="G185" t="str">
        <f t="shared" si="2"/>
        <v>('919289675','ENTEL','Empresa Plus 2.0 52.9','OCUPADO',1),</v>
      </c>
    </row>
    <row r="186" spans="1:7" x14ac:dyDescent="0.25">
      <c r="A186">
        <v>185</v>
      </c>
      <c r="B186">
        <v>919289610</v>
      </c>
      <c r="C186" t="s">
        <v>7286</v>
      </c>
      <c r="D186" t="s">
        <v>7247</v>
      </c>
      <c r="E186" t="s">
        <v>6877</v>
      </c>
      <c r="F186">
        <v>1</v>
      </c>
      <c r="G186" t="str">
        <f t="shared" si="2"/>
        <v>('919289610','ENTEL','Empresa Plus 2.0 52.9','OCUPADO',1),</v>
      </c>
    </row>
    <row r="187" spans="1:7" x14ac:dyDescent="0.25">
      <c r="A187">
        <v>186</v>
      </c>
      <c r="B187">
        <v>919289481</v>
      </c>
      <c r="C187" t="s">
        <v>7287</v>
      </c>
      <c r="D187" t="s">
        <v>7275</v>
      </c>
      <c r="E187" t="s">
        <v>6877</v>
      </c>
      <c r="F187">
        <v>1</v>
      </c>
      <c r="G187" t="str">
        <f t="shared" si="2"/>
        <v>('919289481','CLARO','Max Negocios Ilimitado 69.90','OCUPADO',1),</v>
      </c>
    </row>
    <row r="188" spans="1:7" x14ac:dyDescent="0.25">
      <c r="A188">
        <v>187</v>
      </c>
      <c r="B188">
        <v>919289439</v>
      </c>
      <c r="C188" t="s">
        <v>7286</v>
      </c>
      <c r="D188" t="s">
        <v>7248</v>
      </c>
      <c r="E188" t="s">
        <v>6877</v>
      </c>
      <c r="F188">
        <v>1</v>
      </c>
      <c r="G188" t="str">
        <f t="shared" si="2"/>
        <v>('919289439','ENTEL','Empresa Plus 2.0 55.9','OCUPADO',1),</v>
      </c>
    </row>
    <row r="189" spans="1:7" x14ac:dyDescent="0.25">
      <c r="A189">
        <v>188</v>
      </c>
      <c r="B189">
        <v>919286408</v>
      </c>
      <c r="C189" t="s">
        <v>7286</v>
      </c>
      <c r="D189" t="s">
        <v>7247</v>
      </c>
      <c r="E189" t="s">
        <v>6877</v>
      </c>
      <c r="F189">
        <v>1</v>
      </c>
      <c r="G189" t="str">
        <f t="shared" si="2"/>
        <v>('919286408','ENTEL','Empresa Plus 2.0 52.9','OCUPADO',1),</v>
      </c>
    </row>
    <row r="190" spans="1:7" x14ac:dyDescent="0.25">
      <c r="A190">
        <v>189</v>
      </c>
      <c r="B190">
        <v>919286376</v>
      </c>
      <c r="C190" t="s">
        <v>7286</v>
      </c>
      <c r="D190" t="s">
        <v>7248</v>
      </c>
      <c r="E190" t="s">
        <v>6877</v>
      </c>
      <c r="F190">
        <v>1</v>
      </c>
      <c r="G190" t="str">
        <f t="shared" si="2"/>
        <v>('919286376','ENTEL','Empresa Plus 2.0 55.9','OCUPADO',1),</v>
      </c>
    </row>
    <row r="191" spans="1:7" x14ac:dyDescent="0.25">
      <c r="A191">
        <v>190</v>
      </c>
      <c r="B191">
        <v>989574789</v>
      </c>
      <c r="C191" t="s">
        <v>7287</v>
      </c>
      <c r="D191" t="s">
        <v>7271</v>
      </c>
      <c r="E191" t="s">
        <v>6877</v>
      </c>
      <c r="F191">
        <v>1</v>
      </c>
      <c r="G191" t="str">
        <f t="shared" si="2"/>
        <v>('989574789','CLARO','Max Negocios 55.90','OCUPADO',1),</v>
      </c>
    </row>
    <row r="192" spans="1:7" x14ac:dyDescent="0.25">
      <c r="A192">
        <v>191</v>
      </c>
      <c r="B192">
        <v>914698405</v>
      </c>
      <c r="C192" t="s">
        <v>7287</v>
      </c>
      <c r="D192" t="s">
        <v>7271</v>
      </c>
      <c r="E192" t="s">
        <v>6877</v>
      </c>
      <c r="F192">
        <v>1</v>
      </c>
      <c r="G192" t="str">
        <f t="shared" si="2"/>
        <v>('914698405','CLARO','Max Negocios 55.90','OCUPADO',1),</v>
      </c>
    </row>
    <row r="193" spans="1:7" x14ac:dyDescent="0.25">
      <c r="A193">
        <v>192</v>
      </c>
      <c r="B193">
        <v>914303972</v>
      </c>
      <c r="C193" t="s">
        <v>7287</v>
      </c>
      <c r="D193" t="s">
        <v>7271</v>
      </c>
      <c r="E193" t="s">
        <v>6877</v>
      </c>
      <c r="F193">
        <v>1</v>
      </c>
      <c r="G193" t="str">
        <f t="shared" si="2"/>
        <v>('914303972','CLARO','Max Negocios 55.90','OCUPADO',1),</v>
      </c>
    </row>
    <row r="194" spans="1:7" x14ac:dyDescent="0.25">
      <c r="A194">
        <v>193</v>
      </c>
      <c r="B194">
        <v>914303557</v>
      </c>
      <c r="C194" t="s">
        <v>7287</v>
      </c>
      <c r="D194" t="s">
        <v>7271</v>
      </c>
      <c r="E194" t="s">
        <v>6877</v>
      </c>
      <c r="F194">
        <v>1</v>
      </c>
      <c r="G194" t="str">
        <f t="shared" si="2"/>
        <v>('914303557','CLARO','Max Negocios 55.90','OCUPADO',1),</v>
      </c>
    </row>
    <row r="195" spans="1:7" x14ac:dyDescent="0.25">
      <c r="A195">
        <v>194</v>
      </c>
      <c r="B195">
        <v>914276663</v>
      </c>
      <c r="C195" t="s">
        <v>7287</v>
      </c>
      <c r="D195" t="s">
        <v>7262</v>
      </c>
      <c r="E195" t="s">
        <v>6877</v>
      </c>
      <c r="F195">
        <v>1</v>
      </c>
      <c r="G195" t="str">
        <f t="shared" ref="G195:G258" si="3">_xlfn.CONCAT("('",B195,"','",C195,"','",D195,"','",E195,"',","",F195,"","","),")</f>
        <v>('914276663','CLARO','Max Corporativo 29.90','OCUPADO',1),</v>
      </c>
    </row>
    <row r="196" spans="1:7" x14ac:dyDescent="0.25">
      <c r="A196">
        <v>195</v>
      </c>
      <c r="B196">
        <v>914276513</v>
      </c>
      <c r="C196" t="s">
        <v>7287</v>
      </c>
      <c r="D196" t="s">
        <v>7262</v>
      </c>
      <c r="E196" t="s">
        <v>6877</v>
      </c>
      <c r="F196">
        <v>1</v>
      </c>
      <c r="G196" t="str">
        <f t="shared" si="3"/>
        <v>('914276513','CLARO','Max Corporativo 29.90','OCUPADO',1),</v>
      </c>
    </row>
    <row r="197" spans="1:7" x14ac:dyDescent="0.25">
      <c r="A197">
        <v>196</v>
      </c>
      <c r="B197">
        <v>914276480</v>
      </c>
      <c r="C197" t="s">
        <v>7287</v>
      </c>
      <c r="D197" t="s">
        <v>7262</v>
      </c>
      <c r="E197" t="s">
        <v>6877</v>
      </c>
      <c r="F197">
        <v>1</v>
      </c>
      <c r="G197" t="str">
        <f t="shared" si="3"/>
        <v>('914276480','CLARO','Max Corporativo 29.90','OCUPADO',1),</v>
      </c>
    </row>
    <row r="198" spans="1:7" x14ac:dyDescent="0.25">
      <c r="A198">
        <v>197</v>
      </c>
      <c r="B198">
        <v>914276341</v>
      </c>
      <c r="C198" t="s">
        <v>7287</v>
      </c>
      <c r="D198" t="s">
        <v>7262</v>
      </c>
      <c r="E198" t="s">
        <v>6877</v>
      </c>
      <c r="F198">
        <v>1</v>
      </c>
      <c r="G198" t="str">
        <f t="shared" si="3"/>
        <v>('914276341','CLARO','Max Corporativo 29.90','OCUPADO',1),</v>
      </c>
    </row>
    <row r="199" spans="1:7" x14ac:dyDescent="0.25">
      <c r="A199">
        <v>198</v>
      </c>
      <c r="B199">
        <v>913014955</v>
      </c>
      <c r="C199" t="s">
        <v>7287</v>
      </c>
      <c r="D199" t="s">
        <v>7270</v>
      </c>
      <c r="E199" t="s">
        <v>6877</v>
      </c>
      <c r="F199">
        <v>1</v>
      </c>
      <c r="G199" t="str">
        <f t="shared" si="3"/>
        <v>('913014955','CLARO','Max Negocios 49.90','OCUPADO',1),</v>
      </c>
    </row>
    <row r="200" spans="1:7" x14ac:dyDescent="0.25">
      <c r="A200">
        <v>199</v>
      </c>
      <c r="B200">
        <v>913014954</v>
      </c>
      <c r="C200" t="s">
        <v>7287</v>
      </c>
      <c r="D200" t="s">
        <v>7270</v>
      </c>
      <c r="E200" t="s">
        <v>6877</v>
      </c>
      <c r="F200">
        <v>1</v>
      </c>
      <c r="G200" t="str">
        <f t="shared" si="3"/>
        <v>('913014954','CLARO','Max Negocios 49.90','OCUPADO',1),</v>
      </c>
    </row>
    <row r="201" spans="1:7" x14ac:dyDescent="0.25">
      <c r="A201">
        <v>200</v>
      </c>
      <c r="B201">
        <v>913014953</v>
      </c>
      <c r="C201" t="s">
        <v>7287</v>
      </c>
      <c r="D201" t="s">
        <v>7270</v>
      </c>
      <c r="E201" t="s">
        <v>6877</v>
      </c>
      <c r="F201">
        <v>1</v>
      </c>
      <c r="G201" t="str">
        <f t="shared" si="3"/>
        <v>('913014953','CLARO','Max Negocios 49.90','OCUPADO',1),</v>
      </c>
    </row>
    <row r="202" spans="1:7" x14ac:dyDescent="0.25">
      <c r="A202">
        <v>201</v>
      </c>
      <c r="B202">
        <v>913014952</v>
      </c>
      <c r="C202" t="s">
        <v>7286</v>
      </c>
      <c r="D202" t="s">
        <v>7259</v>
      </c>
      <c r="E202" t="s">
        <v>6877</v>
      </c>
      <c r="F202">
        <v>1</v>
      </c>
      <c r="G202" t="str">
        <f t="shared" si="3"/>
        <v>('913014952','ENTEL','Empresa Plus 80.90','OCUPADO',1),</v>
      </c>
    </row>
    <row r="203" spans="1:7" x14ac:dyDescent="0.25">
      <c r="A203">
        <v>202</v>
      </c>
      <c r="B203">
        <v>913014950</v>
      </c>
      <c r="C203" t="s">
        <v>7287</v>
      </c>
      <c r="D203" t="s">
        <v>7266</v>
      </c>
      <c r="E203" t="s">
        <v>6877</v>
      </c>
      <c r="F203">
        <v>1</v>
      </c>
      <c r="G203" t="str">
        <f t="shared" si="3"/>
        <v>('913014950','CLARO','Max Negocio Ilimitado 69.90','OCUPADO',1),</v>
      </c>
    </row>
    <row r="204" spans="1:7" x14ac:dyDescent="0.25">
      <c r="A204">
        <v>203</v>
      </c>
      <c r="B204">
        <v>908854128</v>
      </c>
      <c r="C204" t="s">
        <v>7286</v>
      </c>
      <c r="D204" t="s">
        <v>7245</v>
      </c>
      <c r="E204" t="s">
        <v>6877</v>
      </c>
      <c r="F204">
        <v>1</v>
      </c>
      <c r="G204" t="str">
        <f t="shared" si="3"/>
        <v>('908854128','ENTEL','Empresa CORP 59.9','OCUPADO',1),</v>
      </c>
    </row>
    <row r="205" spans="1:7" x14ac:dyDescent="0.25">
      <c r="A205">
        <v>204</v>
      </c>
      <c r="B205">
        <v>908854121</v>
      </c>
      <c r="C205" t="s">
        <v>7286</v>
      </c>
      <c r="D205" t="s">
        <v>7248</v>
      </c>
      <c r="E205" t="s">
        <v>6877</v>
      </c>
      <c r="F205">
        <v>1</v>
      </c>
      <c r="G205" t="str">
        <f t="shared" si="3"/>
        <v>('908854121','ENTEL','Empresa Plus 2.0 55.9','OCUPADO',1),</v>
      </c>
    </row>
    <row r="206" spans="1:7" x14ac:dyDescent="0.25">
      <c r="A206">
        <v>205</v>
      </c>
      <c r="B206">
        <v>987910859</v>
      </c>
      <c r="C206" t="s">
        <v>7287</v>
      </c>
      <c r="D206" t="s">
        <v>7269</v>
      </c>
      <c r="E206" t="s">
        <v>6877</v>
      </c>
      <c r="F206">
        <v>1</v>
      </c>
      <c r="G206" t="str">
        <f t="shared" si="3"/>
        <v>('987910859','CLARO','Max Negocios 39.90','OCUPADO',1),</v>
      </c>
    </row>
    <row r="207" spans="1:7" x14ac:dyDescent="0.25">
      <c r="A207">
        <v>206</v>
      </c>
      <c r="B207">
        <v>949145879</v>
      </c>
      <c r="C207" t="s">
        <v>7287</v>
      </c>
      <c r="D207" t="s">
        <v>7271</v>
      </c>
      <c r="E207" t="s">
        <v>6877</v>
      </c>
      <c r="F207">
        <v>1</v>
      </c>
      <c r="G207" t="str">
        <f t="shared" si="3"/>
        <v>('949145879','CLARO','Max Negocios 55.90','OCUPADO',1),</v>
      </c>
    </row>
    <row r="208" spans="1:7" x14ac:dyDescent="0.25">
      <c r="A208">
        <v>207</v>
      </c>
      <c r="B208">
        <v>949145881</v>
      </c>
      <c r="C208" t="s">
        <v>7287</v>
      </c>
      <c r="D208" t="s">
        <v>7271</v>
      </c>
      <c r="E208" t="s">
        <v>6877</v>
      </c>
      <c r="F208">
        <v>1</v>
      </c>
      <c r="G208" t="str">
        <f t="shared" si="3"/>
        <v>('949145881','CLARO','Max Negocios 55.90','OCUPADO',1),</v>
      </c>
    </row>
    <row r="209" spans="1:7" x14ac:dyDescent="0.25">
      <c r="A209">
        <v>208</v>
      </c>
      <c r="B209">
        <v>952325445</v>
      </c>
      <c r="C209" t="s">
        <v>7287</v>
      </c>
      <c r="D209" t="s">
        <v>7271</v>
      </c>
      <c r="E209" t="s">
        <v>6877</v>
      </c>
      <c r="F209">
        <v>1</v>
      </c>
      <c r="G209" t="str">
        <f t="shared" si="3"/>
        <v>('952325445','CLARO','Max Negocios 55.90','OCUPADO',1),</v>
      </c>
    </row>
    <row r="210" spans="1:7" x14ac:dyDescent="0.25">
      <c r="A210">
        <v>209</v>
      </c>
      <c r="B210">
        <v>952325451</v>
      </c>
      <c r="C210" t="s">
        <v>7287</v>
      </c>
      <c r="D210" t="s">
        <v>7271</v>
      </c>
      <c r="E210" t="s">
        <v>6877</v>
      </c>
      <c r="F210">
        <v>1</v>
      </c>
      <c r="G210" t="str">
        <f t="shared" si="3"/>
        <v>('952325451','CLARO','Max Negocios 55.90','OCUPADO',1),</v>
      </c>
    </row>
    <row r="211" spans="1:7" x14ac:dyDescent="0.25">
      <c r="A211">
        <v>210</v>
      </c>
      <c r="B211">
        <v>941569590</v>
      </c>
      <c r="C211" t="s">
        <v>7287</v>
      </c>
      <c r="D211" t="s">
        <v>7269</v>
      </c>
      <c r="E211" t="s">
        <v>6877</v>
      </c>
      <c r="F211">
        <v>1</v>
      </c>
      <c r="G211" t="str">
        <f t="shared" si="3"/>
        <v>('941569590','CLARO','Max Negocios 39.90','OCUPADO',1),</v>
      </c>
    </row>
    <row r="212" spans="1:7" x14ac:dyDescent="0.25">
      <c r="A212">
        <v>211</v>
      </c>
      <c r="B212">
        <v>944576139</v>
      </c>
      <c r="C212" t="s">
        <v>7286</v>
      </c>
      <c r="D212" t="s">
        <v>7244</v>
      </c>
      <c r="E212" t="s">
        <v>6877</v>
      </c>
      <c r="F212">
        <v>1</v>
      </c>
      <c r="G212" t="str">
        <f t="shared" si="3"/>
        <v>('944576139','ENTEL','Empresa CORP 44.90','OCUPADO',1),</v>
      </c>
    </row>
    <row r="213" spans="1:7" x14ac:dyDescent="0.25">
      <c r="A213">
        <v>212</v>
      </c>
      <c r="B213">
        <v>989576878</v>
      </c>
      <c r="C213" t="s">
        <v>7287</v>
      </c>
      <c r="D213" t="s">
        <v>7270</v>
      </c>
      <c r="E213" t="s">
        <v>6877</v>
      </c>
      <c r="F213">
        <v>1</v>
      </c>
      <c r="G213" t="str">
        <f t="shared" si="3"/>
        <v>('989576878','CLARO','Max Negocios 49.90','OCUPADO',1),</v>
      </c>
    </row>
    <row r="214" spans="1:7" x14ac:dyDescent="0.25">
      <c r="A214">
        <v>213</v>
      </c>
      <c r="B214">
        <v>919750682</v>
      </c>
      <c r="C214" t="s">
        <v>7286</v>
      </c>
      <c r="D214" t="s">
        <v>7247</v>
      </c>
      <c r="E214" t="s">
        <v>6877</v>
      </c>
      <c r="F214">
        <v>1</v>
      </c>
      <c r="G214" t="str">
        <f t="shared" si="3"/>
        <v>('919750682','ENTEL','Empresa Plus 2.0 52.9','OCUPADO',1),</v>
      </c>
    </row>
    <row r="215" spans="1:7" x14ac:dyDescent="0.25">
      <c r="A215">
        <v>214</v>
      </c>
      <c r="B215">
        <v>914276733</v>
      </c>
      <c r="C215" t="s">
        <v>7287</v>
      </c>
      <c r="D215" t="s">
        <v>7268</v>
      </c>
      <c r="E215" t="s">
        <v>6877</v>
      </c>
      <c r="F215">
        <v>1</v>
      </c>
      <c r="G215" t="str">
        <f t="shared" si="3"/>
        <v>('914276733','CLARO','Max Negocios 29.90','OCUPADO',1),</v>
      </c>
    </row>
    <row r="216" spans="1:7" x14ac:dyDescent="0.25">
      <c r="A216">
        <v>215</v>
      </c>
      <c r="B216">
        <v>952325459</v>
      </c>
      <c r="C216" t="s">
        <v>7287</v>
      </c>
      <c r="D216" t="s">
        <v>7271</v>
      </c>
      <c r="E216" t="s">
        <v>6877</v>
      </c>
      <c r="F216">
        <v>1</v>
      </c>
      <c r="G216" t="str">
        <f t="shared" si="3"/>
        <v>('952325459','CLARO','Max Negocios 55.90','OCUPADO',1),</v>
      </c>
    </row>
    <row r="217" spans="1:7" x14ac:dyDescent="0.25">
      <c r="A217">
        <v>216</v>
      </c>
      <c r="B217">
        <v>989013581</v>
      </c>
      <c r="C217" t="s">
        <v>7289</v>
      </c>
      <c r="D217" t="s">
        <v>7285</v>
      </c>
      <c r="E217" t="s">
        <v>6877</v>
      </c>
      <c r="F217">
        <v>1</v>
      </c>
      <c r="G217" t="str">
        <f t="shared" si="3"/>
        <v>('989013581','MOVISTAR','Movistar Empresas 90.9','OCUPADO',1),</v>
      </c>
    </row>
    <row r="218" spans="1:7" x14ac:dyDescent="0.25">
      <c r="A218">
        <v>217</v>
      </c>
      <c r="B218">
        <v>952325469</v>
      </c>
      <c r="C218" t="s">
        <v>7287</v>
      </c>
      <c r="D218" t="s">
        <v>7271</v>
      </c>
      <c r="E218" t="s">
        <v>6877</v>
      </c>
      <c r="F218">
        <v>1</v>
      </c>
      <c r="G218" t="str">
        <f t="shared" si="3"/>
        <v>('952325469','CLARO','Max Negocios 55.90','OCUPADO',1),</v>
      </c>
    </row>
    <row r="219" spans="1:7" x14ac:dyDescent="0.25">
      <c r="A219">
        <v>218</v>
      </c>
      <c r="B219">
        <v>941568624</v>
      </c>
      <c r="C219" t="s">
        <v>7289</v>
      </c>
      <c r="D219" t="s">
        <v>7281</v>
      </c>
      <c r="E219" t="s">
        <v>6877</v>
      </c>
      <c r="F219">
        <v>1</v>
      </c>
      <c r="G219" t="str">
        <f t="shared" si="3"/>
        <v>('941568624','MOVISTAR','Movistar Empresas 62.91','OCUPADO',1),</v>
      </c>
    </row>
    <row r="220" spans="1:7" x14ac:dyDescent="0.25">
      <c r="A220">
        <v>219</v>
      </c>
      <c r="B220">
        <v>986672273</v>
      </c>
      <c r="C220" t="s">
        <v>7287</v>
      </c>
      <c r="D220" t="s">
        <v>7270</v>
      </c>
      <c r="E220" t="s">
        <v>6877</v>
      </c>
      <c r="F220">
        <v>1</v>
      </c>
      <c r="G220" t="str">
        <f t="shared" si="3"/>
        <v>('986672273','CLARO','Max Negocios 49.90','OCUPADO',1),</v>
      </c>
    </row>
    <row r="221" spans="1:7" x14ac:dyDescent="0.25">
      <c r="A221">
        <v>220</v>
      </c>
      <c r="B221">
        <v>937165282</v>
      </c>
      <c r="C221" t="s">
        <v>7286</v>
      </c>
      <c r="D221" t="s">
        <v>7252</v>
      </c>
      <c r="E221" t="s">
        <v>6877</v>
      </c>
      <c r="F221">
        <v>1</v>
      </c>
      <c r="G221" t="str">
        <f t="shared" si="3"/>
        <v>('937165282','ENTEL','Empresa Plus 2.0 63.10','OCUPADO',1),</v>
      </c>
    </row>
    <row r="222" spans="1:7" x14ac:dyDescent="0.25">
      <c r="A222">
        <v>221</v>
      </c>
      <c r="B222">
        <v>940755360</v>
      </c>
      <c r="C222" t="s">
        <v>7286</v>
      </c>
      <c r="D222" t="s">
        <v>7263</v>
      </c>
      <c r="E222" t="s">
        <v>6877</v>
      </c>
      <c r="F222">
        <v>1</v>
      </c>
      <c r="G222" t="str">
        <f t="shared" si="3"/>
        <v>('940755360','ENTEL','Max Corporativo 29.91','OCUPADO',1),</v>
      </c>
    </row>
    <row r="223" spans="1:7" x14ac:dyDescent="0.25">
      <c r="A223">
        <v>222</v>
      </c>
      <c r="B223">
        <v>941572369</v>
      </c>
      <c r="C223" t="s">
        <v>7287</v>
      </c>
      <c r="D223" t="s">
        <v>7270</v>
      </c>
      <c r="E223" t="s">
        <v>6877</v>
      </c>
      <c r="F223">
        <v>1</v>
      </c>
      <c r="G223" t="str">
        <f t="shared" si="3"/>
        <v>('941572369','CLARO','Max Negocios 49.90','OCUPADO',1),</v>
      </c>
    </row>
    <row r="224" spans="1:7" x14ac:dyDescent="0.25">
      <c r="A224">
        <v>223</v>
      </c>
      <c r="B224">
        <v>922237925</v>
      </c>
      <c r="C224" t="s">
        <v>7286</v>
      </c>
      <c r="D224" t="s">
        <v>7243</v>
      </c>
      <c r="E224" t="s">
        <v>6877</v>
      </c>
      <c r="F224">
        <v>1</v>
      </c>
      <c r="G224" t="str">
        <f t="shared" si="3"/>
        <v>('922237925','ENTEL','Empresa CORP 2.0 69.9','OCUPADO',1),</v>
      </c>
    </row>
    <row r="225" spans="1:7" x14ac:dyDescent="0.25">
      <c r="A225">
        <v>224</v>
      </c>
      <c r="B225">
        <v>994856805</v>
      </c>
      <c r="C225" t="s">
        <v>7287</v>
      </c>
      <c r="D225" t="s">
        <v>7275</v>
      </c>
      <c r="E225" t="s">
        <v>6877</v>
      </c>
      <c r="F225">
        <v>1</v>
      </c>
      <c r="G225" t="str">
        <f t="shared" si="3"/>
        <v>('994856805','CLARO','Max Negocios Ilimitado 69.90','OCUPADO',1),</v>
      </c>
    </row>
    <row r="226" spans="1:7" x14ac:dyDescent="0.25">
      <c r="A226">
        <v>225</v>
      </c>
      <c r="B226">
        <v>936459866</v>
      </c>
      <c r="C226" t="s">
        <v>7286</v>
      </c>
      <c r="D226" t="s">
        <v>7243</v>
      </c>
      <c r="E226" t="s">
        <v>6877</v>
      </c>
      <c r="F226">
        <v>1</v>
      </c>
      <c r="G226" t="str">
        <f t="shared" si="3"/>
        <v>('936459866','ENTEL','Empresa CORP 2.0 69.9','OCUPADO',1),</v>
      </c>
    </row>
    <row r="227" spans="1:7" x14ac:dyDescent="0.25">
      <c r="A227">
        <v>226</v>
      </c>
      <c r="B227">
        <v>922253789</v>
      </c>
      <c r="C227" t="s">
        <v>7286</v>
      </c>
      <c r="D227" t="s">
        <v>7243</v>
      </c>
      <c r="E227" t="s">
        <v>6877</v>
      </c>
      <c r="F227">
        <v>1</v>
      </c>
      <c r="G227" t="str">
        <f t="shared" si="3"/>
        <v>('922253789','ENTEL','Empresa CORP 2.0 69.9','OCUPADO',1),</v>
      </c>
    </row>
    <row r="228" spans="1:7" x14ac:dyDescent="0.25">
      <c r="A228">
        <v>227</v>
      </c>
      <c r="B228">
        <v>958980753</v>
      </c>
      <c r="C228" t="s">
        <v>7287</v>
      </c>
      <c r="D228" t="s">
        <v>7271</v>
      </c>
      <c r="E228" t="s">
        <v>6877</v>
      </c>
      <c r="F228">
        <v>1</v>
      </c>
      <c r="G228" t="str">
        <f t="shared" si="3"/>
        <v>('958980753','CLARO','Max Negocios 55.90','OCUPADO',1),</v>
      </c>
    </row>
    <row r="229" spans="1:7" x14ac:dyDescent="0.25">
      <c r="A229">
        <v>228</v>
      </c>
      <c r="B229">
        <v>962386823</v>
      </c>
      <c r="C229" t="s">
        <v>7287</v>
      </c>
      <c r="D229" t="s">
        <v>7270</v>
      </c>
      <c r="E229" t="s">
        <v>6877</v>
      </c>
      <c r="F229">
        <v>1</v>
      </c>
      <c r="G229" t="str">
        <f t="shared" si="3"/>
        <v>('962386823','CLARO','Max Negocios 49.90','OCUPADO',1),</v>
      </c>
    </row>
    <row r="230" spans="1:7" x14ac:dyDescent="0.25">
      <c r="A230">
        <v>229</v>
      </c>
      <c r="B230">
        <v>908854107</v>
      </c>
      <c r="C230" t="s">
        <v>7286</v>
      </c>
      <c r="D230" t="s">
        <v>7245</v>
      </c>
      <c r="E230" t="s">
        <v>6877</v>
      </c>
      <c r="F230">
        <v>1</v>
      </c>
      <c r="G230" t="str">
        <f t="shared" si="3"/>
        <v>('908854107','ENTEL','Empresa CORP 59.9','OCUPADO',1),</v>
      </c>
    </row>
    <row r="231" spans="1:7" x14ac:dyDescent="0.25">
      <c r="A231">
        <v>230</v>
      </c>
      <c r="B231">
        <v>940476731</v>
      </c>
      <c r="C231" t="s">
        <v>7286</v>
      </c>
      <c r="D231" t="s">
        <v>7244</v>
      </c>
      <c r="E231" t="s">
        <v>6877</v>
      </c>
      <c r="F231">
        <v>1</v>
      </c>
      <c r="G231" t="str">
        <f t="shared" si="3"/>
        <v>('940476731','ENTEL','Empresa CORP 44.90','OCUPADO',1),</v>
      </c>
    </row>
    <row r="232" spans="1:7" x14ac:dyDescent="0.25">
      <c r="A232">
        <v>231</v>
      </c>
      <c r="B232">
        <v>958980520</v>
      </c>
      <c r="C232" t="s">
        <v>7287</v>
      </c>
      <c r="D232" t="s">
        <v>7271</v>
      </c>
      <c r="E232" t="s">
        <v>6877</v>
      </c>
      <c r="F232">
        <v>1</v>
      </c>
      <c r="G232" t="str">
        <f t="shared" si="3"/>
        <v>('958980520','CLARO','Max Negocios 55.90','OCUPADO',1),</v>
      </c>
    </row>
    <row r="233" spans="1:7" x14ac:dyDescent="0.25">
      <c r="A233">
        <v>232</v>
      </c>
      <c r="B233">
        <v>953806901</v>
      </c>
      <c r="C233" t="s">
        <v>7287</v>
      </c>
      <c r="D233" t="s">
        <v>7270</v>
      </c>
      <c r="E233" t="s">
        <v>6877</v>
      </c>
      <c r="F233">
        <v>1</v>
      </c>
      <c r="G233" t="str">
        <f t="shared" si="3"/>
        <v>('953806901','CLARO','Max Negocios 49.90','OCUPADO',1),</v>
      </c>
    </row>
    <row r="234" spans="1:7" x14ac:dyDescent="0.25">
      <c r="A234">
        <v>233</v>
      </c>
      <c r="B234">
        <v>962386828</v>
      </c>
      <c r="C234" t="s">
        <v>7286</v>
      </c>
      <c r="D234" t="s">
        <v>7244</v>
      </c>
      <c r="E234" t="s">
        <v>6877</v>
      </c>
      <c r="F234">
        <v>1</v>
      </c>
      <c r="G234" t="str">
        <f t="shared" si="3"/>
        <v>('962386828','ENTEL','Empresa CORP 44.90','OCUPADO',1),</v>
      </c>
    </row>
    <row r="235" spans="1:7" x14ac:dyDescent="0.25">
      <c r="A235">
        <v>234</v>
      </c>
      <c r="B235">
        <v>964313974</v>
      </c>
      <c r="C235" t="s">
        <v>7287</v>
      </c>
      <c r="D235" t="s">
        <v>7277</v>
      </c>
      <c r="E235" t="s">
        <v>6877</v>
      </c>
      <c r="F235">
        <v>1</v>
      </c>
      <c r="G235" t="str">
        <f t="shared" si="3"/>
        <v>('964313974','CLARO','Max Negocios Ilimitado 89.90','OCUPADO',1),</v>
      </c>
    </row>
    <row r="236" spans="1:7" x14ac:dyDescent="0.25">
      <c r="A236">
        <v>235</v>
      </c>
      <c r="B236">
        <v>919757060</v>
      </c>
      <c r="C236" t="s">
        <v>7286</v>
      </c>
      <c r="D236" t="s">
        <v>7247</v>
      </c>
      <c r="E236" t="s">
        <v>6877</v>
      </c>
      <c r="F236">
        <v>1</v>
      </c>
      <c r="G236" t="str">
        <f t="shared" si="3"/>
        <v>('919757060','ENTEL','Empresa Plus 2.0 52.9','OCUPADO',1),</v>
      </c>
    </row>
    <row r="237" spans="1:7" x14ac:dyDescent="0.25">
      <c r="A237">
        <v>236</v>
      </c>
      <c r="B237">
        <v>910198448</v>
      </c>
      <c r="C237" t="s">
        <v>7288</v>
      </c>
      <c r="D237" t="s">
        <v>7271</v>
      </c>
      <c r="E237" t="s">
        <v>7240</v>
      </c>
      <c r="F237">
        <v>1</v>
      </c>
      <c r="G237" t="str">
        <f t="shared" si="3"/>
        <v>('910198448','BITEL','Max Negocios 55.90','LIBRE',1),</v>
      </c>
    </row>
    <row r="238" spans="1:7" x14ac:dyDescent="0.25">
      <c r="A238">
        <v>237</v>
      </c>
      <c r="B238">
        <v>982569845</v>
      </c>
      <c r="C238" t="s">
        <v>7287</v>
      </c>
      <c r="D238" t="s">
        <v>7273</v>
      </c>
      <c r="E238" t="s">
        <v>6877</v>
      </c>
      <c r="F238">
        <v>1</v>
      </c>
      <c r="G238" t="str">
        <f t="shared" si="3"/>
        <v>('982569845','CLARO','Max Negocios 89.90','OCUPADO',1),</v>
      </c>
    </row>
    <row r="239" spans="1:7" x14ac:dyDescent="0.25">
      <c r="A239">
        <v>238</v>
      </c>
      <c r="B239">
        <v>932631648</v>
      </c>
      <c r="C239" t="s">
        <v>7287</v>
      </c>
      <c r="D239" t="s">
        <v>7271</v>
      </c>
      <c r="E239" t="s">
        <v>6877</v>
      </c>
      <c r="F239">
        <v>1</v>
      </c>
      <c r="G239" t="str">
        <f t="shared" si="3"/>
        <v>('932631648','CLARO','Max Negocios 55.90','OCUPADO',1),</v>
      </c>
    </row>
    <row r="240" spans="1:7" x14ac:dyDescent="0.25">
      <c r="A240">
        <v>239</v>
      </c>
      <c r="B240">
        <v>989641331</v>
      </c>
      <c r="C240" t="s">
        <v>7287</v>
      </c>
      <c r="D240" t="s">
        <v>7271</v>
      </c>
      <c r="E240" t="s">
        <v>7241</v>
      </c>
      <c r="F240">
        <v>1</v>
      </c>
      <c r="G240" t="str">
        <f t="shared" si="3"/>
        <v>('989641331','CLARO','Max Negocios 55.90','LIBRE ',1),</v>
      </c>
    </row>
    <row r="241" spans="1:7" x14ac:dyDescent="0.25">
      <c r="A241">
        <v>240</v>
      </c>
      <c r="B241">
        <v>952325456</v>
      </c>
      <c r="C241" t="s">
        <v>7287</v>
      </c>
      <c r="D241" t="s">
        <v>7271</v>
      </c>
      <c r="E241" t="s">
        <v>7240</v>
      </c>
      <c r="F241">
        <v>1</v>
      </c>
      <c r="G241" t="str">
        <f t="shared" si="3"/>
        <v>('952325456','CLARO','Max Negocios 55.90','LIBRE',1),</v>
      </c>
    </row>
    <row r="242" spans="1:7" x14ac:dyDescent="0.25">
      <c r="A242">
        <v>241</v>
      </c>
      <c r="B242">
        <v>922096780</v>
      </c>
      <c r="C242" t="s">
        <v>7286</v>
      </c>
      <c r="D242" t="s">
        <v>7243</v>
      </c>
      <c r="E242" t="s">
        <v>7241</v>
      </c>
      <c r="F242">
        <v>1</v>
      </c>
      <c r="G242" t="str">
        <f t="shared" si="3"/>
        <v>('922096780','ENTEL','Empresa CORP 2.0 69.9','LIBRE ',1),</v>
      </c>
    </row>
    <row r="243" spans="1:7" x14ac:dyDescent="0.25">
      <c r="A243">
        <v>242</v>
      </c>
      <c r="B243">
        <v>953806903</v>
      </c>
      <c r="C243" t="s">
        <v>7289</v>
      </c>
      <c r="D243" t="s">
        <v>7282</v>
      </c>
      <c r="E243" t="s">
        <v>6877</v>
      </c>
      <c r="F243">
        <v>1</v>
      </c>
      <c r="G243" t="str">
        <f t="shared" si="3"/>
        <v>('953806903','MOVISTAR','Movistar Empresas 77.9 III','OCUPADO',1),</v>
      </c>
    </row>
    <row r="244" spans="1:7" x14ac:dyDescent="0.25">
      <c r="A244">
        <v>243</v>
      </c>
      <c r="B244">
        <v>919289430</v>
      </c>
      <c r="C244" t="s">
        <v>7286</v>
      </c>
      <c r="D244" t="s">
        <v>7274</v>
      </c>
      <c r="E244" t="s">
        <v>6877</v>
      </c>
      <c r="F244">
        <v>1</v>
      </c>
      <c r="G244" t="str">
        <f t="shared" si="3"/>
        <v>('919289430','ENTEL','Max Negocios Ilimitado 55.90','OCUPADO',1),</v>
      </c>
    </row>
    <row r="245" spans="1:7" x14ac:dyDescent="0.25">
      <c r="A245">
        <v>244</v>
      </c>
      <c r="B245">
        <v>964313987</v>
      </c>
      <c r="C245" t="s">
        <v>7287</v>
      </c>
      <c r="D245" t="s">
        <v>7270</v>
      </c>
      <c r="E245" t="s">
        <v>7241</v>
      </c>
      <c r="F245">
        <v>1</v>
      </c>
      <c r="G245" t="str">
        <f t="shared" si="3"/>
        <v>('964313987','CLARO','Max Negocios 49.90','LIBRE ',1),</v>
      </c>
    </row>
    <row r="246" spans="1:7" x14ac:dyDescent="0.25">
      <c r="A246">
        <v>245</v>
      </c>
      <c r="B246">
        <v>914698406</v>
      </c>
      <c r="C246" t="s">
        <v>7287</v>
      </c>
      <c r="D246" t="s">
        <v>7270</v>
      </c>
      <c r="E246" t="s">
        <v>7241</v>
      </c>
      <c r="F246">
        <v>1</v>
      </c>
      <c r="G246" t="str">
        <f t="shared" si="3"/>
        <v>('914698406','CLARO','Max Negocios 49.90','LIBRE ',1),</v>
      </c>
    </row>
    <row r="247" spans="1:7" x14ac:dyDescent="0.25">
      <c r="A247">
        <v>246</v>
      </c>
      <c r="B247">
        <v>987204853</v>
      </c>
      <c r="C247" t="s">
        <v>7287</v>
      </c>
      <c r="D247" t="s">
        <v>7270</v>
      </c>
      <c r="E247" t="s">
        <v>7241</v>
      </c>
      <c r="F247">
        <v>1</v>
      </c>
      <c r="G247" t="str">
        <f t="shared" si="3"/>
        <v>('987204853','CLARO','Max Negocios 49.90','LIBRE ',1),</v>
      </c>
    </row>
    <row r="248" spans="1:7" x14ac:dyDescent="0.25">
      <c r="A248">
        <v>247</v>
      </c>
      <c r="B248">
        <v>994674981</v>
      </c>
      <c r="C248" t="s">
        <v>7287</v>
      </c>
      <c r="D248" t="s">
        <v>7270</v>
      </c>
      <c r="E248" t="s">
        <v>6877</v>
      </c>
      <c r="F248">
        <v>1</v>
      </c>
      <c r="G248" t="str">
        <f t="shared" si="3"/>
        <v>('994674981','CLARO','Max Negocios 49.90','OCUPADO',1),</v>
      </c>
    </row>
    <row r="249" spans="1:7" x14ac:dyDescent="0.25">
      <c r="A249">
        <v>248</v>
      </c>
      <c r="B249">
        <v>994649983</v>
      </c>
      <c r="C249" t="s">
        <v>7286</v>
      </c>
      <c r="D249" t="s">
        <v>7257</v>
      </c>
      <c r="E249" t="s">
        <v>6877</v>
      </c>
      <c r="F249">
        <v>1</v>
      </c>
      <c r="G249" t="str">
        <f t="shared" si="3"/>
        <v>('994649983','ENTEL','Empresa Plus 76.90','OCUPADO',1),</v>
      </c>
    </row>
    <row r="250" spans="1:7" x14ac:dyDescent="0.25">
      <c r="A250">
        <v>249</v>
      </c>
      <c r="B250">
        <v>941573889</v>
      </c>
      <c r="C250" t="s">
        <v>7287</v>
      </c>
      <c r="D250" t="s">
        <v>7271</v>
      </c>
      <c r="E250" t="s">
        <v>6877</v>
      </c>
      <c r="F250">
        <v>1</v>
      </c>
      <c r="G250" t="str">
        <f t="shared" si="3"/>
        <v>('941573889','CLARO','Max Negocios 55.90','OCUPADO',1),</v>
      </c>
    </row>
    <row r="251" spans="1:7" x14ac:dyDescent="0.25">
      <c r="A251">
        <v>250</v>
      </c>
      <c r="B251">
        <v>992761087</v>
      </c>
      <c r="C251" t="s">
        <v>7287</v>
      </c>
      <c r="D251" t="s">
        <v>7270</v>
      </c>
      <c r="E251" t="s">
        <v>6877</v>
      </c>
      <c r="F251">
        <v>1</v>
      </c>
      <c r="G251" t="str">
        <f t="shared" si="3"/>
        <v>('992761087','CLARO','Max Negocios 49.90','OCUPADO',1),</v>
      </c>
    </row>
    <row r="252" spans="1:7" x14ac:dyDescent="0.25">
      <c r="A252">
        <v>251</v>
      </c>
      <c r="B252">
        <v>991267231</v>
      </c>
      <c r="C252" t="s">
        <v>7287</v>
      </c>
      <c r="D252" t="s">
        <v>7262</v>
      </c>
      <c r="E252" t="s">
        <v>6877</v>
      </c>
      <c r="F252">
        <v>1</v>
      </c>
      <c r="G252" t="str">
        <f t="shared" si="3"/>
        <v>('991267231','CLARO','Max Corporativo 29.90','OCUPADO',1),</v>
      </c>
    </row>
    <row r="253" spans="1:7" x14ac:dyDescent="0.25">
      <c r="A253">
        <v>252</v>
      </c>
      <c r="B253">
        <v>989748685</v>
      </c>
      <c r="C253" t="s">
        <v>7289</v>
      </c>
      <c r="D253" t="s">
        <v>7281</v>
      </c>
      <c r="E253" t="s">
        <v>6877</v>
      </c>
      <c r="F253">
        <v>1</v>
      </c>
      <c r="G253" t="str">
        <f t="shared" si="3"/>
        <v>('989748685','MOVISTAR','Movistar Empresas 62.91','OCUPADO',1),</v>
      </c>
    </row>
    <row r="254" spans="1:7" x14ac:dyDescent="0.25">
      <c r="A254">
        <v>253</v>
      </c>
      <c r="B254">
        <v>989642500</v>
      </c>
      <c r="C254" t="s">
        <v>7287</v>
      </c>
      <c r="D254" t="s">
        <v>7271</v>
      </c>
      <c r="E254" t="s">
        <v>6877</v>
      </c>
      <c r="F254">
        <v>1</v>
      </c>
      <c r="G254" t="str">
        <f t="shared" si="3"/>
        <v>('989642500','CLARO','Max Negocios 55.90','OCUPADO',1),</v>
      </c>
    </row>
    <row r="255" spans="1:7" x14ac:dyDescent="0.25">
      <c r="A255">
        <v>254</v>
      </c>
      <c r="B255">
        <v>989642258</v>
      </c>
      <c r="C255" t="s">
        <v>7287</v>
      </c>
      <c r="D255" t="s">
        <v>7271</v>
      </c>
      <c r="E255" t="s">
        <v>6877</v>
      </c>
      <c r="F255">
        <v>1</v>
      </c>
      <c r="G255" t="str">
        <f t="shared" si="3"/>
        <v>('989642258','CLARO','Max Negocios 55.90','OCUPADO',1),</v>
      </c>
    </row>
    <row r="256" spans="1:7" x14ac:dyDescent="0.25">
      <c r="A256">
        <v>255</v>
      </c>
      <c r="B256">
        <v>989641049</v>
      </c>
      <c r="C256" t="s">
        <v>7287</v>
      </c>
      <c r="D256" t="s">
        <v>7271</v>
      </c>
      <c r="E256" t="s">
        <v>6877</v>
      </c>
      <c r="F256">
        <v>1</v>
      </c>
      <c r="G256" t="str">
        <f t="shared" si="3"/>
        <v>('989641049','CLARO','Max Negocios 55.90','OCUPADO',1),</v>
      </c>
    </row>
    <row r="257" spans="1:7" x14ac:dyDescent="0.25">
      <c r="A257">
        <v>256</v>
      </c>
      <c r="B257">
        <v>989640498</v>
      </c>
      <c r="C257" t="s">
        <v>7287</v>
      </c>
      <c r="D257" t="s">
        <v>7271</v>
      </c>
      <c r="E257" t="s">
        <v>6877</v>
      </c>
      <c r="F257">
        <v>1</v>
      </c>
      <c r="G257" t="str">
        <f t="shared" si="3"/>
        <v>('989640498','CLARO','Max Negocios 55.90','OCUPADO',1),</v>
      </c>
    </row>
    <row r="258" spans="1:7" x14ac:dyDescent="0.25">
      <c r="A258">
        <v>257</v>
      </c>
      <c r="B258">
        <v>989639143</v>
      </c>
      <c r="C258" t="s">
        <v>7287</v>
      </c>
      <c r="D258" t="s">
        <v>7271</v>
      </c>
      <c r="E258" t="s">
        <v>6877</v>
      </c>
      <c r="F258">
        <v>1</v>
      </c>
      <c r="G258" t="str">
        <f t="shared" si="3"/>
        <v>('989639143','CLARO','Max Negocios 55.90','OCUPADO',1),</v>
      </c>
    </row>
    <row r="259" spans="1:7" x14ac:dyDescent="0.25">
      <c r="A259">
        <v>258</v>
      </c>
      <c r="B259">
        <v>987910117</v>
      </c>
      <c r="C259" t="s">
        <v>7287</v>
      </c>
      <c r="D259" t="s">
        <v>7271</v>
      </c>
      <c r="E259" t="s">
        <v>6877</v>
      </c>
      <c r="F259">
        <v>1</v>
      </c>
      <c r="G259" t="str">
        <f t="shared" ref="G259:G322" si="4">_xlfn.CONCAT("('",B259,"','",C259,"','",D259,"','",E259,"',","",F259,"","","),")</f>
        <v>('987910117','CLARO','Max Negocios 55.90','OCUPADO',1),</v>
      </c>
    </row>
    <row r="260" spans="1:7" x14ac:dyDescent="0.25">
      <c r="A260">
        <v>259</v>
      </c>
      <c r="B260">
        <v>987442486</v>
      </c>
      <c r="C260" t="s">
        <v>7287</v>
      </c>
      <c r="D260" t="s">
        <v>7268</v>
      </c>
      <c r="E260" t="s">
        <v>6877</v>
      </c>
      <c r="F260">
        <v>1</v>
      </c>
      <c r="G260" t="str">
        <f t="shared" si="4"/>
        <v>('987442486','CLARO','Max Negocios 29.90','OCUPADO',1),</v>
      </c>
    </row>
    <row r="261" spans="1:7" x14ac:dyDescent="0.25">
      <c r="A261">
        <v>260</v>
      </c>
      <c r="B261">
        <v>987204838</v>
      </c>
      <c r="C261" t="s">
        <v>7287</v>
      </c>
      <c r="D261" t="s">
        <v>7267</v>
      </c>
      <c r="E261" t="s">
        <v>6877</v>
      </c>
      <c r="F261">
        <v>1</v>
      </c>
      <c r="G261" t="str">
        <f t="shared" si="4"/>
        <v>('987204838','CLARO','Max Negocio Ilimitado 85.00','OCUPADO',1),</v>
      </c>
    </row>
    <row r="262" spans="1:7" x14ac:dyDescent="0.25">
      <c r="A262">
        <v>261</v>
      </c>
      <c r="B262">
        <v>987204837</v>
      </c>
      <c r="C262" t="s">
        <v>7286</v>
      </c>
      <c r="D262" t="s">
        <v>7257</v>
      </c>
      <c r="E262" t="s">
        <v>6877</v>
      </c>
      <c r="F262">
        <v>1</v>
      </c>
      <c r="G262" t="str">
        <f t="shared" si="4"/>
        <v>('987204837','ENTEL','Empresa Plus 76.90','OCUPADO',1),</v>
      </c>
    </row>
    <row r="263" spans="1:7" x14ac:dyDescent="0.25">
      <c r="A263">
        <v>262</v>
      </c>
      <c r="B263">
        <v>941569043</v>
      </c>
      <c r="C263" t="s">
        <v>7287</v>
      </c>
      <c r="D263" t="s">
        <v>7274</v>
      </c>
      <c r="E263" t="s">
        <v>6877</v>
      </c>
      <c r="F263">
        <v>1</v>
      </c>
      <c r="G263" t="str">
        <f t="shared" si="4"/>
        <v>('941569043','CLARO','Max Negocios Ilimitado 55.90','OCUPADO',1),</v>
      </c>
    </row>
    <row r="264" spans="1:7" x14ac:dyDescent="0.25">
      <c r="A264">
        <v>263</v>
      </c>
      <c r="B264">
        <v>986672270</v>
      </c>
      <c r="C264" t="s">
        <v>7287</v>
      </c>
      <c r="D264" t="s">
        <v>7277</v>
      </c>
      <c r="E264" t="s">
        <v>6877</v>
      </c>
      <c r="F264">
        <v>1</v>
      </c>
      <c r="G264" t="str">
        <f t="shared" si="4"/>
        <v>('986672270','CLARO','Max Negocios Ilimitado 89.90','OCUPADO',1),</v>
      </c>
    </row>
    <row r="265" spans="1:7" x14ac:dyDescent="0.25">
      <c r="A265">
        <v>264</v>
      </c>
      <c r="B265">
        <v>986672264</v>
      </c>
      <c r="C265" t="s">
        <v>7287</v>
      </c>
      <c r="D265" t="s">
        <v>7270</v>
      </c>
      <c r="E265" t="s">
        <v>6877</v>
      </c>
      <c r="F265">
        <v>1</v>
      </c>
      <c r="G265" t="str">
        <f t="shared" si="4"/>
        <v>('986672264','CLARO','Max Negocios 49.90','OCUPADO',1),</v>
      </c>
    </row>
    <row r="266" spans="1:7" x14ac:dyDescent="0.25">
      <c r="A266">
        <v>265</v>
      </c>
      <c r="B266">
        <v>983279529</v>
      </c>
      <c r="C266" t="s">
        <v>7287</v>
      </c>
      <c r="D266" t="s">
        <v>7270</v>
      </c>
      <c r="E266" t="s">
        <v>6877</v>
      </c>
      <c r="F266">
        <v>1</v>
      </c>
      <c r="G266" t="str">
        <f t="shared" si="4"/>
        <v>('983279529','CLARO','Max Negocios 49.90','OCUPADO',1),</v>
      </c>
    </row>
    <row r="267" spans="1:7" x14ac:dyDescent="0.25">
      <c r="A267">
        <v>266</v>
      </c>
      <c r="B267">
        <v>979706580</v>
      </c>
      <c r="C267" t="s">
        <v>7287</v>
      </c>
      <c r="D267" t="s">
        <v>7274</v>
      </c>
      <c r="E267" t="s">
        <v>6877</v>
      </c>
      <c r="F267">
        <v>1</v>
      </c>
      <c r="G267" t="str">
        <f t="shared" si="4"/>
        <v>('979706580','CLARO','Max Negocios Ilimitado 55.90','OCUPADO',1),</v>
      </c>
    </row>
    <row r="268" spans="1:7" x14ac:dyDescent="0.25">
      <c r="A268">
        <v>267</v>
      </c>
      <c r="B268">
        <v>979356205</v>
      </c>
      <c r="C268" t="s">
        <v>7286</v>
      </c>
      <c r="D268" t="s">
        <v>7256</v>
      </c>
      <c r="E268" t="s">
        <v>6877</v>
      </c>
      <c r="F268">
        <v>1</v>
      </c>
      <c r="G268" t="str">
        <f t="shared" si="4"/>
        <v>('979356205','ENTEL','Empresa Plus 63.90','OCUPADO',1),</v>
      </c>
    </row>
    <row r="269" spans="1:7" x14ac:dyDescent="0.25">
      <c r="A269">
        <v>268</v>
      </c>
      <c r="B269">
        <v>973383796</v>
      </c>
      <c r="C269" t="s">
        <v>7287</v>
      </c>
      <c r="D269" t="s">
        <v>7270</v>
      </c>
      <c r="E269" t="s">
        <v>6877</v>
      </c>
      <c r="F269">
        <v>1</v>
      </c>
      <c r="G269" t="str">
        <f t="shared" si="4"/>
        <v>('973383796','CLARO','Max Negocios 49.90','OCUPADO',1),</v>
      </c>
    </row>
    <row r="270" spans="1:7" x14ac:dyDescent="0.25">
      <c r="A270">
        <v>269</v>
      </c>
      <c r="B270">
        <v>966701310</v>
      </c>
      <c r="C270" t="s">
        <v>7286</v>
      </c>
      <c r="D270" t="s">
        <v>7244</v>
      </c>
      <c r="E270" t="s">
        <v>6877</v>
      </c>
      <c r="F270">
        <v>1</v>
      </c>
      <c r="G270" t="str">
        <f t="shared" si="4"/>
        <v>('966701310','ENTEL','Empresa CORP 44.90','OCUPADO',1),</v>
      </c>
    </row>
    <row r="271" spans="1:7" x14ac:dyDescent="0.25">
      <c r="A271">
        <v>270</v>
      </c>
      <c r="B271">
        <v>966400062</v>
      </c>
      <c r="C271" t="s">
        <v>7287</v>
      </c>
      <c r="D271" t="s">
        <v>7270</v>
      </c>
      <c r="E271" t="s">
        <v>6877</v>
      </c>
      <c r="F271">
        <v>1</v>
      </c>
      <c r="G271" t="str">
        <f t="shared" si="4"/>
        <v>('966400062','CLARO','Max Negocios 49.90','OCUPADO',1),</v>
      </c>
    </row>
    <row r="272" spans="1:7" x14ac:dyDescent="0.25">
      <c r="A272">
        <v>271</v>
      </c>
      <c r="B272">
        <v>961748877</v>
      </c>
      <c r="C272" t="s">
        <v>7287</v>
      </c>
      <c r="D272" t="s">
        <v>7271</v>
      </c>
      <c r="E272" t="s">
        <v>6877</v>
      </c>
      <c r="F272">
        <v>1</v>
      </c>
      <c r="G272" t="str">
        <f t="shared" si="4"/>
        <v>('961748877','CLARO','Max Negocios 55.90','OCUPADO',1),</v>
      </c>
    </row>
    <row r="273" spans="1:7" x14ac:dyDescent="0.25">
      <c r="A273">
        <v>272</v>
      </c>
      <c r="B273">
        <v>958266693</v>
      </c>
      <c r="C273" t="s">
        <v>7287</v>
      </c>
      <c r="D273" t="s">
        <v>7270</v>
      </c>
      <c r="E273" t="s">
        <v>6877</v>
      </c>
      <c r="F273">
        <v>1</v>
      </c>
      <c r="G273" t="str">
        <f t="shared" si="4"/>
        <v>('958266693','CLARO','Max Negocios 49.90','OCUPADO',1),</v>
      </c>
    </row>
    <row r="274" spans="1:7" x14ac:dyDescent="0.25">
      <c r="A274">
        <v>273</v>
      </c>
      <c r="B274">
        <v>957388971</v>
      </c>
      <c r="C274" t="s">
        <v>7287</v>
      </c>
      <c r="D274" t="s">
        <v>7274</v>
      </c>
      <c r="E274" t="s">
        <v>6877</v>
      </c>
      <c r="F274">
        <v>1</v>
      </c>
      <c r="G274" t="str">
        <f t="shared" si="4"/>
        <v>('957388971','CLARO','Max Negocios Ilimitado 55.90','OCUPADO',1),</v>
      </c>
    </row>
    <row r="275" spans="1:7" x14ac:dyDescent="0.25">
      <c r="A275">
        <v>274</v>
      </c>
      <c r="B275">
        <v>957388314</v>
      </c>
      <c r="C275" t="s">
        <v>7287</v>
      </c>
      <c r="D275" t="s">
        <v>7270</v>
      </c>
      <c r="E275" t="s">
        <v>6877</v>
      </c>
      <c r="F275">
        <v>1</v>
      </c>
      <c r="G275" t="str">
        <f t="shared" si="4"/>
        <v>('957388314','CLARO','Max Negocios 49.90','OCUPADO',1),</v>
      </c>
    </row>
    <row r="276" spans="1:7" x14ac:dyDescent="0.25">
      <c r="A276">
        <v>275</v>
      </c>
      <c r="B276">
        <v>953806895</v>
      </c>
      <c r="C276" t="s">
        <v>7287</v>
      </c>
      <c r="D276" t="s">
        <v>7270</v>
      </c>
      <c r="E276" t="s">
        <v>6877</v>
      </c>
      <c r="F276">
        <v>1</v>
      </c>
      <c r="G276" t="str">
        <f t="shared" si="4"/>
        <v>('953806895','CLARO','Max Negocios 49.90','OCUPADO',1),</v>
      </c>
    </row>
    <row r="277" spans="1:7" x14ac:dyDescent="0.25">
      <c r="A277">
        <v>276</v>
      </c>
      <c r="B277">
        <v>949713743</v>
      </c>
      <c r="C277" t="s">
        <v>7287</v>
      </c>
      <c r="D277" t="s">
        <v>7271</v>
      </c>
      <c r="E277" t="s">
        <v>6877</v>
      </c>
      <c r="F277">
        <v>1</v>
      </c>
      <c r="G277" t="str">
        <f t="shared" si="4"/>
        <v>('949713743','CLARO','Max Negocios 55.90','OCUPADO',1),</v>
      </c>
    </row>
    <row r="278" spans="1:7" x14ac:dyDescent="0.25">
      <c r="A278">
        <v>277</v>
      </c>
      <c r="B278">
        <v>949145936</v>
      </c>
      <c r="C278" t="s">
        <v>7287</v>
      </c>
      <c r="D278" t="s">
        <v>7271</v>
      </c>
      <c r="E278" t="s">
        <v>6877</v>
      </c>
      <c r="F278">
        <v>1</v>
      </c>
      <c r="G278" t="str">
        <f t="shared" si="4"/>
        <v>('949145936','CLARO','Max Negocios 55.90','OCUPADO',1),</v>
      </c>
    </row>
    <row r="279" spans="1:7" x14ac:dyDescent="0.25">
      <c r="A279">
        <v>278</v>
      </c>
      <c r="B279">
        <v>949145884</v>
      </c>
      <c r="C279" t="s">
        <v>7287</v>
      </c>
      <c r="D279" t="s">
        <v>7271</v>
      </c>
      <c r="E279" t="s">
        <v>6877</v>
      </c>
      <c r="F279">
        <v>1</v>
      </c>
      <c r="G279" t="str">
        <f t="shared" si="4"/>
        <v>('949145884','CLARO','Max Negocios 55.90','OCUPADO',1),</v>
      </c>
    </row>
    <row r="280" spans="1:7" x14ac:dyDescent="0.25">
      <c r="A280">
        <v>279</v>
      </c>
      <c r="B280">
        <v>947194277</v>
      </c>
      <c r="C280" t="s">
        <v>7286</v>
      </c>
      <c r="D280" t="s">
        <v>7254</v>
      </c>
      <c r="E280" t="s">
        <v>6877</v>
      </c>
      <c r="F280">
        <v>1</v>
      </c>
      <c r="G280" t="str">
        <f t="shared" si="4"/>
        <v>('947194277','ENTEL','Empresa Plus 49.90','OCUPADO',1),</v>
      </c>
    </row>
    <row r="281" spans="1:7" x14ac:dyDescent="0.25">
      <c r="A281">
        <v>280</v>
      </c>
      <c r="B281">
        <v>941571850</v>
      </c>
      <c r="C281" t="s">
        <v>7287</v>
      </c>
      <c r="D281" t="s">
        <v>7269</v>
      </c>
      <c r="E281" t="s">
        <v>6877</v>
      </c>
      <c r="F281">
        <v>1</v>
      </c>
      <c r="G281" t="str">
        <f t="shared" si="4"/>
        <v>('941571850','CLARO','Max Negocios 39.90','OCUPADO',1),</v>
      </c>
    </row>
    <row r="282" spans="1:7" x14ac:dyDescent="0.25">
      <c r="A282">
        <v>281</v>
      </c>
      <c r="B282">
        <v>941568950</v>
      </c>
      <c r="C282" t="s">
        <v>7287</v>
      </c>
      <c r="D282" t="s">
        <v>7269</v>
      </c>
      <c r="E282" t="s">
        <v>6877</v>
      </c>
      <c r="F282">
        <v>1</v>
      </c>
      <c r="G282" t="str">
        <f t="shared" si="4"/>
        <v>('941568950','CLARO','Max Negocios 39.90','OCUPADO',1),</v>
      </c>
    </row>
    <row r="283" spans="1:7" x14ac:dyDescent="0.25">
      <c r="A283">
        <v>282</v>
      </c>
      <c r="B283">
        <v>941240378</v>
      </c>
      <c r="C283" t="s">
        <v>7287</v>
      </c>
      <c r="D283" t="s">
        <v>7278</v>
      </c>
      <c r="E283" t="s">
        <v>6877</v>
      </c>
      <c r="F283">
        <v>1</v>
      </c>
      <c r="G283" t="str">
        <f t="shared" si="4"/>
        <v>('941240378','CLARO','Max Negocios Ilimitado 95.90','OCUPADO',1),</v>
      </c>
    </row>
    <row r="284" spans="1:7" x14ac:dyDescent="0.25">
      <c r="A284">
        <v>283</v>
      </c>
      <c r="B284">
        <v>919747372</v>
      </c>
      <c r="C284" t="s">
        <v>7286</v>
      </c>
      <c r="D284" t="s">
        <v>7247</v>
      </c>
      <c r="E284" t="s">
        <v>6877</v>
      </c>
      <c r="F284">
        <v>1</v>
      </c>
      <c r="G284" t="str">
        <f t="shared" si="4"/>
        <v>('919747372','ENTEL','Empresa Plus 2.0 52.9','OCUPADO',1),</v>
      </c>
    </row>
    <row r="285" spans="1:7" x14ac:dyDescent="0.25">
      <c r="A285">
        <v>284</v>
      </c>
      <c r="B285">
        <v>919289623</v>
      </c>
      <c r="C285" t="s">
        <v>7286</v>
      </c>
      <c r="D285" t="s">
        <v>7247</v>
      </c>
      <c r="E285" t="s">
        <v>6877</v>
      </c>
      <c r="F285">
        <v>1</v>
      </c>
      <c r="G285" t="str">
        <f t="shared" si="4"/>
        <v>('919289623','ENTEL','Empresa Plus 2.0 52.9','OCUPADO',1),</v>
      </c>
    </row>
    <row r="286" spans="1:7" x14ac:dyDescent="0.25">
      <c r="A286">
        <v>285</v>
      </c>
      <c r="B286">
        <v>919289505</v>
      </c>
      <c r="C286" t="s">
        <v>7286</v>
      </c>
      <c r="D286" t="s">
        <v>7247</v>
      </c>
      <c r="E286" t="s">
        <v>6877</v>
      </c>
      <c r="F286">
        <v>1</v>
      </c>
      <c r="G286" t="str">
        <f t="shared" si="4"/>
        <v>('919289505','ENTEL','Empresa Plus 2.0 52.9','OCUPADO',1),</v>
      </c>
    </row>
    <row r="287" spans="1:7" x14ac:dyDescent="0.25">
      <c r="A287">
        <v>286</v>
      </c>
      <c r="B287">
        <v>919289457</v>
      </c>
      <c r="C287" t="s">
        <v>7286</v>
      </c>
      <c r="D287" t="s">
        <v>7248</v>
      </c>
      <c r="E287" t="s">
        <v>6877</v>
      </c>
      <c r="F287">
        <v>1</v>
      </c>
      <c r="G287" t="str">
        <f t="shared" si="4"/>
        <v>('919289457','ENTEL','Empresa Plus 2.0 55.9','OCUPADO',1),</v>
      </c>
    </row>
    <row r="288" spans="1:7" x14ac:dyDescent="0.25">
      <c r="A288">
        <v>287</v>
      </c>
      <c r="B288">
        <v>919286370</v>
      </c>
      <c r="C288" t="s">
        <v>7286</v>
      </c>
      <c r="D288" t="s">
        <v>7248</v>
      </c>
      <c r="E288" t="s">
        <v>6877</v>
      </c>
      <c r="F288">
        <v>1</v>
      </c>
      <c r="G288" t="str">
        <f t="shared" si="4"/>
        <v>('919286370','ENTEL','Empresa Plus 2.0 55.9','OCUPADO',1),</v>
      </c>
    </row>
    <row r="289" spans="1:7" x14ac:dyDescent="0.25">
      <c r="A289">
        <v>288</v>
      </c>
      <c r="B289">
        <v>927718205</v>
      </c>
      <c r="C289" t="s">
        <v>7288</v>
      </c>
      <c r="D289" t="s">
        <v>7271</v>
      </c>
      <c r="E289" t="s">
        <v>6877</v>
      </c>
      <c r="F289">
        <v>1</v>
      </c>
      <c r="G289" t="str">
        <f t="shared" si="4"/>
        <v>('927718205','BITEL','Max Negocios 55.90','OCUPADO',1),</v>
      </c>
    </row>
    <row r="290" spans="1:7" x14ac:dyDescent="0.25">
      <c r="A290">
        <v>289</v>
      </c>
      <c r="B290">
        <v>914303977</v>
      </c>
      <c r="C290" t="s">
        <v>7287</v>
      </c>
      <c r="D290" t="s">
        <v>7271</v>
      </c>
      <c r="E290" t="s">
        <v>6877</v>
      </c>
      <c r="F290">
        <v>1</v>
      </c>
      <c r="G290" t="str">
        <f t="shared" si="4"/>
        <v>('914303977','CLARO','Max Negocios 55.90','OCUPADO',1),</v>
      </c>
    </row>
    <row r="291" spans="1:7" x14ac:dyDescent="0.25">
      <c r="A291">
        <v>290</v>
      </c>
      <c r="B291">
        <v>914303956</v>
      </c>
      <c r="C291" t="s">
        <v>7287</v>
      </c>
      <c r="D291" t="s">
        <v>7271</v>
      </c>
      <c r="E291" t="s">
        <v>6877</v>
      </c>
      <c r="F291">
        <v>1</v>
      </c>
      <c r="G291" t="str">
        <f t="shared" si="4"/>
        <v>('914303956','CLARO','Max Negocios 55.90','OCUPADO',1),</v>
      </c>
    </row>
    <row r="292" spans="1:7" x14ac:dyDescent="0.25">
      <c r="A292">
        <v>146</v>
      </c>
      <c r="B292">
        <v>913014957</v>
      </c>
      <c r="C292" t="s">
        <v>7287</v>
      </c>
      <c r="D292" t="s">
        <v>7265</v>
      </c>
      <c r="E292" t="s">
        <v>6877</v>
      </c>
      <c r="F292">
        <v>1</v>
      </c>
      <c r="G292" t="str">
        <f t="shared" si="4"/>
        <v>('913014957','CLARO','Max Negocio Ilimitado 65.00','OCUPADO',1),</v>
      </c>
    </row>
    <row r="293" spans="1:7" x14ac:dyDescent="0.25">
      <c r="A293">
        <v>292</v>
      </c>
      <c r="B293">
        <v>913014956</v>
      </c>
      <c r="C293" t="s">
        <v>7287</v>
      </c>
      <c r="D293" t="s">
        <v>7270</v>
      </c>
      <c r="E293" t="s">
        <v>6877</v>
      </c>
      <c r="F293">
        <v>1</v>
      </c>
      <c r="G293" t="str">
        <f t="shared" si="4"/>
        <v>('913014956','CLARO','Max Negocios 49.90','OCUPADO',1),</v>
      </c>
    </row>
    <row r="294" spans="1:7" x14ac:dyDescent="0.25">
      <c r="A294">
        <v>293</v>
      </c>
      <c r="B294">
        <v>913014951</v>
      </c>
      <c r="C294" t="s">
        <v>7287</v>
      </c>
      <c r="D294" t="s">
        <v>7266</v>
      </c>
      <c r="E294" t="s">
        <v>6877</v>
      </c>
      <c r="F294">
        <v>1</v>
      </c>
      <c r="G294" t="str">
        <f t="shared" si="4"/>
        <v>('913014951','CLARO','Max Negocio Ilimitado 69.90','OCUPADO',1),</v>
      </c>
    </row>
    <row r="295" spans="1:7" x14ac:dyDescent="0.25">
      <c r="A295">
        <v>294</v>
      </c>
      <c r="B295">
        <v>908854112</v>
      </c>
      <c r="C295" t="s">
        <v>7286</v>
      </c>
      <c r="D295" t="s">
        <v>7245</v>
      </c>
      <c r="E295" t="s">
        <v>6877</v>
      </c>
      <c r="F295">
        <v>1</v>
      </c>
      <c r="G295" t="str">
        <f t="shared" si="4"/>
        <v>('908854112','ENTEL','Empresa CORP 59.9','OCUPADO',1),</v>
      </c>
    </row>
    <row r="296" spans="1:7" x14ac:dyDescent="0.25">
      <c r="A296">
        <v>295</v>
      </c>
      <c r="B296">
        <v>986666471</v>
      </c>
      <c r="C296" t="s">
        <v>7287</v>
      </c>
      <c r="D296" t="s">
        <v>7270</v>
      </c>
      <c r="E296" t="s">
        <v>6877</v>
      </c>
      <c r="F296">
        <v>1</v>
      </c>
      <c r="G296" t="str">
        <f t="shared" si="4"/>
        <v>('986666471','CLARO','Max Negocios 49.90','OCUPADO',1),</v>
      </c>
    </row>
    <row r="297" spans="1:7" x14ac:dyDescent="0.25">
      <c r="A297">
        <v>296</v>
      </c>
      <c r="B297">
        <v>983279531</v>
      </c>
      <c r="C297" t="s">
        <v>7287</v>
      </c>
      <c r="D297" t="s">
        <v>7284</v>
      </c>
      <c r="E297" t="s">
        <v>6877</v>
      </c>
      <c r="F297">
        <v>1</v>
      </c>
      <c r="G297" t="str">
        <f t="shared" si="4"/>
        <v>('983279531','CLARO','Movistar Empresas 83.9 II','OCUPADO',1),</v>
      </c>
    </row>
    <row r="298" spans="1:7" x14ac:dyDescent="0.25">
      <c r="A298">
        <v>297</v>
      </c>
      <c r="B298">
        <v>908854117</v>
      </c>
      <c r="C298" t="s">
        <v>7286</v>
      </c>
      <c r="D298" t="s">
        <v>7242</v>
      </c>
      <c r="E298" t="s">
        <v>6877</v>
      </c>
      <c r="F298">
        <v>1</v>
      </c>
      <c r="G298" t="str">
        <f t="shared" si="4"/>
        <v>('908854117','ENTEL','Empresa CORP 2.0 59.9','OCUPADO',1),</v>
      </c>
    </row>
    <row r="299" spans="1:7" x14ac:dyDescent="0.25">
      <c r="A299">
        <v>298</v>
      </c>
      <c r="B299">
        <v>918525995</v>
      </c>
      <c r="C299" t="s">
        <v>7288</v>
      </c>
      <c r="D299" t="s">
        <v>7271</v>
      </c>
      <c r="E299" t="s">
        <v>6877</v>
      </c>
      <c r="F299">
        <v>1</v>
      </c>
      <c r="G299" t="str">
        <f t="shared" si="4"/>
        <v>('918525995','BITEL','Max Negocios 55.90','OCUPADO',1),</v>
      </c>
    </row>
    <row r="300" spans="1:7" x14ac:dyDescent="0.25">
      <c r="A300">
        <v>299</v>
      </c>
      <c r="B300">
        <v>922248039</v>
      </c>
      <c r="C300" t="s">
        <v>7286</v>
      </c>
      <c r="D300" t="s">
        <v>7243</v>
      </c>
      <c r="E300" t="s">
        <v>6877</v>
      </c>
      <c r="F300">
        <v>1</v>
      </c>
      <c r="G300" t="str">
        <f t="shared" si="4"/>
        <v>('922248039','ENTEL','Empresa CORP 2.0 69.9','OCUPADO',1),</v>
      </c>
    </row>
    <row r="301" spans="1:7" x14ac:dyDescent="0.25">
      <c r="A301">
        <v>300</v>
      </c>
      <c r="B301">
        <v>979706592</v>
      </c>
      <c r="C301" t="s">
        <v>7287</v>
      </c>
      <c r="D301" t="s">
        <v>7270</v>
      </c>
      <c r="E301" t="s">
        <v>6877</v>
      </c>
      <c r="F301">
        <v>1</v>
      </c>
      <c r="G301" t="str">
        <f t="shared" si="4"/>
        <v>('979706592','CLARO','Max Negocios 49.90','OCUPADO',1),</v>
      </c>
    </row>
    <row r="302" spans="1:7" x14ac:dyDescent="0.25">
      <c r="A302">
        <v>301</v>
      </c>
      <c r="B302">
        <v>936149703</v>
      </c>
      <c r="C302" t="s">
        <v>7286</v>
      </c>
      <c r="D302" t="s">
        <v>7243</v>
      </c>
      <c r="E302" t="s">
        <v>6877</v>
      </c>
      <c r="F302">
        <v>1</v>
      </c>
      <c r="G302" t="str">
        <f t="shared" si="4"/>
        <v>('936149703','ENTEL','Empresa CORP 2.0 69.9','OCUPADO',1),</v>
      </c>
    </row>
    <row r="303" spans="1:7" x14ac:dyDescent="0.25">
      <c r="A303">
        <v>302</v>
      </c>
      <c r="B303">
        <v>919289469</v>
      </c>
      <c r="C303" t="s">
        <v>7286</v>
      </c>
      <c r="D303" t="s">
        <v>7248</v>
      </c>
      <c r="E303" t="s">
        <v>6877</v>
      </c>
      <c r="F303">
        <v>1</v>
      </c>
      <c r="G303" t="str">
        <f t="shared" si="4"/>
        <v>('919289469','ENTEL','Empresa Plus 2.0 55.9','OCUPADO',1),</v>
      </c>
    </row>
    <row r="304" spans="1:7" x14ac:dyDescent="0.25">
      <c r="A304">
        <v>303</v>
      </c>
      <c r="B304">
        <v>986634715</v>
      </c>
      <c r="C304" t="s">
        <v>7287</v>
      </c>
      <c r="D304" t="s">
        <v>7271</v>
      </c>
      <c r="E304" t="s">
        <v>6877</v>
      </c>
      <c r="F304">
        <v>1</v>
      </c>
      <c r="G304" t="str">
        <f t="shared" si="4"/>
        <v>('986634715','CLARO','Max Negocios 55.90','OCUPADO',1),</v>
      </c>
    </row>
    <row r="305" spans="1:7" x14ac:dyDescent="0.25">
      <c r="A305">
        <v>304</v>
      </c>
      <c r="B305">
        <v>995522765</v>
      </c>
      <c r="C305" t="s">
        <v>7287</v>
      </c>
      <c r="D305" t="s">
        <v>7253</v>
      </c>
      <c r="E305" t="s">
        <v>6877</v>
      </c>
      <c r="F305">
        <v>1</v>
      </c>
      <c r="G305" t="str">
        <f t="shared" si="4"/>
        <v>('995522765','CLARO','Empresa Plus 2.0 67.90','OCUPADO',1),</v>
      </c>
    </row>
    <row r="306" spans="1:7" x14ac:dyDescent="0.25">
      <c r="A306">
        <v>305</v>
      </c>
      <c r="B306">
        <v>905995137</v>
      </c>
      <c r="C306" t="s">
        <v>7288</v>
      </c>
      <c r="D306" t="s">
        <v>7271</v>
      </c>
      <c r="E306" t="s">
        <v>6877</v>
      </c>
      <c r="F306">
        <v>1</v>
      </c>
      <c r="G306" t="str">
        <f t="shared" si="4"/>
        <v>('905995137','BITEL','Max Negocios 55.90','OCUPADO',1),</v>
      </c>
    </row>
    <row r="307" spans="1:7" x14ac:dyDescent="0.25">
      <c r="A307">
        <v>306</v>
      </c>
      <c r="B307">
        <v>962386697</v>
      </c>
      <c r="C307" t="s">
        <v>7287</v>
      </c>
      <c r="D307" t="s">
        <v>7270</v>
      </c>
      <c r="E307" t="s">
        <v>6877</v>
      </c>
      <c r="F307">
        <v>1</v>
      </c>
      <c r="G307" t="str">
        <f t="shared" si="4"/>
        <v>('962386697','CLARO','Max Negocios 49.90','OCUPADO',1),</v>
      </c>
    </row>
    <row r="308" spans="1:7" x14ac:dyDescent="0.25">
      <c r="A308">
        <v>307</v>
      </c>
      <c r="B308">
        <v>940476732</v>
      </c>
      <c r="C308" t="s">
        <v>7287</v>
      </c>
      <c r="D308" t="s">
        <v>7270</v>
      </c>
      <c r="E308" t="s">
        <v>7241</v>
      </c>
      <c r="F308">
        <v>1</v>
      </c>
      <c r="G308" t="str">
        <f t="shared" si="4"/>
        <v>('940476732','CLARO','Max Negocios 49.90','LIBRE ',1),</v>
      </c>
    </row>
    <row r="309" spans="1:7" x14ac:dyDescent="0.25">
      <c r="A309">
        <v>308</v>
      </c>
      <c r="B309">
        <v>950232430</v>
      </c>
      <c r="C309" t="s">
        <v>7287</v>
      </c>
      <c r="D309" t="s">
        <v>7269</v>
      </c>
      <c r="E309" t="s">
        <v>7241</v>
      </c>
      <c r="F309">
        <v>1</v>
      </c>
      <c r="G309" t="str">
        <f t="shared" si="4"/>
        <v>('950232430','CLARO','Max Negocios 39.90','LIBRE ',1),</v>
      </c>
    </row>
    <row r="310" spans="1:7" x14ac:dyDescent="0.25">
      <c r="A310">
        <v>309</v>
      </c>
      <c r="B310">
        <v>962386497</v>
      </c>
      <c r="C310" t="s">
        <v>7287</v>
      </c>
      <c r="D310" t="s">
        <v>7270</v>
      </c>
      <c r="E310" t="s">
        <v>7241</v>
      </c>
      <c r="F310">
        <v>1</v>
      </c>
      <c r="G310" t="str">
        <f t="shared" si="4"/>
        <v>('962386497','CLARO','Max Negocios 49.90','LIBRE ',1),</v>
      </c>
    </row>
    <row r="311" spans="1:7" x14ac:dyDescent="0.25">
      <c r="A311">
        <v>310</v>
      </c>
      <c r="B311">
        <v>962386514</v>
      </c>
      <c r="C311" t="s">
        <v>7287</v>
      </c>
      <c r="D311" t="s">
        <v>7270</v>
      </c>
      <c r="E311" t="s">
        <v>7241</v>
      </c>
      <c r="F311">
        <v>1</v>
      </c>
      <c r="G311" t="str">
        <f t="shared" si="4"/>
        <v>('962386514','CLARO','Max Negocios 49.90','LIBRE ',1),</v>
      </c>
    </row>
    <row r="312" spans="1:7" x14ac:dyDescent="0.25">
      <c r="A312">
        <v>311</v>
      </c>
      <c r="B312">
        <v>962386623</v>
      </c>
      <c r="C312" t="s">
        <v>7287</v>
      </c>
      <c r="D312" t="s">
        <v>7270</v>
      </c>
      <c r="E312" t="s">
        <v>7241</v>
      </c>
      <c r="F312">
        <v>1</v>
      </c>
      <c r="G312" t="str">
        <f t="shared" si="4"/>
        <v>('962386623','CLARO','Max Negocios 49.90','LIBRE ',1),</v>
      </c>
    </row>
    <row r="313" spans="1:7" x14ac:dyDescent="0.25">
      <c r="A313">
        <v>312</v>
      </c>
      <c r="B313">
        <v>962386630</v>
      </c>
      <c r="C313" t="s">
        <v>7287</v>
      </c>
      <c r="D313" t="s">
        <v>7270</v>
      </c>
      <c r="E313" t="s">
        <v>7241</v>
      </c>
      <c r="F313">
        <v>1</v>
      </c>
      <c r="G313" t="str">
        <f t="shared" si="4"/>
        <v>('962386630','CLARO','Max Negocios 49.90','LIBRE ',1),</v>
      </c>
    </row>
    <row r="314" spans="1:7" x14ac:dyDescent="0.25">
      <c r="A314">
        <v>313</v>
      </c>
      <c r="B314">
        <v>962386641</v>
      </c>
      <c r="C314" t="s">
        <v>7287</v>
      </c>
      <c r="D314" t="s">
        <v>7270</v>
      </c>
      <c r="E314" t="s">
        <v>7241</v>
      </c>
      <c r="F314">
        <v>1</v>
      </c>
      <c r="G314" t="str">
        <f t="shared" si="4"/>
        <v>('962386641','CLARO','Max Negocios 49.90','LIBRE ',1),</v>
      </c>
    </row>
    <row r="315" spans="1:7" x14ac:dyDescent="0.25">
      <c r="A315">
        <v>314</v>
      </c>
      <c r="B315">
        <v>966345646</v>
      </c>
      <c r="C315" t="s">
        <v>7287</v>
      </c>
      <c r="D315" t="s">
        <v>7261</v>
      </c>
      <c r="E315" t="s">
        <v>7241</v>
      </c>
      <c r="F315">
        <v>1</v>
      </c>
      <c r="G315" t="str">
        <f t="shared" si="4"/>
        <v>('966345646','CLARO','Internet OLO Negocios 240 GB','LIBRE ',1),</v>
      </c>
    </row>
    <row r="316" spans="1:7" x14ac:dyDescent="0.25">
      <c r="A316">
        <v>315</v>
      </c>
      <c r="B316">
        <v>966345771</v>
      </c>
      <c r="C316" t="s">
        <v>7287</v>
      </c>
      <c r="D316" t="s">
        <v>7261</v>
      </c>
      <c r="E316" t="s">
        <v>7241</v>
      </c>
      <c r="F316">
        <v>1</v>
      </c>
      <c r="G316" t="str">
        <f t="shared" si="4"/>
        <v>('966345771','CLARO','Internet OLO Negocios 240 GB','LIBRE ',1),</v>
      </c>
    </row>
    <row r="317" spans="1:7" x14ac:dyDescent="0.25">
      <c r="A317">
        <v>316</v>
      </c>
      <c r="B317">
        <v>966731378</v>
      </c>
      <c r="C317" t="s">
        <v>7287</v>
      </c>
      <c r="D317" t="s">
        <v>7261</v>
      </c>
      <c r="E317" t="s">
        <v>7241</v>
      </c>
      <c r="F317">
        <v>1</v>
      </c>
      <c r="G317" t="str">
        <f t="shared" si="4"/>
        <v>('966731378','CLARO','Internet OLO Negocios 240 GB','LIBRE ',1),</v>
      </c>
    </row>
    <row r="318" spans="1:7" x14ac:dyDescent="0.25">
      <c r="A318">
        <v>317</v>
      </c>
      <c r="B318">
        <v>989059157</v>
      </c>
      <c r="C318" t="s">
        <v>7287</v>
      </c>
      <c r="D318" t="s">
        <v>7270</v>
      </c>
      <c r="E318" t="s">
        <v>7241</v>
      </c>
      <c r="F318">
        <v>1</v>
      </c>
      <c r="G318" t="str">
        <f t="shared" si="4"/>
        <v>('989059157','CLARO','Max Negocios 49.90','LIBRE ',1),</v>
      </c>
    </row>
    <row r="319" spans="1:7" x14ac:dyDescent="0.25">
      <c r="A319">
        <v>318</v>
      </c>
      <c r="B319">
        <v>941571179</v>
      </c>
      <c r="C319" t="s">
        <v>7289</v>
      </c>
      <c r="D319" t="s">
        <v>7281</v>
      </c>
      <c r="E319" t="s">
        <v>7241</v>
      </c>
      <c r="F319">
        <v>1</v>
      </c>
      <c r="G319" t="str">
        <f t="shared" si="4"/>
        <v>('941571179','MOVISTAR','Movistar Empresas 62.91','LIBRE ',1),</v>
      </c>
    </row>
    <row r="320" spans="1:7" x14ac:dyDescent="0.25">
      <c r="A320">
        <v>319</v>
      </c>
      <c r="B320">
        <v>989037158</v>
      </c>
      <c r="C320" t="s">
        <v>7286</v>
      </c>
      <c r="D320" t="s">
        <v>7246</v>
      </c>
      <c r="E320" t="s">
        <v>7241</v>
      </c>
      <c r="F320">
        <v>1</v>
      </c>
      <c r="G320" t="str">
        <f t="shared" si="4"/>
        <v>('989037158','ENTEL','Empresa Plus 109.90','LIBRE ',1),</v>
      </c>
    </row>
    <row r="321" spans="1:7" x14ac:dyDescent="0.25">
      <c r="A321">
        <v>320</v>
      </c>
      <c r="B321">
        <v>966508827</v>
      </c>
      <c r="C321" t="s">
        <v>7287</v>
      </c>
      <c r="E321" t="s">
        <v>9115</v>
      </c>
      <c r="F321">
        <v>0</v>
      </c>
      <c r="G321" t="str">
        <f t="shared" si="4"/>
        <v>('966508827','CLARO','','RETIRADO',0),</v>
      </c>
    </row>
    <row r="322" spans="1:7" x14ac:dyDescent="0.25">
      <c r="A322">
        <v>321</v>
      </c>
      <c r="B322">
        <v>989440989</v>
      </c>
      <c r="C322" t="s">
        <v>7289</v>
      </c>
      <c r="E322" t="s">
        <v>9115</v>
      </c>
      <c r="F322">
        <v>0</v>
      </c>
      <c r="G322" t="str">
        <f t="shared" si="4"/>
        <v>('989440989','MOVISTAR','','RETIRADO',0),</v>
      </c>
    </row>
  </sheetData>
  <autoFilter ref="A1:G322" xr:uid="{D7D3FED4-D450-41CB-91A1-C7310F74727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E493-A407-48D1-AD50-E51D3AA3C4F0}">
  <dimension ref="A1:G551"/>
  <sheetViews>
    <sheetView workbookViewId="0">
      <selection activeCell="B1" sqref="B1"/>
    </sheetView>
  </sheetViews>
  <sheetFormatPr baseColWidth="10" defaultRowHeight="15" x14ac:dyDescent="0.25"/>
  <cols>
    <col min="1" max="1" width="6.5703125" bestFit="1" customWidth="1"/>
    <col min="2" max="2" width="12.42578125" style="8" bestFit="1" customWidth="1"/>
    <col min="3" max="3" width="14.28515625" bestFit="1" customWidth="1"/>
    <col min="4" max="4" width="17.28515625" style="5" bestFit="1" customWidth="1"/>
    <col min="5" max="5" width="25.85546875" style="5" customWidth="1"/>
    <col min="6" max="6" width="8.42578125" bestFit="1" customWidth="1"/>
    <col min="7" max="7" width="30.85546875" bestFit="1" customWidth="1"/>
  </cols>
  <sheetData>
    <row r="1" spans="1:7" x14ac:dyDescent="0.25">
      <c r="A1" t="s">
        <v>0</v>
      </c>
      <c r="B1" s="8" t="s">
        <v>9560</v>
      </c>
      <c r="C1" t="s">
        <v>7236</v>
      </c>
      <c r="D1" s="5" t="s">
        <v>9561</v>
      </c>
      <c r="E1" s="5" t="s">
        <v>9559</v>
      </c>
      <c r="F1" t="s">
        <v>7520</v>
      </c>
      <c r="G1" s="6" t="s">
        <v>9562</v>
      </c>
    </row>
    <row r="2" spans="1:7" x14ac:dyDescent="0.25">
      <c r="A2" t="s">
        <v>8599</v>
      </c>
      <c r="B2" s="8">
        <v>1</v>
      </c>
      <c r="C2">
        <v>1</v>
      </c>
      <c r="D2" s="5">
        <v>45735</v>
      </c>
      <c r="E2" s="5" t="s">
        <v>4312</v>
      </c>
      <c r="F2">
        <v>1</v>
      </c>
      <c r="G2" t="s">
        <v>9563</v>
      </c>
    </row>
    <row r="3" spans="1:7" x14ac:dyDescent="0.25">
      <c r="A3" t="s">
        <v>8277</v>
      </c>
      <c r="B3" s="8">
        <v>2</v>
      </c>
      <c r="C3">
        <v>6</v>
      </c>
      <c r="D3" s="5">
        <v>45412</v>
      </c>
      <c r="E3" s="5" t="s">
        <v>4312</v>
      </c>
      <c r="F3">
        <v>1</v>
      </c>
      <c r="G3" t="s">
        <v>9564</v>
      </c>
    </row>
    <row r="4" spans="1:7" x14ac:dyDescent="0.25">
      <c r="A4" t="s">
        <v>8382</v>
      </c>
      <c r="B4" s="8">
        <v>4</v>
      </c>
      <c r="C4">
        <v>9</v>
      </c>
      <c r="D4" s="5">
        <v>44742</v>
      </c>
      <c r="E4" s="5" t="s">
        <v>4312</v>
      </c>
      <c r="F4">
        <v>1</v>
      </c>
      <c r="G4" t="s">
        <v>9565</v>
      </c>
    </row>
    <row r="5" spans="1:7" x14ac:dyDescent="0.25">
      <c r="A5" t="s">
        <v>8343</v>
      </c>
      <c r="B5" s="8">
        <v>5</v>
      </c>
      <c r="C5">
        <v>10</v>
      </c>
      <c r="D5" s="5">
        <v>44862</v>
      </c>
      <c r="E5" s="5" t="s">
        <v>4312</v>
      </c>
      <c r="F5">
        <v>1</v>
      </c>
      <c r="G5" t="s">
        <v>9566</v>
      </c>
    </row>
    <row r="6" spans="1:7" x14ac:dyDescent="0.25">
      <c r="A6" t="s">
        <v>8205</v>
      </c>
      <c r="B6" s="8">
        <v>6</v>
      </c>
      <c r="C6">
        <v>11</v>
      </c>
      <c r="D6" s="5">
        <v>45012</v>
      </c>
      <c r="E6" s="5" t="s">
        <v>4312</v>
      </c>
      <c r="F6">
        <v>1</v>
      </c>
      <c r="G6" t="s">
        <v>9567</v>
      </c>
    </row>
    <row r="7" spans="1:7" x14ac:dyDescent="0.25">
      <c r="A7" t="s">
        <v>8475</v>
      </c>
      <c r="B7" s="8">
        <v>7</v>
      </c>
      <c r="C7">
        <v>12</v>
      </c>
      <c r="D7" s="5">
        <v>45763</v>
      </c>
      <c r="E7" s="5" t="s">
        <v>4312</v>
      </c>
      <c r="F7">
        <v>1</v>
      </c>
      <c r="G7" t="s">
        <v>9568</v>
      </c>
    </row>
    <row r="8" spans="1:7" x14ac:dyDescent="0.25">
      <c r="A8" t="s">
        <v>8390</v>
      </c>
      <c r="B8" s="8">
        <v>8</v>
      </c>
      <c r="C8">
        <v>13</v>
      </c>
      <c r="D8" s="5">
        <v>44742</v>
      </c>
      <c r="E8" s="5" t="s">
        <v>4312</v>
      </c>
      <c r="F8">
        <v>1</v>
      </c>
      <c r="G8" t="s">
        <v>9569</v>
      </c>
    </row>
    <row r="9" spans="1:7" x14ac:dyDescent="0.25">
      <c r="A9" t="s">
        <v>8670</v>
      </c>
      <c r="B9" s="8">
        <v>9</v>
      </c>
      <c r="C9">
        <v>14</v>
      </c>
      <c r="D9" s="5">
        <v>45253</v>
      </c>
      <c r="E9" s="5" t="s">
        <v>4312</v>
      </c>
      <c r="F9">
        <v>1</v>
      </c>
      <c r="G9" t="s">
        <v>9570</v>
      </c>
    </row>
    <row r="10" spans="1:7" x14ac:dyDescent="0.25">
      <c r="A10" t="s">
        <v>8406</v>
      </c>
      <c r="B10" s="8">
        <v>10</v>
      </c>
      <c r="C10">
        <v>15</v>
      </c>
      <c r="D10" s="5">
        <v>45570</v>
      </c>
      <c r="E10" s="5" t="s">
        <v>4312</v>
      </c>
      <c r="F10">
        <v>1</v>
      </c>
      <c r="G10" t="s">
        <v>9571</v>
      </c>
    </row>
    <row r="11" spans="1:7" x14ac:dyDescent="0.25">
      <c r="A11" t="s">
        <v>8758</v>
      </c>
      <c r="B11" s="8">
        <v>11</v>
      </c>
      <c r="C11">
        <v>16</v>
      </c>
      <c r="D11" s="5">
        <v>45570</v>
      </c>
      <c r="E11" s="5" t="s">
        <v>4312</v>
      </c>
      <c r="F11">
        <v>1</v>
      </c>
      <c r="G11" t="s">
        <v>9572</v>
      </c>
    </row>
    <row r="12" spans="1:7" x14ac:dyDescent="0.25">
      <c r="A12" t="s">
        <v>8274</v>
      </c>
      <c r="B12" s="8">
        <v>12</v>
      </c>
      <c r="C12">
        <v>17</v>
      </c>
      <c r="D12" s="5">
        <v>45570</v>
      </c>
      <c r="E12" s="5" t="s">
        <v>4312</v>
      </c>
      <c r="F12">
        <v>1</v>
      </c>
      <c r="G12" t="s">
        <v>9573</v>
      </c>
    </row>
    <row r="13" spans="1:7" x14ac:dyDescent="0.25">
      <c r="A13" t="s">
        <v>8274</v>
      </c>
      <c r="B13" s="8" t="s">
        <v>4312</v>
      </c>
      <c r="C13">
        <v>18</v>
      </c>
      <c r="D13" s="5">
        <v>45570</v>
      </c>
      <c r="E13" s="5" t="s">
        <v>4312</v>
      </c>
      <c r="F13">
        <v>1</v>
      </c>
      <c r="G13" t="s">
        <v>9820</v>
      </c>
    </row>
    <row r="14" spans="1:7" x14ac:dyDescent="0.25">
      <c r="A14" t="s">
        <v>8752</v>
      </c>
      <c r="B14" s="8">
        <v>13</v>
      </c>
      <c r="C14">
        <v>19</v>
      </c>
      <c r="D14" s="5">
        <v>45763</v>
      </c>
      <c r="E14" s="5" t="s">
        <v>4312</v>
      </c>
      <c r="F14">
        <v>1</v>
      </c>
      <c r="G14" t="s">
        <v>9574</v>
      </c>
    </row>
    <row r="15" spans="1:7" x14ac:dyDescent="0.25">
      <c r="A15" t="s">
        <v>8651</v>
      </c>
      <c r="B15" s="8">
        <v>14</v>
      </c>
      <c r="C15">
        <v>20</v>
      </c>
      <c r="D15" s="5">
        <v>45570</v>
      </c>
      <c r="E15" s="5" t="s">
        <v>4312</v>
      </c>
      <c r="F15">
        <v>1</v>
      </c>
      <c r="G15" t="s">
        <v>9575</v>
      </c>
    </row>
    <row r="16" spans="1:7" x14ac:dyDescent="0.25">
      <c r="A16" t="s">
        <v>8676</v>
      </c>
      <c r="B16" s="8">
        <v>15</v>
      </c>
      <c r="C16">
        <v>21</v>
      </c>
      <c r="D16" s="5">
        <v>45439</v>
      </c>
      <c r="E16" s="5" t="s">
        <v>4312</v>
      </c>
      <c r="F16">
        <v>1</v>
      </c>
      <c r="G16" t="s">
        <v>9576</v>
      </c>
    </row>
    <row r="17" spans="1:7" x14ac:dyDescent="0.25">
      <c r="A17" t="s">
        <v>8652</v>
      </c>
      <c r="B17" s="8">
        <v>16</v>
      </c>
      <c r="C17">
        <v>22</v>
      </c>
      <c r="D17" s="5" t="s">
        <v>4312</v>
      </c>
      <c r="E17" s="5" t="s">
        <v>4312</v>
      </c>
      <c r="F17">
        <v>1</v>
      </c>
      <c r="G17" t="s">
        <v>9577</v>
      </c>
    </row>
    <row r="18" spans="1:7" x14ac:dyDescent="0.25">
      <c r="A18" t="s">
        <v>8849</v>
      </c>
      <c r="B18" s="8">
        <v>17</v>
      </c>
      <c r="C18">
        <v>23</v>
      </c>
      <c r="D18" s="5">
        <v>45846</v>
      </c>
      <c r="E18" s="5" t="s">
        <v>4312</v>
      </c>
      <c r="F18">
        <v>1</v>
      </c>
      <c r="G18" t="s">
        <v>9578</v>
      </c>
    </row>
    <row r="19" spans="1:7" x14ac:dyDescent="0.25">
      <c r="A19" t="s">
        <v>8213</v>
      </c>
      <c r="B19" s="8">
        <v>18</v>
      </c>
      <c r="C19">
        <v>27</v>
      </c>
      <c r="D19" s="5">
        <v>45588</v>
      </c>
      <c r="E19" s="5" t="s">
        <v>4312</v>
      </c>
      <c r="F19">
        <v>1</v>
      </c>
      <c r="G19" t="s">
        <v>9579</v>
      </c>
    </row>
    <row r="20" spans="1:7" x14ac:dyDescent="0.25">
      <c r="A20" t="s">
        <v>8392</v>
      </c>
      <c r="B20" s="8">
        <v>19</v>
      </c>
      <c r="C20">
        <v>29</v>
      </c>
      <c r="D20" s="5">
        <v>43888</v>
      </c>
      <c r="E20" s="5" t="s">
        <v>4312</v>
      </c>
      <c r="F20">
        <v>1</v>
      </c>
      <c r="G20" t="s">
        <v>9580</v>
      </c>
    </row>
    <row r="21" spans="1:7" x14ac:dyDescent="0.25">
      <c r="A21" t="s">
        <v>8498</v>
      </c>
      <c r="B21" s="8">
        <v>20</v>
      </c>
      <c r="C21">
        <v>30</v>
      </c>
      <c r="D21" s="5">
        <v>44745</v>
      </c>
      <c r="E21" s="5" t="s">
        <v>4312</v>
      </c>
      <c r="F21">
        <v>1</v>
      </c>
      <c r="G21" t="s">
        <v>9581</v>
      </c>
    </row>
    <row r="22" spans="1:7" x14ac:dyDescent="0.25">
      <c r="A22" t="s">
        <v>8340</v>
      </c>
      <c r="B22" s="8">
        <v>21</v>
      </c>
      <c r="C22">
        <v>31</v>
      </c>
      <c r="D22" s="5">
        <v>45957</v>
      </c>
      <c r="E22" s="5" t="s">
        <v>4312</v>
      </c>
      <c r="F22">
        <v>1</v>
      </c>
      <c r="G22" t="s">
        <v>9582</v>
      </c>
    </row>
    <row r="23" spans="1:7" x14ac:dyDescent="0.25">
      <c r="A23" t="s">
        <v>8223</v>
      </c>
      <c r="B23" s="8">
        <v>22</v>
      </c>
      <c r="C23">
        <v>32</v>
      </c>
      <c r="D23" s="5">
        <v>45109</v>
      </c>
      <c r="E23" s="5" t="s">
        <v>4312</v>
      </c>
      <c r="F23">
        <v>1</v>
      </c>
      <c r="G23" t="s">
        <v>9583</v>
      </c>
    </row>
    <row r="24" spans="1:7" x14ac:dyDescent="0.25">
      <c r="A24" t="s">
        <v>8229</v>
      </c>
      <c r="B24" s="8">
        <v>23</v>
      </c>
      <c r="C24">
        <v>33</v>
      </c>
      <c r="D24" s="5">
        <v>45883</v>
      </c>
      <c r="E24" s="5" t="s">
        <v>4312</v>
      </c>
      <c r="F24">
        <v>1</v>
      </c>
      <c r="G24" t="s">
        <v>9584</v>
      </c>
    </row>
    <row r="25" spans="1:7" x14ac:dyDescent="0.25">
      <c r="A25" t="s">
        <v>8604</v>
      </c>
      <c r="B25" s="8">
        <v>24</v>
      </c>
      <c r="C25">
        <v>34</v>
      </c>
      <c r="D25" s="5">
        <v>44742</v>
      </c>
      <c r="E25" s="5" t="s">
        <v>4312</v>
      </c>
      <c r="F25">
        <v>1</v>
      </c>
      <c r="G25" t="s">
        <v>9585</v>
      </c>
    </row>
    <row r="26" spans="1:7" x14ac:dyDescent="0.25">
      <c r="A26" t="s">
        <v>8364</v>
      </c>
      <c r="B26" s="8">
        <v>25</v>
      </c>
      <c r="C26">
        <v>35</v>
      </c>
      <c r="D26" s="5">
        <v>44616</v>
      </c>
      <c r="E26" s="5" t="s">
        <v>4312</v>
      </c>
      <c r="F26">
        <v>1</v>
      </c>
      <c r="G26" t="s">
        <v>9586</v>
      </c>
    </row>
    <row r="27" spans="1:7" x14ac:dyDescent="0.25">
      <c r="A27" t="s">
        <v>8985</v>
      </c>
      <c r="B27" s="8">
        <v>26</v>
      </c>
      <c r="C27">
        <v>36</v>
      </c>
      <c r="D27" s="5">
        <v>44742</v>
      </c>
      <c r="E27" s="5" t="s">
        <v>4312</v>
      </c>
      <c r="F27">
        <v>1</v>
      </c>
      <c r="G27" t="s">
        <v>9587</v>
      </c>
    </row>
    <row r="28" spans="1:7" x14ac:dyDescent="0.25">
      <c r="A28" t="s">
        <v>8423</v>
      </c>
      <c r="B28" s="8">
        <v>27</v>
      </c>
      <c r="C28">
        <v>37</v>
      </c>
      <c r="D28" s="5">
        <v>44742</v>
      </c>
      <c r="E28" s="5" t="s">
        <v>4312</v>
      </c>
      <c r="F28">
        <v>1</v>
      </c>
      <c r="G28" t="s">
        <v>9588</v>
      </c>
    </row>
    <row r="29" spans="1:7" x14ac:dyDescent="0.25">
      <c r="A29" t="s">
        <v>8423</v>
      </c>
      <c r="B29" s="8" t="s">
        <v>4312</v>
      </c>
      <c r="C29">
        <v>38</v>
      </c>
      <c r="D29" s="5">
        <v>44742</v>
      </c>
      <c r="E29" s="5" t="s">
        <v>4312</v>
      </c>
      <c r="F29">
        <v>1</v>
      </c>
      <c r="G29" t="s">
        <v>9821</v>
      </c>
    </row>
    <row r="30" spans="1:7" x14ac:dyDescent="0.25">
      <c r="A30" t="s">
        <v>8610</v>
      </c>
      <c r="B30" s="8">
        <v>28</v>
      </c>
      <c r="C30">
        <v>39</v>
      </c>
      <c r="D30" s="5">
        <v>45070</v>
      </c>
      <c r="E30" s="5" t="s">
        <v>4312</v>
      </c>
      <c r="F30">
        <v>1</v>
      </c>
      <c r="G30" t="s">
        <v>9589</v>
      </c>
    </row>
    <row r="31" spans="1:7" x14ac:dyDescent="0.25">
      <c r="A31" t="s">
        <v>8359</v>
      </c>
      <c r="B31" s="8">
        <v>29</v>
      </c>
      <c r="C31">
        <v>40</v>
      </c>
      <c r="D31" s="5">
        <v>42651</v>
      </c>
      <c r="E31" s="5" t="s">
        <v>4312</v>
      </c>
      <c r="F31">
        <v>1</v>
      </c>
      <c r="G31" t="s">
        <v>9590</v>
      </c>
    </row>
    <row r="32" spans="1:7" x14ac:dyDescent="0.25">
      <c r="A32" t="s">
        <v>8978</v>
      </c>
      <c r="B32" s="8">
        <v>30</v>
      </c>
      <c r="C32">
        <v>41</v>
      </c>
      <c r="D32" s="5">
        <v>45748</v>
      </c>
      <c r="E32" s="5" t="s">
        <v>4312</v>
      </c>
      <c r="F32">
        <v>1</v>
      </c>
      <c r="G32" t="s">
        <v>9591</v>
      </c>
    </row>
    <row r="33" spans="1:7" x14ac:dyDescent="0.25">
      <c r="A33" t="s">
        <v>8918</v>
      </c>
      <c r="B33" s="8">
        <v>31</v>
      </c>
      <c r="C33">
        <v>42</v>
      </c>
      <c r="D33" s="5">
        <v>44742</v>
      </c>
      <c r="E33" s="5" t="s">
        <v>4312</v>
      </c>
      <c r="F33">
        <v>1</v>
      </c>
      <c r="G33" t="s">
        <v>9592</v>
      </c>
    </row>
    <row r="34" spans="1:7" x14ac:dyDescent="0.25">
      <c r="A34" t="s">
        <v>8637</v>
      </c>
      <c r="B34" s="8">
        <v>32</v>
      </c>
      <c r="C34">
        <v>43</v>
      </c>
      <c r="D34" s="5">
        <v>45681</v>
      </c>
      <c r="E34" s="5" t="s">
        <v>4312</v>
      </c>
      <c r="F34">
        <v>1</v>
      </c>
      <c r="G34" t="s">
        <v>9593</v>
      </c>
    </row>
    <row r="35" spans="1:7" x14ac:dyDescent="0.25">
      <c r="A35" t="s">
        <v>8934</v>
      </c>
      <c r="B35" s="8">
        <v>33</v>
      </c>
      <c r="C35">
        <v>44</v>
      </c>
      <c r="D35" s="5">
        <v>45372</v>
      </c>
      <c r="E35" s="5" t="s">
        <v>4312</v>
      </c>
      <c r="F35">
        <v>1</v>
      </c>
      <c r="G35" t="s">
        <v>9594</v>
      </c>
    </row>
    <row r="36" spans="1:7" x14ac:dyDescent="0.25">
      <c r="A36" t="s">
        <v>8237</v>
      </c>
      <c r="B36" s="8">
        <v>34</v>
      </c>
      <c r="C36">
        <v>45</v>
      </c>
      <c r="D36" s="5">
        <v>45806</v>
      </c>
      <c r="E36" s="5" t="s">
        <v>4312</v>
      </c>
      <c r="F36">
        <v>1</v>
      </c>
      <c r="G36" t="s">
        <v>9595</v>
      </c>
    </row>
    <row r="37" spans="1:7" x14ac:dyDescent="0.25">
      <c r="A37" t="s">
        <v>8577</v>
      </c>
      <c r="B37" s="8">
        <v>35</v>
      </c>
      <c r="C37">
        <v>46</v>
      </c>
      <c r="D37" s="5">
        <v>45177</v>
      </c>
      <c r="E37" s="5" t="s">
        <v>4312</v>
      </c>
      <c r="F37">
        <v>1</v>
      </c>
      <c r="G37" t="s">
        <v>9596</v>
      </c>
    </row>
    <row r="38" spans="1:7" x14ac:dyDescent="0.25">
      <c r="A38" t="s">
        <v>8433</v>
      </c>
      <c r="B38" s="8">
        <v>36</v>
      </c>
      <c r="C38">
        <v>47</v>
      </c>
      <c r="D38" s="5">
        <v>45025</v>
      </c>
      <c r="E38" s="5" t="s">
        <v>4312</v>
      </c>
      <c r="F38">
        <v>1</v>
      </c>
      <c r="G38" t="s">
        <v>9597</v>
      </c>
    </row>
    <row r="39" spans="1:7" x14ac:dyDescent="0.25">
      <c r="A39" t="s">
        <v>8631</v>
      </c>
      <c r="B39" s="8">
        <v>37</v>
      </c>
      <c r="C39">
        <v>48</v>
      </c>
      <c r="D39" s="5">
        <v>45642</v>
      </c>
      <c r="E39" s="5" t="s">
        <v>4312</v>
      </c>
      <c r="F39">
        <v>1</v>
      </c>
      <c r="G39" t="s">
        <v>9598</v>
      </c>
    </row>
    <row r="40" spans="1:7" x14ac:dyDescent="0.25">
      <c r="A40" t="s">
        <v>8341</v>
      </c>
      <c r="B40" s="8">
        <v>38</v>
      </c>
      <c r="C40">
        <v>49</v>
      </c>
      <c r="D40" s="5">
        <v>45763</v>
      </c>
      <c r="E40" s="5" t="s">
        <v>4312</v>
      </c>
      <c r="F40">
        <v>1</v>
      </c>
      <c r="G40" t="s">
        <v>9599</v>
      </c>
    </row>
    <row r="41" spans="1:7" x14ac:dyDescent="0.25">
      <c r="A41" t="s">
        <v>8357</v>
      </c>
      <c r="B41" s="8">
        <v>39</v>
      </c>
      <c r="C41">
        <v>50</v>
      </c>
      <c r="D41" s="5">
        <v>44742</v>
      </c>
      <c r="E41" s="5" t="s">
        <v>4312</v>
      </c>
      <c r="F41">
        <v>1</v>
      </c>
      <c r="G41" t="s">
        <v>9600</v>
      </c>
    </row>
    <row r="42" spans="1:7" x14ac:dyDescent="0.25">
      <c r="A42" t="s">
        <v>8226</v>
      </c>
      <c r="B42" s="8">
        <v>40</v>
      </c>
      <c r="C42">
        <v>51</v>
      </c>
      <c r="D42" s="5">
        <v>45250</v>
      </c>
      <c r="E42" s="5" t="s">
        <v>4312</v>
      </c>
      <c r="F42">
        <v>1</v>
      </c>
      <c r="G42" t="s">
        <v>9601</v>
      </c>
    </row>
    <row r="43" spans="1:7" x14ac:dyDescent="0.25">
      <c r="A43" t="s">
        <v>8344</v>
      </c>
      <c r="B43" s="8">
        <v>41</v>
      </c>
      <c r="C43">
        <v>52</v>
      </c>
      <c r="D43" s="5">
        <v>44742</v>
      </c>
      <c r="E43" s="5" t="s">
        <v>4312</v>
      </c>
      <c r="F43">
        <v>1</v>
      </c>
      <c r="G43" t="s">
        <v>9602</v>
      </c>
    </row>
    <row r="44" spans="1:7" x14ac:dyDescent="0.25">
      <c r="A44" t="s">
        <v>8856</v>
      </c>
      <c r="B44" s="8">
        <v>42</v>
      </c>
      <c r="C44">
        <v>53</v>
      </c>
      <c r="D44" s="5">
        <v>45947</v>
      </c>
      <c r="E44" s="5" t="s">
        <v>4312</v>
      </c>
      <c r="F44">
        <v>1</v>
      </c>
      <c r="G44" t="s">
        <v>9603</v>
      </c>
    </row>
    <row r="45" spans="1:7" x14ac:dyDescent="0.25">
      <c r="A45" t="s">
        <v>8468</v>
      </c>
      <c r="B45" s="8">
        <v>43</v>
      </c>
      <c r="C45">
        <v>54</v>
      </c>
      <c r="D45" s="5">
        <v>44742</v>
      </c>
      <c r="E45" s="5" t="s">
        <v>4312</v>
      </c>
      <c r="F45">
        <v>1</v>
      </c>
      <c r="G45" t="s">
        <v>9604</v>
      </c>
    </row>
    <row r="46" spans="1:7" x14ac:dyDescent="0.25">
      <c r="A46" t="s">
        <v>8297</v>
      </c>
      <c r="B46" s="8">
        <v>44</v>
      </c>
      <c r="C46">
        <v>55</v>
      </c>
      <c r="D46" s="5">
        <v>45489</v>
      </c>
      <c r="E46" s="5" t="s">
        <v>4312</v>
      </c>
      <c r="F46">
        <v>1</v>
      </c>
      <c r="G46" t="s">
        <v>9605</v>
      </c>
    </row>
    <row r="47" spans="1:7" x14ac:dyDescent="0.25">
      <c r="A47" t="s">
        <v>8930</v>
      </c>
      <c r="B47" s="8">
        <v>45</v>
      </c>
      <c r="C47">
        <v>56</v>
      </c>
      <c r="D47" s="5">
        <v>45971</v>
      </c>
      <c r="E47" s="5" t="s">
        <v>4312</v>
      </c>
      <c r="F47">
        <v>1</v>
      </c>
      <c r="G47" t="s">
        <v>9606</v>
      </c>
    </row>
    <row r="48" spans="1:7" x14ac:dyDescent="0.25">
      <c r="A48" t="s">
        <v>8496</v>
      </c>
      <c r="B48" s="8">
        <v>46</v>
      </c>
      <c r="C48">
        <v>57</v>
      </c>
      <c r="D48" s="5">
        <v>45026</v>
      </c>
      <c r="E48" s="5" t="s">
        <v>4312</v>
      </c>
      <c r="F48">
        <v>1</v>
      </c>
      <c r="G48" t="s">
        <v>9607</v>
      </c>
    </row>
    <row r="49" spans="1:7" x14ac:dyDescent="0.25">
      <c r="A49" t="s">
        <v>8669</v>
      </c>
      <c r="B49" s="8">
        <v>47</v>
      </c>
      <c r="C49">
        <v>58</v>
      </c>
      <c r="D49" s="5">
        <v>45812</v>
      </c>
      <c r="E49" s="5" t="s">
        <v>4312</v>
      </c>
      <c r="F49">
        <v>1</v>
      </c>
      <c r="G49" t="s">
        <v>9608</v>
      </c>
    </row>
    <row r="50" spans="1:7" x14ac:dyDescent="0.25">
      <c r="A50" t="s">
        <v>8590</v>
      </c>
      <c r="B50" s="8">
        <v>48</v>
      </c>
      <c r="C50">
        <v>59</v>
      </c>
      <c r="D50" s="5">
        <v>45334</v>
      </c>
      <c r="E50" s="5" t="s">
        <v>4312</v>
      </c>
      <c r="F50">
        <v>1</v>
      </c>
      <c r="G50" t="s">
        <v>9609</v>
      </c>
    </row>
    <row r="51" spans="1:7" x14ac:dyDescent="0.25">
      <c r="A51" t="s">
        <v>8338</v>
      </c>
      <c r="B51" s="8">
        <v>49</v>
      </c>
      <c r="C51">
        <v>60</v>
      </c>
      <c r="D51" s="5">
        <v>45932</v>
      </c>
      <c r="E51" s="5" t="s">
        <v>4312</v>
      </c>
      <c r="F51">
        <v>1</v>
      </c>
      <c r="G51" t="s">
        <v>9610</v>
      </c>
    </row>
    <row r="52" spans="1:7" x14ac:dyDescent="0.25">
      <c r="A52" t="s">
        <v>8992</v>
      </c>
      <c r="B52" s="8">
        <v>50</v>
      </c>
      <c r="C52">
        <v>61</v>
      </c>
      <c r="D52" s="5">
        <v>45470</v>
      </c>
      <c r="E52" s="5" t="s">
        <v>4312</v>
      </c>
      <c r="F52">
        <v>1</v>
      </c>
      <c r="G52" t="s">
        <v>9611</v>
      </c>
    </row>
    <row r="53" spans="1:7" x14ac:dyDescent="0.25">
      <c r="A53" t="s">
        <v>8402</v>
      </c>
      <c r="B53" s="8" t="s">
        <v>4312</v>
      </c>
      <c r="C53">
        <v>62</v>
      </c>
      <c r="D53" s="5">
        <v>45966</v>
      </c>
      <c r="E53" s="5" t="s">
        <v>4312</v>
      </c>
      <c r="F53">
        <v>1</v>
      </c>
      <c r="G53" t="s">
        <v>9822</v>
      </c>
    </row>
    <row r="54" spans="1:7" x14ac:dyDescent="0.25">
      <c r="A54" t="s">
        <v>8263</v>
      </c>
      <c r="B54" s="8">
        <v>51</v>
      </c>
      <c r="C54">
        <v>63</v>
      </c>
      <c r="D54" s="5">
        <v>45219</v>
      </c>
      <c r="E54" s="5" t="s">
        <v>4312</v>
      </c>
      <c r="F54">
        <v>1</v>
      </c>
      <c r="G54" t="s">
        <v>9612</v>
      </c>
    </row>
    <row r="55" spans="1:7" x14ac:dyDescent="0.25">
      <c r="A55" t="s">
        <v>8216</v>
      </c>
      <c r="B55" s="8" t="s">
        <v>4312</v>
      </c>
      <c r="C55">
        <v>64</v>
      </c>
      <c r="D55" s="5">
        <v>43370</v>
      </c>
      <c r="E55" s="5" t="s">
        <v>4312</v>
      </c>
      <c r="F55">
        <v>1</v>
      </c>
      <c r="G55" t="s">
        <v>9823</v>
      </c>
    </row>
    <row r="56" spans="1:7" x14ac:dyDescent="0.25">
      <c r="A56" t="s">
        <v>8245</v>
      </c>
      <c r="B56" s="8">
        <v>52</v>
      </c>
      <c r="C56">
        <v>65</v>
      </c>
      <c r="D56" s="5" t="s">
        <v>4312</v>
      </c>
      <c r="E56" s="5" t="s">
        <v>4312</v>
      </c>
      <c r="F56">
        <v>1</v>
      </c>
      <c r="G56" t="s">
        <v>9613</v>
      </c>
    </row>
    <row r="57" spans="1:7" x14ac:dyDescent="0.25">
      <c r="A57" t="s">
        <v>8221</v>
      </c>
      <c r="B57" s="8">
        <v>53</v>
      </c>
      <c r="C57">
        <v>66</v>
      </c>
      <c r="D57" s="5">
        <v>44742</v>
      </c>
      <c r="E57" s="5" t="s">
        <v>4312</v>
      </c>
      <c r="F57">
        <v>1</v>
      </c>
      <c r="G57" t="s">
        <v>9614</v>
      </c>
    </row>
    <row r="58" spans="1:7" x14ac:dyDescent="0.25">
      <c r="A58" t="s">
        <v>8506</v>
      </c>
      <c r="B58" s="8">
        <v>54</v>
      </c>
      <c r="C58">
        <v>67</v>
      </c>
      <c r="D58" s="5">
        <v>45779</v>
      </c>
      <c r="E58" s="5" t="s">
        <v>4312</v>
      </c>
      <c r="F58">
        <v>1</v>
      </c>
      <c r="G58" t="s">
        <v>9615</v>
      </c>
    </row>
    <row r="59" spans="1:7" x14ac:dyDescent="0.25">
      <c r="A59" t="s">
        <v>8401</v>
      </c>
      <c r="B59" s="8">
        <v>55</v>
      </c>
      <c r="C59">
        <v>68</v>
      </c>
      <c r="D59" s="5">
        <v>45919</v>
      </c>
      <c r="E59" s="5" t="s">
        <v>4312</v>
      </c>
      <c r="F59">
        <v>1</v>
      </c>
      <c r="G59" t="s">
        <v>9616</v>
      </c>
    </row>
    <row r="60" spans="1:7" x14ac:dyDescent="0.25">
      <c r="A60" t="s">
        <v>8262</v>
      </c>
      <c r="B60" s="8">
        <v>56</v>
      </c>
      <c r="C60">
        <v>69</v>
      </c>
      <c r="D60" s="5">
        <v>45599</v>
      </c>
      <c r="E60" s="5" t="s">
        <v>4312</v>
      </c>
      <c r="F60">
        <v>1</v>
      </c>
      <c r="G60" t="s">
        <v>9617</v>
      </c>
    </row>
    <row r="61" spans="1:7" x14ac:dyDescent="0.25">
      <c r="A61" t="s">
        <v>8295</v>
      </c>
      <c r="B61" s="8">
        <v>57</v>
      </c>
      <c r="C61">
        <v>70</v>
      </c>
      <c r="D61" s="5">
        <v>44742</v>
      </c>
      <c r="E61" s="5" t="s">
        <v>4312</v>
      </c>
      <c r="F61">
        <v>1</v>
      </c>
      <c r="G61" t="s">
        <v>9618</v>
      </c>
    </row>
    <row r="62" spans="1:7" x14ac:dyDescent="0.25">
      <c r="A62" t="s">
        <v>8791</v>
      </c>
      <c r="B62" s="8">
        <v>58</v>
      </c>
      <c r="C62">
        <v>71</v>
      </c>
      <c r="D62" s="5">
        <v>45950</v>
      </c>
      <c r="E62" s="5" t="s">
        <v>4312</v>
      </c>
      <c r="F62">
        <v>1</v>
      </c>
      <c r="G62" t="s">
        <v>9619</v>
      </c>
    </row>
    <row r="63" spans="1:7" x14ac:dyDescent="0.25">
      <c r="A63" t="s">
        <v>8272</v>
      </c>
      <c r="B63" s="8">
        <v>59</v>
      </c>
      <c r="C63">
        <v>72</v>
      </c>
      <c r="D63" s="5">
        <v>45420</v>
      </c>
      <c r="E63" s="5" t="s">
        <v>4312</v>
      </c>
      <c r="F63">
        <v>1</v>
      </c>
      <c r="G63" t="s">
        <v>9620</v>
      </c>
    </row>
    <row r="64" spans="1:7" x14ac:dyDescent="0.25">
      <c r="A64" t="s">
        <v>8771</v>
      </c>
      <c r="B64" s="8">
        <v>60</v>
      </c>
      <c r="C64">
        <v>73</v>
      </c>
      <c r="D64" s="5">
        <v>45360</v>
      </c>
      <c r="E64" s="5" t="s">
        <v>4312</v>
      </c>
      <c r="F64">
        <v>1</v>
      </c>
      <c r="G64" t="s">
        <v>9621</v>
      </c>
    </row>
    <row r="65" spans="1:7" x14ac:dyDescent="0.25">
      <c r="A65" t="s">
        <v>8716</v>
      </c>
      <c r="B65" s="8">
        <v>61</v>
      </c>
      <c r="C65">
        <v>74</v>
      </c>
      <c r="D65" s="5">
        <v>45301</v>
      </c>
      <c r="E65" s="5" t="s">
        <v>4312</v>
      </c>
      <c r="F65">
        <v>1</v>
      </c>
      <c r="G65" t="s">
        <v>9622</v>
      </c>
    </row>
    <row r="66" spans="1:7" x14ac:dyDescent="0.25">
      <c r="A66" t="s">
        <v>8860</v>
      </c>
      <c r="B66" s="8">
        <v>62</v>
      </c>
      <c r="C66">
        <v>75</v>
      </c>
      <c r="D66" s="5">
        <v>45797</v>
      </c>
      <c r="E66" s="5" t="s">
        <v>4312</v>
      </c>
      <c r="F66">
        <v>1</v>
      </c>
      <c r="G66" t="s">
        <v>9623</v>
      </c>
    </row>
    <row r="67" spans="1:7" x14ac:dyDescent="0.25">
      <c r="A67" t="s">
        <v>8697</v>
      </c>
      <c r="B67" s="8">
        <v>63</v>
      </c>
      <c r="C67">
        <v>76</v>
      </c>
      <c r="D67" s="5">
        <v>44742</v>
      </c>
      <c r="E67" s="5" t="s">
        <v>4312</v>
      </c>
      <c r="F67">
        <v>1</v>
      </c>
      <c r="G67" t="s">
        <v>9624</v>
      </c>
    </row>
    <row r="68" spans="1:7" x14ac:dyDescent="0.25">
      <c r="A68" t="s">
        <v>8448</v>
      </c>
      <c r="B68" s="8">
        <v>64</v>
      </c>
      <c r="C68">
        <v>77</v>
      </c>
      <c r="D68" s="5">
        <v>45586</v>
      </c>
      <c r="E68" s="5" t="s">
        <v>4312</v>
      </c>
      <c r="F68">
        <v>1</v>
      </c>
      <c r="G68" t="s">
        <v>9625</v>
      </c>
    </row>
    <row r="69" spans="1:7" x14ac:dyDescent="0.25">
      <c r="A69" t="s">
        <v>8986</v>
      </c>
      <c r="B69" s="8">
        <v>65</v>
      </c>
      <c r="C69">
        <v>78</v>
      </c>
      <c r="D69" s="5">
        <v>44742</v>
      </c>
      <c r="E69" s="5" t="s">
        <v>4312</v>
      </c>
      <c r="F69">
        <v>1</v>
      </c>
      <c r="G69" t="s">
        <v>9626</v>
      </c>
    </row>
    <row r="70" spans="1:7" x14ac:dyDescent="0.25">
      <c r="A70" t="s">
        <v>8692</v>
      </c>
      <c r="B70" s="8">
        <v>66</v>
      </c>
      <c r="C70">
        <v>79</v>
      </c>
      <c r="D70" s="5">
        <v>45483</v>
      </c>
      <c r="E70" s="5" t="s">
        <v>4312</v>
      </c>
      <c r="F70">
        <v>1</v>
      </c>
      <c r="G70" t="s">
        <v>9627</v>
      </c>
    </row>
    <row r="71" spans="1:7" x14ac:dyDescent="0.25">
      <c r="A71" t="s">
        <v>8420</v>
      </c>
      <c r="B71" s="8">
        <v>67</v>
      </c>
      <c r="C71">
        <v>80</v>
      </c>
      <c r="D71" s="5" t="s">
        <v>4312</v>
      </c>
      <c r="E71" s="5" t="s">
        <v>4312</v>
      </c>
      <c r="F71">
        <v>1</v>
      </c>
      <c r="G71" t="s">
        <v>9628</v>
      </c>
    </row>
    <row r="72" spans="1:7" x14ac:dyDescent="0.25">
      <c r="A72" t="s">
        <v>8362</v>
      </c>
      <c r="B72" s="8" t="s">
        <v>4312</v>
      </c>
      <c r="C72">
        <v>81</v>
      </c>
      <c r="D72" s="5" t="s">
        <v>4312</v>
      </c>
      <c r="E72" s="5" t="s">
        <v>4312</v>
      </c>
      <c r="F72">
        <v>1</v>
      </c>
      <c r="G72" t="s">
        <v>9824</v>
      </c>
    </row>
    <row r="73" spans="1:7" x14ac:dyDescent="0.25">
      <c r="A73" t="s">
        <v>8566</v>
      </c>
      <c r="B73" s="8">
        <v>68</v>
      </c>
      <c r="C73">
        <v>82</v>
      </c>
      <c r="D73" s="5">
        <v>44705</v>
      </c>
      <c r="E73" s="5" t="s">
        <v>4312</v>
      </c>
      <c r="F73">
        <v>1</v>
      </c>
      <c r="G73" t="s">
        <v>9629</v>
      </c>
    </row>
    <row r="74" spans="1:7" x14ac:dyDescent="0.25">
      <c r="A74" t="s">
        <v>8356</v>
      </c>
      <c r="B74" s="8">
        <v>69</v>
      </c>
      <c r="C74">
        <v>83</v>
      </c>
      <c r="D74" s="5">
        <v>45077</v>
      </c>
      <c r="E74" s="5" t="s">
        <v>4312</v>
      </c>
      <c r="F74">
        <v>1</v>
      </c>
      <c r="G74" t="s">
        <v>9630</v>
      </c>
    </row>
    <row r="75" spans="1:7" x14ac:dyDescent="0.25">
      <c r="A75" t="s">
        <v>8859</v>
      </c>
      <c r="B75" s="8">
        <v>70</v>
      </c>
      <c r="C75">
        <v>84</v>
      </c>
      <c r="D75" s="5">
        <v>44742</v>
      </c>
      <c r="E75" s="5" t="s">
        <v>4312</v>
      </c>
      <c r="F75">
        <v>1</v>
      </c>
      <c r="G75" t="s">
        <v>9631</v>
      </c>
    </row>
    <row r="76" spans="1:7" x14ac:dyDescent="0.25">
      <c r="A76" t="s">
        <v>8515</v>
      </c>
      <c r="B76" s="8">
        <v>71</v>
      </c>
      <c r="C76">
        <v>85</v>
      </c>
      <c r="D76" s="5">
        <v>45544</v>
      </c>
      <c r="E76" s="5" t="s">
        <v>4312</v>
      </c>
      <c r="F76">
        <v>1</v>
      </c>
      <c r="G76" t="s">
        <v>9632</v>
      </c>
    </row>
    <row r="77" spans="1:7" x14ac:dyDescent="0.25">
      <c r="A77" t="s">
        <v>8417</v>
      </c>
      <c r="B77" s="8">
        <v>72</v>
      </c>
      <c r="C77">
        <v>86</v>
      </c>
      <c r="D77" s="5">
        <v>45261</v>
      </c>
      <c r="E77" s="5" t="s">
        <v>4312</v>
      </c>
      <c r="F77">
        <v>1</v>
      </c>
      <c r="G77" t="s">
        <v>9633</v>
      </c>
    </row>
    <row r="78" spans="1:7" x14ac:dyDescent="0.25">
      <c r="A78" t="s">
        <v>8607</v>
      </c>
      <c r="B78" s="8">
        <v>73</v>
      </c>
      <c r="C78">
        <v>87</v>
      </c>
      <c r="D78" s="5">
        <v>45070</v>
      </c>
      <c r="E78" s="5" t="s">
        <v>4312</v>
      </c>
      <c r="F78">
        <v>1</v>
      </c>
      <c r="G78" t="s">
        <v>9634</v>
      </c>
    </row>
    <row r="79" spans="1:7" x14ac:dyDescent="0.25">
      <c r="A79" t="s">
        <v>8717</v>
      </c>
      <c r="B79" s="8">
        <v>74</v>
      </c>
      <c r="C79">
        <v>88</v>
      </c>
      <c r="D79" s="5">
        <v>45863</v>
      </c>
      <c r="E79" s="5" t="s">
        <v>4312</v>
      </c>
      <c r="F79">
        <v>1</v>
      </c>
      <c r="G79" t="s">
        <v>9635</v>
      </c>
    </row>
    <row r="80" spans="1:7" x14ac:dyDescent="0.25">
      <c r="A80" t="s">
        <v>8621</v>
      </c>
      <c r="B80" s="8">
        <v>75</v>
      </c>
      <c r="C80">
        <v>89</v>
      </c>
      <c r="D80" s="5">
        <v>45383</v>
      </c>
      <c r="E80" s="5" t="s">
        <v>4312</v>
      </c>
      <c r="F80">
        <v>1</v>
      </c>
      <c r="G80" t="s">
        <v>9636</v>
      </c>
    </row>
    <row r="81" spans="1:7" x14ac:dyDescent="0.25">
      <c r="A81" t="s">
        <v>8613</v>
      </c>
      <c r="B81" s="8">
        <v>76</v>
      </c>
      <c r="C81">
        <v>90</v>
      </c>
      <c r="D81" s="5">
        <v>45621</v>
      </c>
      <c r="E81" s="5" t="s">
        <v>4312</v>
      </c>
      <c r="F81">
        <v>1</v>
      </c>
      <c r="G81" t="s">
        <v>9637</v>
      </c>
    </row>
    <row r="82" spans="1:7" x14ac:dyDescent="0.25">
      <c r="A82" t="s">
        <v>8450</v>
      </c>
      <c r="B82" s="8">
        <v>77</v>
      </c>
      <c r="C82">
        <v>91</v>
      </c>
      <c r="D82" s="5">
        <v>44742</v>
      </c>
      <c r="E82" s="5" t="s">
        <v>4312</v>
      </c>
      <c r="F82">
        <v>1</v>
      </c>
      <c r="G82" t="s">
        <v>9638</v>
      </c>
    </row>
    <row r="83" spans="1:7" x14ac:dyDescent="0.25">
      <c r="A83" t="s">
        <v>8559</v>
      </c>
      <c r="B83" s="8">
        <v>78</v>
      </c>
      <c r="C83">
        <v>92</v>
      </c>
      <c r="D83" s="5">
        <v>44995</v>
      </c>
      <c r="E83" s="5" t="s">
        <v>4312</v>
      </c>
      <c r="F83">
        <v>1</v>
      </c>
      <c r="G83" t="s">
        <v>9639</v>
      </c>
    </row>
    <row r="84" spans="1:7" x14ac:dyDescent="0.25">
      <c r="A84" t="s">
        <v>8286</v>
      </c>
      <c r="B84" s="8">
        <v>79</v>
      </c>
      <c r="C84">
        <v>93</v>
      </c>
      <c r="D84" s="5">
        <v>44849</v>
      </c>
      <c r="E84" s="5" t="s">
        <v>4312</v>
      </c>
      <c r="F84">
        <v>1</v>
      </c>
      <c r="G84" t="s">
        <v>9640</v>
      </c>
    </row>
    <row r="85" spans="1:7" x14ac:dyDescent="0.25">
      <c r="A85" t="s">
        <v>8964</v>
      </c>
      <c r="B85" s="8">
        <v>80</v>
      </c>
      <c r="C85">
        <v>94</v>
      </c>
      <c r="D85" s="5">
        <v>44015</v>
      </c>
      <c r="E85" s="5" t="s">
        <v>4312</v>
      </c>
      <c r="F85">
        <v>1</v>
      </c>
      <c r="G85" t="s">
        <v>9641</v>
      </c>
    </row>
    <row r="86" spans="1:7" x14ac:dyDescent="0.25">
      <c r="A86" t="s">
        <v>8957</v>
      </c>
      <c r="B86" s="8">
        <v>81</v>
      </c>
      <c r="C86">
        <v>95</v>
      </c>
      <c r="D86" s="5">
        <v>45467</v>
      </c>
      <c r="E86" s="5" t="s">
        <v>4312</v>
      </c>
      <c r="F86">
        <v>1</v>
      </c>
      <c r="G86" t="s">
        <v>9642</v>
      </c>
    </row>
    <row r="87" spans="1:7" x14ac:dyDescent="0.25">
      <c r="A87" t="s">
        <v>8243</v>
      </c>
      <c r="B87" s="8">
        <v>82</v>
      </c>
      <c r="C87">
        <v>96</v>
      </c>
      <c r="D87" s="5" t="s">
        <v>4312</v>
      </c>
      <c r="E87" s="5" t="s">
        <v>4312</v>
      </c>
      <c r="F87">
        <v>1</v>
      </c>
      <c r="G87" t="s">
        <v>9643</v>
      </c>
    </row>
    <row r="88" spans="1:7" x14ac:dyDescent="0.25">
      <c r="A88" t="s">
        <v>8335</v>
      </c>
      <c r="B88" s="8">
        <v>83</v>
      </c>
      <c r="C88">
        <v>97</v>
      </c>
      <c r="D88" s="5">
        <v>44862</v>
      </c>
      <c r="E88" s="5" t="s">
        <v>4312</v>
      </c>
      <c r="F88">
        <v>1</v>
      </c>
      <c r="G88" t="s">
        <v>9644</v>
      </c>
    </row>
    <row r="89" spans="1:7" x14ac:dyDescent="0.25">
      <c r="A89" t="s">
        <v>8270</v>
      </c>
      <c r="B89" s="8">
        <v>74</v>
      </c>
      <c r="C89">
        <v>98</v>
      </c>
      <c r="D89" s="5">
        <v>45923</v>
      </c>
      <c r="E89" s="5" t="s">
        <v>4312</v>
      </c>
      <c r="F89">
        <v>1</v>
      </c>
      <c r="G89" t="s">
        <v>9645</v>
      </c>
    </row>
    <row r="90" spans="1:7" x14ac:dyDescent="0.25">
      <c r="A90" t="s">
        <v>8825</v>
      </c>
      <c r="B90" s="8">
        <v>84</v>
      </c>
      <c r="C90">
        <v>99</v>
      </c>
      <c r="D90" s="5">
        <v>45544</v>
      </c>
      <c r="E90" s="5" t="s">
        <v>4312</v>
      </c>
      <c r="F90">
        <v>1</v>
      </c>
      <c r="G90" t="s">
        <v>9646</v>
      </c>
    </row>
    <row r="91" spans="1:7" x14ac:dyDescent="0.25">
      <c r="A91">
        <v>414</v>
      </c>
      <c r="B91" s="8">
        <v>85</v>
      </c>
      <c r="C91">
        <v>100</v>
      </c>
      <c r="D91" s="5">
        <v>45245</v>
      </c>
      <c r="E91" s="5" t="s">
        <v>4312</v>
      </c>
      <c r="F91">
        <v>1</v>
      </c>
      <c r="G91" t="s">
        <v>10106</v>
      </c>
    </row>
    <row r="92" spans="1:7" x14ac:dyDescent="0.25">
      <c r="A92">
        <v>287</v>
      </c>
      <c r="B92" s="8">
        <v>86</v>
      </c>
      <c r="C92">
        <v>101</v>
      </c>
      <c r="D92" s="5" t="s">
        <v>4312</v>
      </c>
      <c r="E92" s="5" t="s">
        <v>4312</v>
      </c>
      <c r="F92">
        <v>1</v>
      </c>
      <c r="G92" t="s">
        <v>10107</v>
      </c>
    </row>
    <row r="93" spans="1:7" x14ac:dyDescent="0.25">
      <c r="A93" t="s">
        <v>8409</v>
      </c>
      <c r="B93" s="8">
        <v>87</v>
      </c>
      <c r="C93">
        <v>102</v>
      </c>
      <c r="D93" s="5">
        <v>45720</v>
      </c>
      <c r="E93" s="5" t="s">
        <v>4312</v>
      </c>
      <c r="F93">
        <v>1</v>
      </c>
      <c r="G93" t="s">
        <v>9647</v>
      </c>
    </row>
    <row r="94" spans="1:7" x14ac:dyDescent="0.25">
      <c r="A94" t="s">
        <v>8837</v>
      </c>
      <c r="B94" s="8">
        <v>88</v>
      </c>
      <c r="C94">
        <v>103</v>
      </c>
      <c r="D94" s="5">
        <v>45326</v>
      </c>
      <c r="E94" s="5" t="s">
        <v>4312</v>
      </c>
      <c r="F94">
        <v>1</v>
      </c>
      <c r="G94" t="s">
        <v>9648</v>
      </c>
    </row>
    <row r="95" spans="1:7" x14ac:dyDescent="0.25">
      <c r="A95" t="s">
        <v>8557</v>
      </c>
      <c r="B95" s="8">
        <v>89</v>
      </c>
      <c r="C95">
        <v>104</v>
      </c>
      <c r="D95" s="5">
        <v>45689</v>
      </c>
      <c r="E95" s="5" t="s">
        <v>4312</v>
      </c>
      <c r="F95">
        <v>1</v>
      </c>
      <c r="G95" t="s">
        <v>9649</v>
      </c>
    </row>
    <row r="96" spans="1:7" x14ac:dyDescent="0.25">
      <c r="A96" t="s">
        <v>8691</v>
      </c>
      <c r="B96" s="8">
        <v>90</v>
      </c>
      <c r="C96">
        <v>105</v>
      </c>
      <c r="D96" s="5">
        <v>45326</v>
      </c>
      <c r="E96" s="5" t="s">
        <v>4312</v>
      </c>
      <c r="F96">
        <v>1</v>
      </c>
      <c r="G96" t="s">
        <v>9650</v>
      </c>
    </row>
    <row r="97" spans="1:7" x14ac:dyDescent="0.25">
      <c r="A97" t="s">
        <v>8348</v>
      </c>
      <c r="B97" s="8">
        <v>91</v>
      </c>
      <c r="C97">
        <v>106</v>
      </c>
      <c r="D97" s="5">
        <v>45439</v>
      </c>
      <c r="E97" s="5" t="s">
        <v>4312</v>
      </c>
      <c r="F97">
        <v>1</v>
      </c>
      <c r="G97" t="s">
        <v>9651</v>
      </c>
    </row>
    <row r="98" spans="1:7" x14ac:dyDescent="0.25">
      <c r="A98" t="s">
        <v>8564</v>
      </c>
      <c r="B98" s="8">
        <v>92</v>
      </c>
      <c r="C98">
        <v>107</v>
      </c>
      <c r="D98" s="5">
        <v>45712</v>
      </c>
      <c r="E98" s="5" t="s">
        <v>4312</v>
      </c>
      <c r="F98">
        <v>1</v>
      </c>
      <c r="G98" t="s">
        <v>9652</v>
      </c>
    </row>
    <row r="99" spans="1:7" x14ac:dyDescent="0.25">
      <c r="A99" t="s">
        <v>8216</v>
      </c>
      <c r="B99" s="8" t="s">
        <v>4312</v>
      </c>
      <c r="C99">
        <v>108</v>
      </c>
      <c r="D99" s="5">
        <v>43370</v>
      </c>
      <c r="E99" s="5" t="s">
        <v>4312</v>
      </c>
      <c r="F99">
        <v>1</v>
      </c>
      <c r="G99" t="s">
        <v>9825</v>
      </c>
    </row>
    <row r="100" spans="1:7" x14ac:dyDescent="0.25">
      <c r="A100" t="s">
        <v>8834</v>
      </c>
      <c r="B100" s="8">
        <v>93</v>
      </c>
      <c r="C100">
        <v>109</v>
      </c>
      <c r="D100" s="5">
        <v>44852</v>
      </c>
      <c r="E100" s="5" t="s">
        <v>4312</v>
      </c>
      <c r="F100">
        <v>1</v>
      </c>
      <c r="G100" t="s">
        <v>9653</v>
      </c>
    </row>
    <row r="101" spans="1:7" x14ac:dyDescent="0.25">
      <c r="A101" t="s">
        <v>8941</v>
      </c>
      <c r="B101" s="8">
        <v>94</v>
      </c>
      <c r="C101">
        <v>110</v>
      </c>
      <c r="D101" s="5">
        <v>45809</v>
      </c>
      <c r="E101" s="5" t="s">
        <v>4312</v>
      </c>
      <c r="F101">
        <v>1</v>
      </c>
      <c r="G101" t="s">
        <v>9654</v>
      </c>
    </row>
    <row r="102" spans="1:7" x14ac:dyDescent="0.25">
      <c r="A102" t="s">
        <v>8312</v>
      </c>
      <c r="B102" s="8">
        <v>95</v>
      </c>
      <c r="C102">
        <v>111</v>
      </c>
      <c r="D102" s="5">
        <v>44742</v>
      </c>
      <c r="E102" s="5" t="s">
        <v>4312</v>
      </c>
      <c r="F102">
        <v>1</v>
      </c>
      <c r="G102" t="s">
        <v>9655</v>
      </c>
    </row>
    <row r="103" spans="1:7" x14ac:dyDescent="0.25">
      <c r="A103" t="s">
        <v>8805</v>
      </c>
      <c r="B103" s="8">
        <v>96</v>
      </c>
      <c r="C103">
        <v>112</v>
      </c>
      <c r="D103" s="5">
        <v>45766</v>
      </c>
      <c r="E103" s="5" t="s">
        <v>4312</v>
      </c>
      <c r="F103">
        <v>1</v>
      </c>
      <c r="G103" t="s">
        <v>9656</v>
      </c>
    </row>
    <row r="104" spans="1:7" x14ac:dyDescent="0.25">
      <c r="A104" t="s">
        <v>8314</v>
      </c>
      <c r="B104" s="8">
        <v>97</v>
      </c>
      <c r="C104">
        <v>113</v>
      </c>
      <c r="D104" s="5" t="s">
        <v>4312</v>
      </c>
      <c r="E104" s="5" t="s">
        <v>4312</v>
      </c>
      <c r="F104">
        <v>1</v>
      </c>
      <c r="G104" t="s">
        <v>9657</v>
      </c>
    </row>
    <row r="105" spans="1:7" x14ac:dyDescent="0.25">
      <c r="A105" t="s">
        <v>8314</v>
      </c>
      <c r="B105" s="8" t="s">
        <v>4312</v>
      </c>
      <c r="C105">
        <v>114</v>
      </c>
      <c r="D105" s="5" t="s">
        <v>4312</v>
      </c>
      <c r="E105" s="5" t="s">
        <v>4312</v>
      </c>
      <c r="F105">
        <v>1</v>
      </c>
      <c r="G105" t="s">
        <v>9826</v>
      </c>
    </row>
    <row r="106" spans="1:7" x14ac:dyDescent="0.25">
      <c r="A106" t="s">
        <v>8600</v>
      </c>
      <c r="B106" s="8">
        <v>98</v>
      </c>
      <c r="C106">
        <v>115</v>
      </c>
      <c r="D106" s="5">
        <v>45184</v>
      </c>
      <c r="E106" s="5" t="s">
        <v>4312</v>
      </c>
      <c r="F106">
        <v>1</v>
      </c>
      <c r="G106" t="s">
        <v>9658</v>
      </c>
    </row>
    <row r="107" spans="1:7" x14ac:dyDescent="0.25">
      <c r="A107" t="s">
        <v>8451</v>
      </c>
      <c r="B107" s="8">
        <v>99</v>
      </c>
      <c r="C107">
        <v>116</v>
      </c>
      <c r="D107" s="5">
        <v>45839</v>
      </c>
      <c r="E107" s="5" t="s">
        <v>4312</v>
      </c>
      <c r="F107">
        <v>1</v>
      </c>
      <c r="G107" t="s">
        <v>9659</v>
      </c>
    </row>
    <row r="108" spans="1:7" x14ac:dyDescent="0.25">
      <c r="A108" t="s">
        <v>8881</v>
      </c>
      <c r="B108" s="8">
        <v>100</v>
      </c>
      <c r="C108">
        <v>117</v>
      </c>
      <c r="D108" s="5">
        <v>44728</v>
      </c>
      <c r="E108" s="5" t="s">
        <v>4312</v>
      </c>
      <c r="F108">
        <v>1</v>
      </c>
      <c r="G108" t="s">
        <v>9660</v>
      </c>
    </row>
    <row r="109" spans="1:7" x14ac:dyDescent="0.25">
      <c r="A109" t="s">
        <v>8974</v>
      </c>
      <c r="B109" s="8">
        <v>101</v>
      </c>
      <c r="C109">
        <v>118</v>
      </c>
      <c r="D109" s="5">
        <v>44728</v>
      </c>
      <c r="E109" s="5" t="s">
        <v>4312</v>
      </c>
      <c r="F109">
        <v>1</v>
      </c>
      <c r="G109" t="s">
        <v>9661</v>
      </c>
    </row>
    <row r="110" spans="1:7" x14ac:dyDescent="0.25">
      <c r="A110" t="s">
        <v>8215</v>
      </c>
      <c r="B110" s="8">
        <v>102</v>
      </c>
      <c r="C110">
        <v>119</v>
      </c>
      <c r="D110" s="5">
        <v>44790</v>
      </c>
      <c r="E110" s="5" t="s">
        <v>4312</v>
      </c>
      <c r="F110">
        <v>1</v>
      </c>
      <c r="G110" t="s">
        <v>9662</v>
      </c>
    </row>
    <row r="111" spans="1:7" x14ac:dyDescent="0.25">
      <c r="A111" t="s">
        <v>8368</v>
      </c>
      <c r="B111" s="8">
        <v>103</v>
      </c>
      <c r="C111">
        <v>120</v>
      </c>
      <c r="D111" s="5" t="s">
        <v>4312</v>
      </c>
      <c r="E111" s="5" t="s">
        <v>4312</v>
      </c>
      <c r="F111">
        <v>1</v>
      </c>
      <c r="G111" t="s">
        <v>9663</v>
      </c>
    </row>
    <row r="112" spans="1:7" x14ac:dyDescent="0.25">
      <c r="A112" t="s">
        <v>8559</v>
      </c>
      <c r="B112" s="8">
        <v>104</v>
      </c>
      <c r="C112">
        <v>121</v>
      </c>
      <c r="D112" s="5">
        <v>45930</v>
      </c>
      <c r="E112" s="5" t="s">
        <v>4312</v>
      </c>
      <c r="F112">
        <v>1</v>
      </c>
      <c r="G112" t="s">
        <v>9664</v>
      </c>
    </row>
    <row r="113" spans="1:7" x14ac:dyDescent="0.25">
      <c r="A113" t="s">
        <v>8597</v>
      </c>
      <c r="B113" s="8">
        <v>105</v>
      </c>
      <c r="C113">
        <v>122</v>
      </c>
      <c r="D113" s="5">
        <v>45960</v>
      </c>
      <c r="E113" s="5" t="s">
        <v>4312</v>
      </c>
      <c r="F113">
        <v>1</v>
      </c>
      <c r="G113" t="s">
        <v>9665</v>
      </c>
    </row>
    <row r="114" spans="1:7" x14ac:dyDescent="0.25">
      <c r="A114" t="s">
        <v>8707</v>
      </c>
      <c r="B114" s="8">
        <v>106</v>
      </c>
      <c r="C114">
        <v>123</v>
      </c>
      <c r="D114" s="5">
        <v>45911</v>
      </c>
      <c r="E114" s="5" t="s">
        <v>4312</v>
      </c>
      <c r="F114">
        <v>1</v>
      </c>
      <c r="G114" t="s">
        <v>9666</v>
      </c>
    </row>
    <row r="115" spans="1:7" x14ac:dyDescent="0.25">
      <c r="A115" t="s">
        <v>8416</v>
      </c>
      <c r="B115" s="8">
        <v>107</v>
      </c>
      <c r="C115">
        <v>124</v>
      </c>
      <c r="D115" s="5">
        <v>45028</v>
      </c>
      <c r="E115" s="5" t="s">
        <v>4312</v>
      </c>
      <c r="F115">
        <v>1</v>
      </c>
      <c r="G115" t="s">
        <v>9667</v>
      </c>
    </row>
    <row r="116" spans="1:7" x14ac:dyDescent="0.25">
      <c r="A116" t="s">
        <v>8349</v>
      </c>
      <c r="B116" s="8">
        <v>108</v>
      </c>
      <c r="C116">
        <v>125</v>
      </c>
      <c r="D116" s="5">
        <v>45050</v>
      </c>
      <c r="E116" s="5" t="s">
        <v>4312</v>
      </c>
      <c r="F116">
        <v>1</v>
      </c>
      <c r="G116" t="s">
        <v>9668</v>
      </c>
    </row>
    <row r="117" spans="1:7" x14ac:dyDescent="0.25">
      <c r="A117" t="s">
        <v>8988</v>
      </c>
      <c r="B117" s="8">
        <v>109</v>
      </c>
      <c r="C117">
        <v>126</v>
      </c>
      <c r="D117" s="5">
        <v>45713</v>
      </c>
      <c r="E117" s="5" t="s">
        <v>4312</v>
      </c>
      <c r="F117">
        <v>1</v>
      </c>
      <c r="G117" t="s">
        <v>9669</v>
      </c>
    </row>
    <row r="118" spans="1:7" x14ac:dyDescent="0.25">
      <c r="A118" t="s">
        <v>8907</v>
      </c>
      <c r="B118" s="8">
        <v>110</v>
      </c>
      <c r="C118">
        <v>127</v>
      </c>
      <c r="D118" s="5">
        <v>45852</v>
      </c>
      <c r="E118" s="5" t="s">
        <v>4312</v>
      </c>
      <c r="F118">
        <v>1</v>
      </c>
      <c r="G118" t="s">
        <v>9670</v>
      </c>
    </row>
    <row r="119" spans="1:7" x14ac:dyDescent="0.25">
      <c r="A119" t="s">
        <v>8411</v>
      </c>
      <c r="B119" s="8">
        <v>111</v>
      </c>
      <c r="C119">
        <v>128</v>
      </c>
      <c r="D119" s="5">
        <v>45383</v>
      </c>
      <c r="E119" s="5" t="s">
        <v>4312</v>
      </c>
      <c r="F119">
        <v>1</v>
      </c>
      <c r="G119" t="s">
        <v>9671</v>
      </c>
    </row>
    <row r="120" spans="1:7" x14ac:dyDescent="0.25">
      <c r="A120" t="s">
        <v>8249</v>
      </c>
      <c r="B120" s="8">
        <v>112</v>
      </c>
      <c r="C120">
        <v>129</v>
      </c>
      <c r="D120" s="5">
        <v>45642</v>
      </c>
      <c r="E120" s="5" t="s">
        <v>4312</v>
      </c>
      <c r="F120">
        <v>1</v>
      </c>
      <c r="G120" t="s">
        <v>9672</v>
      </c>
    </row>
    <row r="121" spans="1:7" x14ac:dyDescent="0.25">
      <c r="A121" t="s">
        <v>8736</v>
      </c>
      <c r="B121" s="8">
        <v>113</v>
      </c>
      <c r="C121">
        <v>130</v>
      </c>
      <c r="D121" s="5">
        <v>44742</v>
      </c>
      <c r="E121" s="5" t="s">
        <v>4312</v>
      </c>
      <c r="F121">
        <v>1</v>
      </c>
      <c r="G121" t="s">
        <v>9673</v>
      </c>
    </row>
    <row r="122" spans="1:7" x14ac:dyDescent="0.25">
      <c r="A122" t="s">
        <v>8510</v>
      </c>
      <c r="B122" s="8">
        <v>114</v>
      </c>
      <c r="C122">
        <v>131</v>
      </c>
      <c r="D122" s="5">
        <v>45614</v>
      </c>
      <c r="E122" s="5" t="s">
        <v>4312</v>
      </c>
      <c r="F122">
        <v>1</v>
      </c>
      <c r="G122" t="s">
        <v>9674</v>
      </c>
    </row>
    <row r="123" spans="1:7" x14ac:dyDescent="0.25">
      <c r="A123" t="s">
        <v>8795</v>
      </c>
      <c r="B123" s="8">
        <v>115</v>
      </c>
      <c r="C123">
        <v>132</v>
      </c>
      <c r="D123" s="5">
        <v>45007</v>
      </c>
      <c r="E123" s="5" t="s">
        <v>4312</v>
      </c>
      <c r="F123">
        <v>1</v>
      </c>
      <c r="G123" t="s">
        <v>9675</v>
      </c>
    </row>
    <row r="124" spans="1:7" x14ac:dyDescent="0.25">
      <c r="A124" t="s">
        <v>8405</v>
      </c>
      <c r="B124" s="8">
        <v>116</v>
      </c>
      <c r="C124">
        <v>133</v>
      </c>
      <c r="D124" s="5">
        <v>45198</v>
      </c>
      <c r="E124" s="5" t="s">
        <v>4312</v>
      </c>
      <c r="F124">
        <v>1</v>
      </c>
      <c r="G124" t="s">
        <v>9676</v>
      </c>
    </row>
    <row r="125" spans="1:7" x14ac:dyDescent="0.25">
      <c r="A125" t="s">
        <v>8818</v>
      </c>
      <c r="B125" s="8">
        <v>117</v>
      </c>
      <c r="C125">
        <v>134</v>
      </c>
      <c r="D125" s="5">
        <v>45259</v>
      </c>
      <c r="E125" s="5" t="s">
        <v>4312</v>
      </c>
      <c r="F125">
        <v>1</v>
      </c>
      <c r="G125" t="s">
        <v>9677</v>
      </c>
    </row>
    <row r="126" spans="1:7" x14ac:dyDescent="0.25">
      <c r="A126" t="s">
        <v>8253</v>
      </c>
      <c r="B126" s="8">
        <v>118</v>
      </c>
      <c r="C126">
        <v>135</v>
      </c>
      <c r="D126" s="5">
        <v>44742</v>
      </c>
      <c r="E126" s="5" t="s">
        <v>4312</v>
      </c>
      <c r="F126">
        <v>1</v>
      </c>
      <c r="G126" t="s">
        <v>9678</v>
      </c>
    </row>
    <row r="127" spans="1:7" x14ac:dyDescent="0.25">
      <c r="A127" t="s">
        <v>8553</v>
      </c>
      <c r="B127" s="8">
        <v>119</v>
      </c>
      <c r="C127">
        <v>136</v>
      </c>
      <c r="D127" s="5">
        <v>45439</v>
      </c>
      <c r="E127" s="5" t="s">
        <v>4312</v>
      </c>
      <c r="F127">
        <v>1</v>
      </c>
      <c r="G127" t="s">
        <v>9679</v>
      </c>
    </row>
    <row r="128" spans="1:7" x14ac:dyDescent="0.25">
      <c r="A128" t="s">
        <v>8660</v>
      </c>
      <c r="B128" s="8">
        <v>120</v>
      </c>
      <c r="C128">
        <v>138</v>
      </c>
      <c r="D128" s="5">
        <v>45609</v>
      </c>
      <c r="E128" s="5" t="s">
        <v>4312</v>
      </c>
      <c r="F128">
        <v>1</v>
      </c>
      <c r="G128" t="s">
        <v>9680</v>
      </c>
    </row>
    <row r="129" spans="1:7" x14ac:dyDescent="0.25">
      <c r="A129" t="s">
        <v>8710</v>
      </c>
      <c r="B129" s="8">
        <v>121</v>
      </c>
      <c r="C129">
        <v>140</v>
      </c>
      <c r="D129" s="5">
        <v>45919</v>
      </c>
      <c r="E129" s="5" t="s">
        <v>4312</v>
      </c>
      <c r="F129">
        <v>1</v>
      </c>
      <c r="G129" t="s">
        <v>9681</v>
      </c>
    </row>
    <row r="130" spans="1:7" x14ac:dyDescent="0.25">
      <c r="A130" t="s">
        <v>8753</v>
      </c>
      <c r="B130" s="8">
        <v>122</v>
      </c>
      <c r="C130">
        <v>141</v>
      </c>
      <c r="D130" s="5">
        <v>44742</v>
      </c>
      <c r="E130" s="5" t="s">
        <v>4312</v>
      </c>
      <c r="F130">
        <v>1</v>
      </c>
      <c r="G130" t="s">
        <v>9682</v>
      </c>
    </row>
    <row r="131" spans="1:7" x14ac:dyDescent="0.25">
      <c r="A131" t="s">
        <v>8696</v>
      </c>
      <c r="B131" s="8">
        <v>123</v>
      </c>
      <c r="C131">
        <v>142</v>
      </c>
      <c r="D131" s="5">
        <v>45966</v>
      </c>
      <c r="E131" s="5" t="s">
        <v>4312</v>
      </c>
      <c r="F131">
        <v>1</v>
      </c>
      <c r="G131" t="s">
        <v>9683</v>
      </c>
    </row>
    <row r="132" spans="1:7" x14ac:dyDescent="0.25">
      <c r="A132" t="s">
        <v>8568</v>
      </c>
      <c r="B132" s="8">
        <v>124</v>
      </c>
      <c r="C132">
        <v>147</v>
      </c>
      <c r="D132" s="5">
        <v>45544</v>
      </c>
      <c r="E132" s="5" t="s">
        <v>4312</v>
      </c>
      <c r="F132">
        <v>1</v>
      </c>
      <c r="G132" t="s">
        <v>9684</v>
      </c>
    </row>
    <row r="133" spans="1:7" x14ac:dyDescent="0.25">
      <c r="A133" t="s">
        <v>8259</v>
      </c>
      <c r="B133" s="8" t="s">
        <v>4312</v>
      </c>
      <c r="C133">
        <v>148</v>
      </c>
      <c r="D133" s="5" t="s">
        <v>4312</v>
      </c>
      <c r="E133" s="5" t="s">
        <v>4312</v>
      </c>
      <c r="F133">
        <v>1</v>
      </c>
      <c r="G133" t="s">
        <v>9827</v>
      </c>
    </row>
    <row r="134" spans="1:7" x14ac:dyDescent="0.25">
      <c r="A134" t="s">
        <v>8240</v>
      </c>
      <c r="B134" s="8">
        <v>125</v>
      </c>
      <c r="C134">
        <v>149</v>
      </c>
      <c r="D134" s="5">
        <v>45762</v>
      </c>
      <c r="E134" s="5" t="s">
        <v>4312</v>
      </c>
      <c r="F134">
        <v>1</v>
      </c>
      <c r="G134" t="s">
        <v>9685</v>
      </c>
    </row>
    <row r="135" spans="1:7" x14ac:dyDescent="0.25">
      <c r="A135" t="s">
        <v>8623</v>
      </c>
      <c r="B135" s="8">
        <v>126</v>
      </c>
      <c r="C135">
        <v>150</v>
      </c>
      <c r="D135" s="5">
        <v>45964</v>
      </c>
      <c r="E135" s="5" t="s">
        <v>4312</v>
      </c>
      <c r="F135">
        <v>1</v>
      </c>
      <c r="G135" t="s">
        <v>9686</v>
      </c>
    </row>
    <row r="136" spans="1:7" x14ac:dyDescent="0.25">
      <c r="A136" t="s">
        <v>8977</v>
      </c>
      <c r="B136" s="8">
        <v>127</v>
      </c>
      <c r="C136">
        <v>152</v>
      </c>
      <c r="D136" s="5">
        <v>44742</v>
      </c>
      <c r="E136" s="5" t="s">
        <v>4312</v>
      </c>
      <c r="F136">
        <v>1</v>
      </c>
      <c r="G136" t="s">
        <v>9687</v>
      </c>
    </row>
    <row r="137" spans="1:7" x14ac:dyDescent="0.25">
      <c r="A137" t="s">
        <v>8454</v>
      </c>
      <c r="B137" s="8">
        <v>128</v>
      </c>
      <c r="C137">
        <v>154</v>
      </c>
      <c r="D137" s="5">
        <v>45966</v>
      </c>
      <c r="E137" s="5" t="s">
        <v>4312</v>
      </c>
      <c r="F137">
        <v>1</v>
      </c>
      <c r="G137" t="s">
        <v>9688</v>
      </c>
    </row>
    <row r="138" spans="1:7" x14ac:dyDescent="0.25">
      <c r="A138" t="s">
        <v>8527</v>
      </c>
      <c r="B138" s="8">
        <v>129</v>
      </c>
      <c r="C138">
        <v>155</v>
      </c>
      <c r="D138" s="5">
        <v>44880</v>
      </c>
      <c r="E138" s="5" t="s">
        <v>4312</v>
      </c>
      <c r="F138">
        <v>1</v>
      </c>
      <c r="G138" t="s">
        <v>9689</v>
      </c>
    </row>
    <row r="139" spans="1:7" x14ac:dyDescent="0.25">
      <c r="A139" t="s">
        <v>8635</v>
      </c>
      <c r="B139" s="8">
        <v>130</v>
      </c>
      <c r="C139">
        <v>156</v>
      </c>
      <c r="D139" s="5">
        <v>44742</v>
      </c>
      <c r="E139" s="5" t="s">
        <v>4312</v>
      </c>
      <c r="F139">
        <v>1</v>
      </c>
      <c r="G139" t="s">
        <v>9690</v>
      </c>
    </row>
    <row r="140" spans="1:7" x14ac:dyDescent="0.25">
      <c r="A140" t="s">
        <v>8775</v>
      </c>
      <c r="B140" s="8">
        <v>131</v>
      </c>
      <c r="C140">
        <v>157</v>
      </c>
      <c r="D140" s="5">
        <v>44760</v>
      </c>
      <c r="E140" s="5" t="s">
        <v>4312</v>
      </c>
      <c r="F140">
        <v>1</v>
      </c>
      <c r="G140" t="s">
        <v>9691</v>
      </c>
    </row>
    <row r="141" spans="1:7" x14ac:dyDescent="0.25">
      <c r="A141" t="s">
        <v>8526</v>
      </c>
      <c r="B141" s="8">
        <v>132</v>
      </c>
      <c r="C141">
        <v>158</v>
      </c>
      <c r="D141" s="5">
        <v>44742</v>
      </c>
      <c r="E141" s="5" t="s">
        <v>4312</v>
      </c>
      <c r="F141">
        <v>1</v>
      </c>
      <c r="G141" t="s">
        <v>9692</v>
      </c>
    </row>
    <row r="142" spans="1:7" x14ac:dyDescent="0.25">
      <c r="A142" t="s">
        <v>8361</v>
      </c>
      <c r="B142" s="8">
        <v>133</v>
      </c>
      <c r="C142">
        <v>159</v>
      </c>
      <c r="D142" s="5">
        <v>44742</v>
      </c>
      <c r="E142" s="5" t="s">
        <v>4312</v>
      </c>
      <c r="F142">
        <v>1</v>
      </c>
      <c r="G142" t="s">
        <v>9693</v>
      </c>
    </row>
    <row r="143" spans="1:7" x14ac:dyDescent="0.25">
      <c r="A143" t="s">
        <v>8283</v>
      </c>
      <c r="B143" s="8">
        <v>134</v>
      </c>
      <c r="C143">
        <v>160</v>
      </c>
      <c r="D143" s="5">
        <v>44061</v>
      </c>
      <c r="E143" s="5" t="s">
        <v>4312</v>
      </c>
      <c r="F143">
        <v>1</v>
      </c>
      <c r="G143" t="s">
        <v>9694</v>
      </c>
    </row>
    <row r="144" spans="1:7" x14ac:dyDescent="0.25">
      <c r="A144" t="s">
        <v>8290</v>
      </c>
      <c r="B144" s="8">
        <v>135</v>
      </c>
      <c r="C144">
        <v>161</v>
      </c>
      <c r="D144" s="5">
        <v>44742</v>
      </c>
      <c r="E144" s="5" t="s">
        <v>4312</v>
      </c>
      <c r="F144">
        <v>1</v>
      </c>
      <c r="G144" t="s">
        <v>9695</v>
      </c>
    </row>
    <row r="145" spans="1:7" x14ac:dyDescent="0.25">
      <c r="A145" t="s">
        <v>8395</v>
      </c>
      <c r="B145" s="8">
        <v>136</v>
      </c>
      <c r="C145">
        <v>162</v>
      </c>
      <c r="D145" s="5">
        <v>45908</v>
      </c>
      <c r="E145" s="5" t="s">
        <v>4312</v>
      </c>
      <c r="F145">
        <v>1</v>
      </c>
      <c r="G145" t="s">
        <v>9696</v>
      </c>
    </row>
    <row r="146" spans="1:7" x14ac:dyDescent="0.25">
      <c r="A146" t="s">
        <v>8369</v>
      </c>
      <c r="B146" s="8">
        <v>137</v>
      </c>
      <c r="C146">
        <v>164</v>
      </c>
      <c r="D146" s="5">
        <v>45053</v>
      </c>
      <c r="E146" s="5" t="s">
        <v>4312</v>
      </c>
      <c r="F146">
        <v>1</v>
      </c>
      <c r="G146" t="s">
        <v>9697</v>
      </c>
    </row>
    <row r="147" spans="1:7" x14ac:dyDescent="0.25">
      <c r="A147" t="s">
        <v>8273</v>
      </c>
      <c r="B147" s="8">
        <v>138</v>
      </c>
      <c r="C147">
        <v>165</v>
      </c>
      <c r="D147" s="5">
        <v>45975</v>
      </c>
      <c r="E147" s="5" t="s">
        <v>4312</v>
      </c>
      <c r="F147">
        <v>1</v>
      </c>
      <c r="G147" t="s">
        <v>9698</v>
      </c>
    </row>
    <row r="148" spans="1:7" x14ac:dyDescent="0.25">
      <c r="A148" t="s">
        <v>8320</v>
      </c>
      <c r="B148" s="8">
        <v>139</v>
      </c>
      <c r="C148">
        <v>166</v>
      </c>
      <c r="D148" s="5">
        <v>44742</v>
      </c>
      <c r="E148" s="5" t="s">
        <v>4312</v>
      </c>
      <c r="F148">
        <v>1</v>
      </c>
      <c r="G148" t="s">
        <v>9699</v>
      </c>
    </row>
    <row r="149" spans="1:7" x14ac:dyDescent="0.25">
      <c r="A149" t="s">
        <v>8476</v>
      </c>
      <c r="B149" s="8">
        <v>140</v>
      </c>
      <c r="C149">
        <v>167</v>
      </c>
      <c r="D149" s="5">
        <v>45854</v>
      </c>
      <c r="E149" s="5" t="s">
        <v>4312</v>
      </c>
      <c r="F149">
        <v>1</v>
      </c>
      <c r="G149" t="s">
        <v>9700</v>
      </c>
    </row>
    <row r="150" spans="1:7" x14ac:dyDescent="0.25">
      <c r="A150" t="s">
        <v>8304</v>
      </c>
      <c r="B150" s="8">
        <v>141</v>
      </c>
      <c r="C150">
        <v>168</v>
      </c>
      <c r="D150" s="5">
        <v>45751</v>
      </c>
      <c r="E150" s="5" t="s">
        <v>4312</v>
      </c>
      <c r="F150">
        <v>1</v>
      </c>
      <c r="G150" t="s">
        <v>9701</v>
      </c>
    </row>
    <row r="151" spans="1:7" x14ac:dyDescent="0.25">
      <c r="A151" t="s">
        <v>8687</v>
      </c>
      <c r="B151" s="8">
        <v>142</v>
      </c>
      <c r="C151">
        <v>169</v>
      </c>
      <c r="D151" s="5">
        <v>45586</v>
      </c>
      <c r="E151" s="5" t="s">
        <v>4312</v>
      </c>
      <c r="F151">
        <v>1</v>
      </c>
      <c r="G151" t="s">
        <v>9702</v>
      </c>
    </row>
    <row r="152" spans="1:7" x14ac:dyDescent="0.25">
      <c r="A152" t="s">
        <v>8892</v>
      </c>
      <c r="B152" s="8">
        <v>143</v>
      </c>
      <c r="C152">
        <v>170</v>
      </c>
      <c r="D152" s="5">
        <v>44875</v>
      </c>
      <c r="E152" s="5" t="s">
        <v>4312</v>
      </c>
      <c r="F152">
        <v>1</v>
      </c>
      <c r="G152" t="s">
        <v>9703</v>
      </c>
    </row>
    <row r="153" spans="1:7" x14ac:dyDescent="0.25">
      <c r="A153" t="s">
        <v>8654</v>
      </c>
      <c r="B153" s="8">
        <v>144</v>
      </c>
      <c r="C153">
        <v>171</v>
      </c>
      <c r="D153" s="5">
        <v>45257</v>
      </c>
      <c r="E153" s="5" t="s">
        <v>4312</v>
      </c>
      <c r="F153">
        <v>1</v>
      </c>
      <c r="G153" t="s">
        <v>9704</v>
      </c>
    </row>
    <row r="154" spans="1:7" x14ac:dyDescent="0.25">
      <c r="A154" t="s">
        <v>8700</v>
      </c>
      <c r="B154" s="8">
        <v>145</v>
      </c>
      <c r="C154">
        <v>172</v>
      </c>
      <c r="D154" s="5">
        <v>45586</v>
      </c>
      <c r="E154" s="5" t="s">
        <v>4312</v>
      </c>
      <c r="F154">
        <v>1</v>
      </c>
      <c r="G154" t="s">
        <v>9705</v>
      </c>
    </row>
    <row r="155" spans="1:7" x14ac:dyDescent="0.25">
      <c r="A155" t="s">
        <v>8731</v>
      </c>
      <c r="B155" s="8">
        <v>146</v>
      </c>
      <c r="C155">
        <v>173</v>
      </c>
      <c r="D155" s="5">
        <v>45842</v>
      </c>
      <c r="E155" s="5" t="s">
        <v>4312</v>
      </c>
      <c r="F155">
        <v>1</v>
      </c>
      <c r="G155" t="s">
        <v>9706</v>
      </c>
    </row>
    <row r="156" spans="1:7" x14ac:dyDescent="0.25">
      <c r="A156" t="s">
        <v>8874</v>
      </c>
      <c r="B156" s="8">
        <v>147</v>
      </c>
      <c r="C156">
        <v>174</v>
      </c>
      <c r="D156" s="5">
        <v>45595</v>
      </c>
      <c r="E156" s="5" t="s">
        <v>4312</v>
      </c>
      <c r="F156">
        <v>1</v>
      </c>
      <c r="G156" t="s">
        <v>9707</v>
      </c>
    </row>
    <row r="157" spans="1:7" x14ac:dyDescent="0.25">
      <c r="A157" t="s">
        <v>8247</v>
      </c>
      <c r="B157" s="8">
        <v>148</v>
      </c>
      <c r="C157">
        <v>175</v>
      </c>
      <c r="D157" s="5">
        <v>45680</v>
      </c>
      <c r="E157" s="5" t="s">
        <v>4312</v>
      </c>
      <c r="F157">
        <v>1</v>
      </c>
      <c r="G157" t="s">
        <v>9708</v>
      </c>
    </row>
    <row r="158" spans="1:7" x14ac:dyDescent="0.25">
      <c r="A158" t="s">
        <v>8292</v>
      </c>
      <c r="B158" s="8">
        <v>149</v>
      </c>
      <c r="C158">
        <v>176</v>
      </c>
      <c r="D158" s="5">
        <v>45053</v>
      </c>
      <c r="E158" s="5" t="s">
        <v>4312</v>
      </c>
      <c r="F158">
        <v>1</v>
      </c>
      <c r="G158" t="s">
        <v>9709</v>
      </c>
    </row>
    <row r="159" spans="1:7" x14ac:dyDescent="0.25">
      <c r="A159" t="s">
        <v>8250</v>
      </c>
      <c r="B159" s="8">
        <v>150</v>
      </c>
      <c r="C159">
        <v>177</v>
      </c>
      <c r="D159" s="5">
        <v>45179</v>
      </c>
      <c r="E159" s="5" t="s">
        <v>4312</v>
      </c>
      <c r="F159">
        <v>1</v>
      </c>
      <c r="G159" t="s">
        <v>9710</v>
      </c>
    </row>
    <row r="160" spans="1:7" x14ac:dyDescent="0.25">
      <c r="A160" t="s">
        <v>8452</v>
      </c>
      <c r="B160" s="8">
        <v>151</v>
      </c>
      <c r="C160">
        <v>178</v>
      </c>
      <c r="D160" s="5">
        <v>45161</v>
      </c>
      <c r="E160" s="5" t="s">
        <v>4312</v>
      </c>
      <c r="F160">
        <v>1</v>
      </c>
      <c r="G160" t="s">
        <v>9711</v>
      </c>
    </row>
    <row r="161" spans="1:7" x14ac:dyDescent="0.25">
      <c r="A161" t="s">
        <v>8675</v>
      </c>
      <c r="B161" s="8">
        <v>152</v>
      </c>
      <c r="C161">
        <v>179</v>
      </c>
      <c r="D161" s="5">
        <v>45053</v>
      </c>
      <c r="E161" s="5" t="s">
        <v>4312</v>
      </c>
      <c r="F161">
        <v>1</v>
      </c>
      <c r="G161" t="s">
        <v>9712</v>
      </c>
    </row>
    <row r="162" spans="1:7" x14ac:dyDescent="0.25">
      <c r="A162" t="s">
        <v>8614</v>
      </c>
      <c r="B162" s="8">
        <v>153</v>
      </c>
      <c r="C162">
        <v>180</v>
      </c>
      <c r="D162" s="5">
        <v>45219</v>
      </c>
      <c r="E162" s="5" t="s">
        <v>4312</v>
      </c>
      <c r="F162">
        <v>1</v>
      </c>
      <c r="G162" t="s">
        <v>9713</v>
      </c>
    </row>
    <row r="163" spans="1:7" x14ac:dyDescent="0.25">
      <c r="A163" t="s">
        <v>8323</v>
      </c>
      <c r="B163" s="8">
        <v>154</v>
      </c>
      <c r="C163">
        <v>181</v>
      </c>
      <c r="D163" s="5">
        <v>45053</v>
      </c>
      <c r="E163" s="5" t="s">
        <v>4312</v>
      </c>
      <c r="F163">
        <v>1</v>
      </c>
      <c r="G163" t="s">
        <v>9714</v>
      </c>
    </row>
    <row r="164" spans="1:7" x14ac:dyDescent="0.25">
      <c r="A164" t="s">
        <v>8780</v>
      </c>
      <c r="B164" s="8">
        <v>155</v>
      </c>
      <c r="C164">
        <v>182</v>
      </c>
      <c r="D164" s="5">
        <v>45874</v>
      </c>
      <c r="E164" s="5" t="s">
        <v>4312</v>
      </c>
      <c r="F164">
        <v>1</v>
      </c>
      <c r="G164" t="s">
        <v>9715</v>
      </c>
    </row>
    <row r="165" spans="1:7" x14ac:dyDescent="0.25">
      <c r="A165" t="s">
        <v>8453</v>
      </c>
      <c r="B165" s="8">
        <v>156</v>
      </c>
      <c r="C165">
        <v>183</v>
      </c>
      <c r="D165" s="5">
        <v>45184</v>
      </c>
      <c r="E165" s="5" t="s">
        <v>4312</v>
      </c>
      <c r="F165">
        <v>1</v>
      </c>
      <c r="G165" t="s">
        <v>9716</v>
      </c>
    </row>
    <row r="166" spans="1:7" x14ac:dyDescent="0.25">
      <c r="A166" t="s">
        <v>8830</v>
      </c>
      <c r="B166" s="8">
        <v>157</v>
      </c>
      <c r="C166">
        <v>184</v>
      </c>
      <c r="D166" s="5">
        <v>45849</v>
      </c>
      <c r="E166" s="5" t="s">
        <v>4312</v>
      </c>
      <c r="F166">
        <v>1</v>
      </c>
      <c r="G166" t="s">
        <v>9717</v>
      </c>
    </row>
    <row r="167" spans="1:7" x14ac:dyDescent="0.25">
      <c r="A167" t="s">
        <v>8681</v>
      </c>
      <c r="B167" s="8">
        <v>158</v>
      </c>
      <c r="C167">
        <v>186</v>
      </c>
      <c r="D167" s="5">
        <v>44879</v>
      </c>
      <c r="E167" s="5" t="s">
        <v>4312</v>
      </c>
      <c r="F167">
        <v>1</v>
      </c>
      <c r="G167" t="s">
        <v>9718</v>
      </c>
    </row>
    <row r="168" spans="1:7" x14ac:dyDescent="0.25">
      <c r="A168" t="s">
        <v>8680</v>
      </c>
      <c r="B168" s="8">
        <v>159</v>
      </c>
      <c r="C168">
        <v>187</v>
      </c>
      <c r="D168" s="5">
        <v>44968</v>
      </c>
      <c r="E168" s="5" t="s">
        <v>4312</v>
      </c>
      <c r="F168">
        <v>1</v>
      </c>
      <c r="G168" t="s">
        <v>9719</v>
      </c>
    </row>
    <row r="169" spans="1:7" x14ac:dyDescent="0.25">
      <c r="A169" t="s">
        <v>8624</v>
      </c>
      <c r="B169" s="8">
        <v>160</v>
      </c>
      <c r="C169">
        <v>188</v>
      </c>
      <c r="D169" s="5" t="s">
        <v>4312</v>
      </c>
      <c r="E169" s="5" t="s">
        <v>4312</v>
      </c>
      <c r="F169">
        <v>1</v>
      </c>
      <c r="G169" t="s">
        <v>9720</v>
      </c>
    </row>
    <row r="170" spans="1:7" x14ac:dyDescent="0.25">
      <c r="A170" t="s">
        <v>8887</v>
      </c>
      <c r="B170" s="8">
        <v>161</v>
      </c>
      <c r="C170">
        <v>189</v>
      </c>
      <c r="D170" s="5">
        <v>45454</v>
      </c>
      <c r="E170" s="5" t="s">
        <v>4312</v>
      </c>
      <c r="F170">
        <v>1</v>
      </c>
      <c r="G170" t="s">
        <v>9721</v>
      </c>
    </row>
    <row r="171" spans="1:7" x14ac:dyDescent="0.25">
      <c r="A171" t="s">
        <v>8798</v>
      </c>
      <c r="B171" s="8">
        <v>162</v>
      </c>
      <c r="C171">
        <v>190</v>
      </c>
      <c r="D171" s="5">
        <v>45911</v>
      </c>
      <c r="E171" s="5" t="s">
        <v>4312</v>
      </c>
      <c r="F171">
        <v>1</v>
      </c>
      <c r="G171" t="s">
        <v>9722</v>
      </c>
    </row>
    <row r="172" spans="1:7" x14ac:dyDescent="0.25">
      <c r="A172" t="s">
        <v>8499</v>
      </c>
      <c r="B172" s="8">
        <v>163</v>
      </c>
      <c r="C172">
        <v>191</v>
      </c>
      <c r="D172" s="5">
        <v>45337</v>
      </c>
      <c r="E172" s="5" t="s">
        <v>4312</v>
      </c>
      <c r="F172">
        <v>1</v>
      </c>
      <c r="G172" t="s">
        <v>9723</v>
      </c>
    </row>
    <row r="173" spans="1:7" x14ac:dyDescent="0.25">
      <c r="A173" t="s">
        <v>8469</v>
      </c>
      <c r="B173" s="8">
        <v>164</v>
      </c>
      <c r="C173">
        <v>192</v>
      </c>
      <c r="D173" s="5">
        <v>45128</v>
      </c>
      <c r="E173" s="5" t="s">
        <v>4312</v>
      </c>
      <c r="F173">
        <v>1</v>
      </c>
      <c r="G173" t="s">
        <v>9724</v>
      </c>
    </row>
    <row r="174" spans="1:7" x14ac:dyDescent="0.25">
      <c r="A174" t="s">
        <v>8319</v>
      </c>
      <c r="B174" s="8">
        <v>165</v>
      </c>
      <c r="C174">
        <v>193</v>
      </c>
      <c r="D174" s="5">
        <v>45261</v>
      </c>
      <c r="E174" s="5" t="s">
        <v>4312</v>
      </c>
      <c r="F174">
        <v>1</v>
      </c>
      <c r="G174" t="s">
        <v>9725</v>
      </c>
    </row>
    <row r="175" spans="1:7" x14ac:dyDescent="0.25">
      <c r="A175" t="s">
        <v>8916</v>
      </c>
      <c r="B175" s="8">
        <v>166</v>
      </c>
      <c r="C175">
        <v>198</v>
      </c>
      <c r="D175" s="5">
        <v>45902</v>
      </c>
      <c r="E175" s="5" t="s">
        <v>4312</v>
      </c>
      <c r="F175">
        <v>1</v>
      </c>
      <c r="G175" t="s">
        <v>9726</v>
      </c>
    </row>
    <row r="176" spans="1:7" x14ac:dyDescent="0.25">
      <c r="A176" t="s">
        <v>8255</v>
      </c>
      <c r="B176" s="8">
        <v>167</v>
      </c>
      <c r="C176">
        <v>199</v>
      </c>
      <c r="D176" s="5">
        <v>45219</v>
      </c>
      <c r="E176" s="5" t="s">
        <v>4312</v>
      </c>
      <c r="F176">
        <v>1</v>
      </c>
      <c r="G176" t="s">
        <v>9727</v>
      </c>
    </row>
    <row r="177" spans="1:7" x14ac:dyDescent="0.25">
      <c r="A177" t="s">
        <v>8315</v>
      </c>
      <c r="B177" s="8">
        <v>168</v>
      </c>
      <c r="C177">
        <v>200</v>
      </c>
      <c r="D177" s="5">
        <v>45553</v>
      </c>
      <c r="E177" s="5" t="s">
        <v>4312</v>
      </c>
      <c r="F177">
        <v>1</v>
      </c>
      <c r="G177" t="s">
        <v>9728</v>
      </c>
    </row>
    <row r="178" spans="1:7" x14ac:dyDescent="0.25">
      <c r="A178" t="s">
        <v>8899</v>
      </c>
      <c r="B178" s="8">
        <v>169</v>
      </c>
      <c r="C178">
        <v>201</v>
      </c>
      <c r="D178" s="5">
        <v>44938</v>
      </c>
      <c r="E178" s="5" t="s">
        <v>4312</v>
      </c>
      <c r="F178">
        <v>1</v>
      </c>
      <c r="G178" t="s">
        <v>9729</v>
      </c>
    </row>
    <row r="179" spans="1:7" x14ac:dyDescent="0.25">
      <c r="A179" t="s">
        <v>8462</v>
      </c>
      <c r="B179" s="8">
        <v>170</v>
      </c>
      <c r="C179">
        <v>202</v>
      </c>
      <c r="D179" s="5">
        <v>44742</v>
      </c>
      <c r="E179" s="5" t="s">
        <v>4312</v>
      </c>
      <c r="F179">
        <v>1</v>
      </c>
      <c r="G179" t="s">
        <v>9730</v>
      </c>
    </row>
    <row r="180" spans="1:7" x14ac:dyDescent="0.25">
      <c r="A180" t="s">
        <v>8882</v>
      </c>
      <c r="B180" s="8">
        <v>171</v>
      </c>
      <c r="C180">
        <v>203</v>
      </c>
      <c r="D180" s="5">
        <v>45456</v>
      </c>
      <c r="E180" s="5" t="s">
        <v>4312</v>
      </c>
      <c r="F180">
        <v>1</v>
      </c>
      <c r="G180" t="s">
        <v>9731</v>
      </c>
    </row>
    <row r="181" spans="1:7" x14ac:dyDescent="0.25">
      <c r="A181" t="s">
        <v>8549</v>
      </c>
      <c r="B181" s="8">
        <v>172</v>
      </c>
      <c r="C181">
        <v>204</v>
      </c>
      <c r="D181" s="5">
        <v>45540</v>
      </c>
      <c r="E181" s="5" t="s">
        <v>4312</v>
      </c>
      <c r="F181">
        <v>1</v>
      </c>
      <c r="G181" t="s">
        <v>9732</v>
      </c>
    </row>
    <row r="182" spans="1:7" x14ac:dyDescent="0.25">
      <c r="A182" t="s">
        <v>8336</v>
      </c>
      <c r="B182" s="8">
        <v>173</v>
      </c>
      <c r="C182">
        <v>205</v>
      </c>
      <c r="D182" s="5">
        <v>45621</v>
      </c>
      <c r="E182" s="5" t="s">
        <v>4312</v>
      </c>
      <c r="F182">
        <v>1</v>
      </c>
      <c r="G182" t="s">
        <v>9733</v>
      </c>
    </row>
    <row r="183" spans="1:7" x14ac:dyDescent="0.25">
      <c r="A183" t="s">
        <v>8447</v>
      </c>
      <c r="B183" s="8">
        <v>174</v>
      </c>
      <c r="C183">
        <v>206</v>
      </c>
      <c r="D183" s="5">
        <v>45621</v>
      </c>
      <c r="E183" s="5" t="s">
        <v>4312</v>
      </c>
      <c r="F183">
        <v>1</v>
      </c>
      <c r="G183" t="s">
        <v>9734</v>
      </c>
    </row>
    <row r="184" spans="1:7" x14ac:dyDescent="0.25">
      <c r="A184" t="s">
        <v>8318</v>
      </c>
      <c r="B184" s="8">
        <v>175</v>
      </c>
      <c r="C184">
        <v>207</v>
      </c>
      <c r="D184" s="5">
        <v>45621</v>
      </c>
      <c r="E184" s="5" t="s">
        <v>4312</v>
      </c>
      <c r="F184">
        <v>1</v>
      </c>
      <c r="G184" t="s">
        <v>9735</v>
      </c>
    </row>
    <row r="185" spans="1:7" x14ac:dyDescent="0.25">
      <c r="A185" t="s">
        <v>8898</v>
      </c>
      <c r="B185" s="8">
        <v>176</v>
      </c>
      <c r="C185">
        <v>208</v>
      </c>
      <c r="D185" s="5">
        <v>45689</v>
      </c>
      <c r="E185" s="5" t="s">
        <v>4312</v>
      </c>
      <c r="F185">
        <v>1</v>
      </c>
      <c r="G185" t="s">
        <v>9736</v>
      </c>
    </row>
    <row r="186" spans="1:7" x14ac:dyDescent="0.25">
      <c r="A186" t="s">
        <v>8618</v>
      </c>
      <c r="B186" s="8">
        <v>177</v>
      </c>
      <c r="C186">
        <v>209</v>
      </c>
      <c r="D186" s="5">
        <v>45652</v>
      </c>
      <c r="E186" s="5" t="s">
        <v>4312</v>
      </c>
      <c r="F186">
        <v>1</v>
      </c>
      <c r="G186" t="s">
        <v>9737</v>
      </c>
    </row>
    <row r="187" spans="1:7" x14ac:dyDescent="0.25">
      <c r="A187" t="s">
        <v>8650</v>
      </c>
      <c r="B187" s="8">
        <v>178</v>
      </c>
      <c r="C187">
        <v>210</v>
      </c>
      <c r="D187" s="5">
        <v>45679</v>
      </c>
      <c r="E187" s="5" t="s">
        <v>4312</v>
      </c>
      <c r="F187">
        <v>1</v>
      </c>
      <c r="G187" t="s">
        <v>9738</v>
      </c>
    </row>
    <row r="188" spans="1:7" x14ac:dyDescent="0.25">
      <c r="A188" t="s">
        <v>8531</v>
      </c>
      <c r="B188" s="8">
        <v>179</v>
      </c>
      <c r="C188">
        <v>211</v>
      </c>
      <c r="D188" s="5">
        <v>45614</v>
      </c>
      <c r="E188" s="5" t="s">
        <v>4312</v>
      </c>
      <c r="F188">
        <v>1</v>
      </c>
      <c r="G188" t="s">
        <v>9739</v>
      </c>
    </row>
    <row r="189" spans="1:7" x14ac:dyDescent="0.25">
      <c r="A189" t="s">
        <v>8284</v>
      </c>
      <c r="B189" s="8">
        <v>180</v>
      </c>
      <c r="C189">
        <v>212</v>
      </c>
      <c r="D189" s="5">
        <v>45733</v>
      </c>
      <c r="E189" s="5" t="s">
        <v>4312</v>
      </c>
      <c r="F189">
        <v>1</v>
      </c>
      <c r="G189" t="s">
        <v>9740</v>
      </c>
    </row>
    <row r="190" spans="1:7" x14ac:dyDescent="0.25">
      <c r="A190" t="s">
        <v>8912</v>
      </c>
      <c r="B190" s="8">
        <v>181</v>
      </c>
      <c r="C190">
        <v>213</v>
      </c>
      <c r="D190" s="5">
        <v>45663</v>
      </c>
      <c r="E190" s="5" t="s">
        <v>4312</v>
      </c>
      <c r="F190">
        <v>1</v>
      </c>
      <c r="G190" t="s">
        <v>9741</v>
      </c>
    </row>
    <row r="191" spans="1:7" x14ac:dyDescent="0.25">
      <c r="A191" t="s">
        <v>8562</v>
      </c>
      <c r="B191" s="8">
        <v>182</v>
      </c>
      <c r="C191">
        <v>214</v>
      </c>
      <c r="D191" s="5">
        <v>45901</v>
      </c>
      <c r="E191" s="5" t="s">
        <v>4312</v>
      </c>
      <c r="F191">
        <v>1</v>
      </c>
      <c r="G191" t="s">
        <v>9742</v>
      </c>
    </row>
    <row r="192" spans="1:7" x14ac:dyDescent="0.25">
      <c r="A192" t="s">
        <v>8380</v>
      </c>
      <c r="B192" s="8">
        <v>183</v>
      </c>
      <c r="C192">
        <v>215</v>
      </c>
      <c r="D192" s="5">
        <v>45901</v>
      </c>
      <c r="E192" s="5" t="s">
        <v>4312</v>
      </c>
      <c r="F192">
        <v>1</v>
      </c>
      <c r="G192" t="s">
        <v>9743</v>
      </c>
    </row>
    <row r="193" spans="1:7" x14ac:dyDescent="0.25">
      <c r="A193" t="s">
        <v>8539</v>
      </c>
      <c r="B193" s="8">
        <v>184</v>
      </c>
      <c r="C193">
        <v>216</v>
      </c>
      <c r="D193" s="5">
        <v>45672</v>
      </c>
      <c r="E193" s="5" t="s">
        <v>4312</v>
      </c>
      <c r="F193">
        <v>1</v>
      </c>
      <c r="G193" t="s">
        <v>9744</v>
      </c>
    </row>
    <row r="194" spans="1:7" x14ac:dyDescent="0.25">
      <c r="A194" t="s">
        <v>8801</v>
      </c>
      <c r="B194" s="8">
        <v>185</v>
      </c>
      <c r="C194">
        <v>217</v>
      </c>
      <c r="D194" s="5" t="s">
        <v>4312</v>
      </c>
      <c r="E194" s="5" t="s">
        <v>4312</v>
      </c>
      <c r="F194">
        <v>1</v>
      </c>
      <c r="G194" t="s">
        <v>9745</v>
      </c>
    </row>
    <row r="195" spans="1:7" x14ac:dyDescent="0.25">
      <c r="A195" t="s">
        <v>8471</v>
      </c>
      <c r="B195" s="8">
        <v>186</v>
      </c>
      <c r="C195">
        <v>218</v>
      </c>
      <c r="D195" s="5">
        <v>45687</v>
      </c>
      <c r="E195" s="5" t="s">
        <v>4312</v>
      </c>
      <c r="F195">
        <v>1</v>
      </c>
      <c r="G195" t="s">
        <v>9746</v>
      </c>
    </row>
    <row r="196" spans="1:7" x14ac:dyDescent="0.25">
      <c r="A196" t="s">
        <v>8960</v>
      </c>
      <c r="B196" s="8">
        <v>187</v>
      </c>
      <c r="C196">
        <v>219</v>
      </c>
      <c r="D196" s="5">
        <v>45339</v>
      </c>
      <c r="E196" s="5" t="s">
        <v>4312</v>
      </c>
      <c r="F196">
        <v>1</v>
      </c>
      <c r="G196" t="s">
        <v>9747</v>
      </c>
    </row>
    <row r="197" spans="1:7" x14ac:dyDescent="0.25">
      <c r="A197" t="s">
        <v>8212</v>
      </c>
      <c r="B197" s="8">
        <v>188</v>
      </c>
      <c r="C197">
        <v>220</v>
      </c>
      <c r="D197" s="5">
        <v>45582</v>
      </c>
      <c r="E197" s="5" t="s">
        <v>4312</v>
      </c>
      <c r="F197">
        <v>1</v>
      </c>
      <c r="G197" t="s">
        <v>9748</v>
      </c>
    </row>
    <row r="198" spans="1:7" x14ac:dyDescent="0.25">
      <c r="A198" t="s">
        <v>8535</v>
      </c>
      <c r="B198" s="8">
        <v>189</v>
      </c>
      <c r="C198">
        <v>221</v>
      </c>
      <c r="D198" s="5">
        <v>45713</v>
      </c>
      <c r="E198" s="5" t="s">
        <v>4312</v>
      </c>
      <c r="F198">
        <v>1</v>
      </c>
      <c r="G198" t="s">
        <v>9749</v>
      </c>
    </row>
    <row r="199" spans="1:7" x14ac:dyDescent="0.25">
      <c r="A199" t="s">
        <v>8666</v>
      </c>
      <c r="B199" s="8">
        <v>190</v>
      </c>
      <c r="C199">
        <v>222</v>
      </c>
      <c r="D199" s="5">
        <v>45733</v>
      </c>
      <c r="E199" s="5" t="s">
        <v>4312</v>
      </c>
      <c r="F199">
        <v>1</v>
      </c>
      <c r="G199" t="s">
        <v>9750</v>
      </c>
    </row>
    <row r="200" spans="1:7" x14ac:dyDescent="0.25">
      <c r="A200" t="s">
        <v>8766</v>
      </c>
      <c r="B200" s="8">
        <v>191</v>
      </c>
      <c r="C200">
        <v>223</v>
      </c>
      <c r="D200" s="5">
        <v>45839</v>
      </c>
      <c r="E200" s="5" t="s">
        <v>4312</v>
      </c>
      <c r="F200">
        <v>1</v>
      </c>
      <c r="G200" t="s">
        <v>9751</v>
      </c>
    </row>
    <row r="201" spans="1:7" x14ac:dyDescent="0.25">
      <c r="A201" t="s">
        <v>8400</v>
      </c>
      <c r="B201" s="8">
        <v>192</v>
      </c>
      <c r="C201">
        <v>224</v>
      </c>
      <c r="D201" s="5">
        <v>45842</v>
      </c>
      <c r="E201" s="5" t="s">
        <v>4312</v>
      </c>
      <c r="F201">
        <v>1</v>
      </c>
      <c r="G201" t="s">
        <v>9752</v>
      </c>
    </row>
    <row r="202" spans="1:7" x14ac:dyDescent="0.25">
      <c r="A202" t="s">
        <v>8440</v>
      </c>
      <c r="B202" s="8">
        <v>193</v>
      </c>
      <c r="C202">
        <v>225</v>
      </c>
      <c r="D202" s="5">
        <v>45761</v>
      </c>
      <c r="E202" s="5" t="s">
        <v>4312</v>
      </c>
      <c r="F202">
        <v>1</v>
      </c>
      <c r="G202" t="s">
        <v>9753</v>
      </c>
    </row>
    <row r="203" spans="1:7" x14ac:dyDescent="0.25">
      <c r="A203" t="s">
        <v>8489</v>
      </c>
      <c r="B203" s="8">
        <v>194</v>
      </c>
      <c r="C203">
        <v>226</v>
      </c>
      <c r="D203" s="5">
        <v>45876</v>
      </c>
      <c r="E203" s="5" t="s">
        <v>4312</v>
      </c>
      <c r="F203">
        <v>1</v>
      </c>
      <c r="G203" t="s">
        <v>9754</v>
      </c>
    </row>
    <row r="204" spans="1:7" x14ac:dyDescent="0.25">
      <c r="A204" t="s">
        <v>8725</v>
      </c>
      <c r="B204" s="8">
        <v>195</v>
      </c>
      <c r="C204">
        <v>227</v>
      </c>
      <c r="D204" s="5">
        <v>45768</v>
      </c>
      <c r="E204" s="5" t="s">
        <v>4312</v>
      </c>
      <c r="F204">
        <v>1</v>
      </c>
      <c r="G204" t="s">
        <v>9755</v>
      </c>
    </row>
    <row r="205" spans="1:7" x14ac:dyDescent="0.25">
      <c r="A205" t="s">
        <v>8483</v>
      </c>
      <c r="B205" s="8">
        <v>196</v>
      </c>
      <c r="C205">
        <v>228</v>
      </c>
      <c r="D205" s="5">
        <v>45889</v>
      </c>
      <c r="E205" s="5" t="s">
        <v>4312</v>
      </c>
      <c r="F205">
        <v>1</v>
      </c>
      <c r="G205" t="s">
        <v>9756</v>
      </c>
    </row>
    <row r="206" spans="1:7" x14ac:dyDescent="0.25">
      <c r="A206" t="s">
        <v>8573</v>
      </c>
      <c r="B206" s="8">
        <v>197</v>
      </c>
      <c r="C206">
        <v>229</v>
      </c>
      <c r="D206" s="5" t="s">
        <v>4312</v>
      </c>
      <c r="E206" s="5" t="s">
        <v>4312</v>
      </c>
      <c r="F206">
        <v>1</v>
      </c>
      <c r="G206" t="s">
        <v>9757</v>
      </c>
    </row>
    <row r="207" spans="1:7" x14ac:dyDescent="0.25">
      <c r="A207" t="s">
        <v>8902</v>
      </c>
      <c r="B207" s="8">
        <v>198</v>
      </c>
      <c r="C207">
        <v>230</v>
      </c>
      <c r="D207" s="5">
        <v>45586</v>
      </c>
      <c r="E207" s="5" t="s">
        <v>4312</v>
      </c>
      <c r="F207">
        <v>1</v>
      </c>
      <c r="G207" t="s">
        <v>9758</v>
      </c>
    </row>
    <row r="208" spans="1:7" x14ac:dyDescent="0.25">
      <c r="A208" t="s">
        <v>8982</v>
      </c>
      <c r="B208" s="8">
        <v>199</v>
      </c>
      <c r="C208">
        <v>231</v>
      </c>
      <c r="D208" s="5">
        <v>45827</v>
      </c>
      <c r="E208" s="5" t="s">
        <v>4312</v>
      </c>
      <c r="F208">
        <v>1</v>
      </c>
      <c r="G208" t="s">
        <v>9759</v>
      </c>
    </row>
    <row r="209" spans="1:7" x14ac:dyDescent="0.25">
      <c r="A209" t="s">
        <v>8258</v>
      </c>
      <c r="B209" s="8">
        <v>200</v>
      </c>
      <c r="C209">
        <v>232</v>
      </c>
      <c r="D209" s="5">
        <v>45916</v>
      </c>
      <c r="E209" s="5" t="s">
        <v>4312</v>
      </c>
      <c r="F209">
        <v>1</v>
      </c>
      <c r="G209" t="s">
        <v>9760</v>
      </c>
    </row>
    <row r="210" spans="1:7" x14ac:dyDescent="0.25">
      <c r="A210" t="s">
        <v>8816</v>
      </c>
      <c r="B210" s="8">
        <v>201</v>
      </c>
      <c r="C210">
        <v>233</v>
      </c>
      <c r="D210" s="5">
        <v>45798</v>
      </c>
      <c r="E210" s="5" t="s">
        <v>4312</v>
      </c>
      <c r="F210">
        <v>1</v>
      </c>
      <c r="G210" t="s">
        <v>9761</v>
      </c>
    </row>
    <row r="211" spans="1:7" x14ac:dyDescent="0.25">
      <c r="A211" t="s">
        <v>8990</v>
      </c>
      <c r="B211" s="8" t="s">
        <v>4312</v>
      </c>
      <c r="C211">
        <v>236</v>
      </c>
      <c r="D211" s="5">
        <v>45326</v>
      </c>
      <c r="E211" s="5" t="s">
        <v>4312</v>
      </c>
      <c r="F211">
        <v>1</v>
      </c>
      <c r="G211" t="s">
        <v>9828</v>
      </c>
    </row>
    <row r="212" spans="1:7" x14ac:dyDescent="0.25">
      <c r="A212" t="s">
        <v>8498</v>
      </c>
      <c r="B212" s="8">
        <v>235</v>
      </c>
      <c r="C212">
        <v>237</v>
      </c>
      <c r="D212" s="5" t="s">
        <v>4312</v>
      </c>
      <c r="E212" s="5" t="s">
        <v>4312</v>
      </c>
      <c r="F212">
        <v>1</v>
      </c>
      <c r="G212" t="s">
        <v>9762</v>
      </c>
    </row>
    <row r="213" spans="1:7" x14ac:dyDescent="0.25">
      <c r="A213" t="s">
        <v>8404</v>
      </c>
      <c r="B213" s="8" t="s">
        <v>4312</v>
      </c>
      <c r="C213">
        <v>238</v>
      </c>
      <c r="D213" s="5">
        <v>45911</v>
      </c>
      <c r="E213" s="5" t="s">
        <v>4312</v>
      </c>
      <c r="F213">
        <v>1</v>
      </c>
      <c r="G213" t="s">
        <v>9829</v>
      </c>
    </row>
    <row r="214" spans="1:7" x14ac:dyDescent="0.25">
      <c r="A214" t="s">
        <v>8990</v>
      </c>
      <c r="B214" s="8" t="s">
        <v>4312</v>
      </c>
      <c r="C214">
        <v>239</v>
      </c>
      <c r="D214" s="5" t="s">
        <v>4312</v>
      </c>
      <c r="E214" s="5" t="s">
        <v>4312</v>
      </c>
      <c r="F214">
        <v>1</v>
      </c>
      <c r="G214" t="s">
        <v>9830</v>
      </c>
    </row>
    <row r="215" spans="1:7" x14ac:dyDescent="0.25">
      <c r="A215" t="s">
        <v>8348</v>
      </c>
      <c r="B215" s="8">
        <v>203</v>
      </c>
      <c r="C215">
        <v>240</v>
      </c>
      <c r="D215" s="5">
        <v>45679</v>
      </c>
      <c r="E215" s="5" t="s">
        <v>4312</v>
      </c>
      <c r="F215">
        <v>1</v>
      </c>
      <c r="G215" t="s">
        <v>9763</v>
      </c>
    </row>
    <row r="216" spans="1:7" x14ac:dyDescent="0.25">
      <c r="A216" t="s">
        <v>8990</v>
      </c>
      <c r="B216" s="8">
        <v>204</v>
      </c>
      <c r="C216">
        <v>241</v>
      </c>
      <c r="D216" s="5">
        <v>45762</v>
      </c>
      <c r="E216" s="5" t="s">
        <v>4312</v>
      </c>
      <c r="F216">
        <v>1</v>
      </c>
      <c r="G216" t="s">
        <v>9764</v>
      </c>
    </row>
    <row r="217" spans="1:7" x14ac:dyDescent="0.25">
      <c r="A217" t="s">
        <v>8637</v>
      </c>
      <c r="B217" s="8">
        <v>205</v>
      </c>
      <c r="C217">
        <v>242</v>
      </c>
      <c r="D217" s="5">
        <v>45331</v>
      </c>
      <c r="E217" s="5" t="s">
        <v>4312</v>
      </c>
      <c r="F217">
        <v>1</v>
      </c>
      <c r="G217" t="s">
        <v>9765</v>
      </c>
    </row>
    <row r="218" spans="1:7" x14ac:dyDescent="0.25">
      <c r="A218" t="s">
        <v>8392</v>
      </c>
      <c r="B218" s="8">
        <v>206</v>
      </c>
      <c r="C218">
        <v>243</v>
      </c>
      <c r="D218" s="5">
        <v>45968</v>
      </c>
      <c r="E218" s="5" t="s">
        <v>4312</v>
      </c>
      <c r="F218">
        <v>1</v>
      </c>
      <c r="G218" t="s">
        <v>9766</v>
      </c>
    </row>
    <row r="219" spans="1:7" x14ac:dyDescent="0.25">
      <c r="A219" t="s">
        <v>8791</v>
      </c>
      <c r="B219" s="8">
        <v>207</v>
      </c>
      <c r="C219">
        <v>244</v>
      </c>
      <c r="D219" s="5">
        <v>45352</v>
      </c>
      <c r="E219" s="5" t="s">
        <v>4312</v>
      </c>
      <c r="F219">
        <v>1</v>
      </c>
      <c r="G219" t="s">
        <v>9767</v>
      </c>
    </row>
    <row r="220" spans="1:7" x14ac:dyDescent="0.25">
      <c r="A220" t="s">
        <v>8572</v>
      </c>
      <c r="B220" s="8">
        <v>208</v>
      </c>
      <c r="C220">
        <v>245</v>
      </c>
      <c r="D220" s="5">
        <v>45887</v>
      </c>
      <c r="E220" s="5" t="s">
        <v>4312</v>
      </c>
      <c r="F220">
        <v>1</v>
      </c>
      <c r="G220" t="s">
        <v>9768</v>
      </c>
    </row>
    <row r="221" spans="1:7" x14ac:dyDescent="0.25">
      <c r="A221" t="s">
        <v>8462</v>
      </c>
      <c r="B221" s="8">
        <v>209</v>
      </c>
      <c r="C221">
        <v>246</v>
      </c>
      <c r="D221" s="5">
        <v>45902</v>
      </c>
      <c r="E221" s="5" t="s">
        <v>4312</v>
      </c>
      <c r="F221">
        <v>1</v>
      </c>
      <c r="G221" t="s">
        <v>9769</v>
      </c>
    </row>
    <row r="222" spans="1:7" x14ac:dyDescent="0.25">
      <c r="A222" t="s">
        <v>8268</v>
      </c>
      <c r="B222" s="8">
        <v>210</v>
      </c>
      <c r="C222">
        <v>247</v>
      </c>
      <c r="D222" s="5">
        <v>45862</v>
      </c>
      <c r="E222" s="5" t="s">
        <v>4312</v>
      </c>
      <c r="F222">
        <v>1</v>
      </c>
      <c r="G222" t="s">
        <v>9770</v>
      </c>
    </row>
    <row r="223" spans="1:7" x14ac:dyDescent="0.25">
      <c r="A223" t="s">
        <v>8404</v>
      </c>
      <c r="B223" s="8">
        <v>211</v>
      </c>
      <c r="C223">
        <v>248</v>
      </c>
      <c r="D223" s="5">
        <v>45572</v>
      </c>
      <c r="E223" s="5" t="s">
        <v>4312</v>
      </c>
      <c r="F223">
        <v>1</v>
      </c>
      <c r="G223" t="s">
        <v>9771</v>
      </c>
    </row>
    <row r="224" spans="1:7" x14ac:dyDescent="0.25">
      <c r="A224" t="s">
        <v>8861</v>
      </c>
      <c r="B224" s="8">
        <v>212</v>
      </c>
      <c r="C224">
        <v>249</v>
      </c>
      <c r="D224" s="5">
        <v>45944</v>
      </c>
      <c r="E224" s="5" t="s">
        <v>4312</v>
      </c>
      <c r="F224">
        <v>1</v>
      </c>
      <c r="G224" t="s">
        <v>9772</v>
      </c>
    </row>
    <row r="225" spans="1:7" x14ac:dyDescent="0.25">
      <c r="A225" t="s">
        <v>8972</v>
      </c>
      <c r="B225" s="8">
        <v>213</v>
      </c>
      <c r="C225">
        <v>250</v>
      </c>
      <c r="D225" s="5">
        <v>45661</v>
      </c>
      <c r="E225" s="5" t="s">
        <v>4312</v>
      </c>
      <c r="F225">
        <v>1</v>
      </c>
      <c r="G225" t="s">
        <v>9773</v>
      </c>
    </row>
    <row r="226" spans="1:7" x14ac:dyDescent="0.25">
      <c r="A226" t="s">
        <v>8363</v>
      </c>
      <c r="B226" s="8">
        <v>214</v>
      </c>
      <c r="C226">
        <v>251</v>
      </c>
      <c r="D226" s="5">
        <v>45960</v>
      </c>
      <c r="E226" s="5" t="s">
        <v>4312</v>
      </c>
      <c r="F226">
        <v>1</v>
      </c>
      <c r="G226" t="s">
        <v>9774</v>
      </c>
    </row>
    <row r="227" spans="1:7" x14ac:dyDescent="0.25">
      <c r="A227" t="s">
        <v>8302</v>
      </c>
      <c r="B227" s="8">
        <v>215</v>
      </c>
      <c r="C227">
        <v>252</v>
      </c>
      <c r="D227" s="5">
        <v>45860</v>
      </c>
      <c r="E227" s="5" t="s">
        <v>4312</v>
      </c>
      <c r="F227">
        <v>1</v>
      </c>
      <c r="G227" t="s">
        <v>9775</v>
      </c>
    </row>
    <row r="228" spans="1:7" x14ac:dyDescent="0.25">
      <c r="A228" t="s">
        <v>8271</v>
      </c>
      <c r="B228" s="8">
        <v>216</v>
      </c>
      <c r="C228">
        <v>253</v>
      </c>
      <c r="D228" s="5" t="s">
        <v>4312</v>
      </c>
      <c r="E228" s="5" t="s">
        <v>4312</v>
      </c>
      <c r="F228">
        <v>0</v>
      </c>
      <c r="G228" t="s">
        <v>9776</v>
      </c>
    </row>
    <row r="229" spans="1:7" x14ac:dyDescent="0.25">
      <c r="A229" t="s">
        <v>8956</v>
      </c>
      <c r="B229" s="8">
        <v>217</v>
      </c>
      <c r="C229">
        <v>254</v>
      </c>
      <c r="D229" s="5">
        <v>45877</v>
      </c>
      <c r="E229" s="5" t="s">
        <v>4312</v>
      </c>
      <c r="F229">
        <v>1</v>
      </c>
      <c r="G229" t="s">
        <v>9777</v>
      </c>
    </row>
    <row r="230" spans="1:7" x14ac:dyDescent="0.25">
      <c r="A230" t="s">
        <v>8790</v>
      </c>
      <c r="B230" s="8">
        <v>218</v>
      </c>
      <c r="C230">
        <v>255</v>
      </c>
      <c r="D230" s="5">
        <v>45887</v>
      </c>
      <c r="E230" s="5" t="s">
        <v>4312</v>
      </c>
      <c r="F230">
        <v>1</v>
      </c>
      <c r="G230" t="s">
        <v>9778</v>
      </c>
    </row>
    <row r="231" spans="1:7" x14ac:dyDescent="0.25">
      <c r="A231" t="s">
        <v>8393</v>
      </c>
      <c r="B231" s="8">
        <v>155</v>
      </c>
      <c r="C231">
        <v>256</v>
      </c>
      <c r="D231" s="5">
        <v>45869</v>
      </c>
      <c r="E231" s="5" t="s">
        <v>4312</v>
      </c>
      <c r="F231">
        <v>1</v>
      </c>
      <c r="G231" t="s">
        <v>9779</v>
      </c>
    </row>
    <row r="232" spans="1:7" x14ac:dyDescent="0.25">
      <c r="A232" t="s">
        <v>8555</v>
      </c>
      <c r="B232" s="8">
        <v>219</v>
      </c>
      <c r="C232">
        <v>257</v>
      </c>
      <c r="D232" s="5">
        <v>45890</v>
      </c>
      <c r="E232" s="5" t="s">
        <v>4312</v>
      </c>
      <c r="F232">
        <v>1</v>
      </c>
      <c r="G232" t="s">
        <v>9780</v>
      </c>
    </row>
    <row r="233" spans="1:7" x14ac:dyDescent="0.25">
      <c r="A233" t="s">
        <v>8987</v>
      </c>
      <c r="B233" s="8">
        <v>220</v>
      </c>
      <c r="C233">
        <v>258</v>
      </c>
      <c r="D233" s="5">
        <v>45499</v>
      </c>
      <c r="E233" s="5" t="s">
        <v>4312</v>
      </c>
      <c r="F233">
        <v>1</v>
      </c>
      <c r="G233" t="s">
        <v>9781</v>
      </c>
    </row>
    <row r="234" spans="1:7" x14ac:dyDescent="0.25">
      <c r="A234" t="s">
        <v>8345</v>
      </c>
      <c r="B234" s="8">
        <v>221</v>
      </c>
      <c r="C234">
        <v>259</v>
      </c>
      <c r="D234" s="5">
        <v>45825</v>
      </c>
      <c r="E234" s="5" t="s">
        <v>4312</v>
      </c>
      <c r="F234">
        <v>1</v>
      </c>
      <c r="G234" t="s">
        <v>9782</v>
      </c>
    </row>
    <row r="235" spans="1:7" x14ac:dyDescent="0.25">
      <c r="A235" t="s">
        <v>8299</v>
      </c>
      <c r="B235" s="8" t="s">
        <v>4312</v>
      </c>
      <c r="C235">
        <v>260</v>
      </c>
      <c r="D235" s="5" t="s">
        <v>4312</v>
      </c>
      <c r="E235" s="5" t="s">
        <v>4312</v>
      </c>
      <c r="F235">
        <v>1</v>
      </c>
      <c r="G235" t="s">
        <v>9831</v>
      </c>
    </row>
    <row r="236" spans="1:7" x14ac:dyDescent="0.25">
      <c r="A236" t="s">
        <v>8261</v>
      </c>
      <c r="B236" s="8">
        <v>222</v>
      </c>
      <c r="C236">
        <v>262</v>
      </c>
      <c r="D236" s="5">
        <v>45901</v>
      </c>
      <c r="E236" s="5" t="s">
        <v>4312</v>
      </c>
      <c r="F236">
        <v>1</v>
      </c>
      <c r="G236" t="s">
        <v>9783</v>
      </c>
    </row>
    <row r="237" spans="1:7" x14ac:dyDescent="0.25">
      <c r="A237" t="s">
        <v>8238</v>
      </c>
      <c r="B237" s="8" t="s">
        <v>4312</v>
      </c>
      <c r="C237">
        <v>263</v>
      </c>
      <c r="D237" s="5" t="s">
        <v>4312</v>
      </c>
      <c r="E237" s="5" t="s">
        <v>4312</v>
      </c>
      <c r="F237">
        <v>1</v>
      </c>
      <c r="G237" t="s">
        <v>9832</v>
      </c>
    </row>
    <row r="238" spans="1:7" x14ac:dyDescent="0.25">
      <c r="A238" t="s">
        <v>8704</v>
      </c>
      <c r="B238" s="8">
        <v>223</v>
      </c>
      <c r="C238">
        <v>264</v>
      </c>
      <c r="D238" s="5">
        <v>45975</v>
      </c>
      <c r="E238" s="5" t="s">
        <v>4312</v>
      </c>
      <c r="F238">
        <v>1</v>
      </c>
      <c r="G238" t="s">
        <v>9784</v>
      </c>
    </row>
    <row r="239" spans="1:7" x14ac:dyDescent="0.25">
      <c r="A239" t="s">
        <v>8435</v>
      </c>
      <c r="B239" s="8">
        <v>224</v>
      </c>
      <c r="C239">
        <v>265</v>
      </c>
      <c r="D239" s="5">
        <v>45902</v>
      </c>
      <c r="E239" s="5" t="s">
        <v>4312</v>
      </c>
      <c r="F239">
        <v>1</v>
      </c>
      <c r="G239" t="s">
        <v>9785</v>
      </c>
    </row>
    <row r="240" spans="1:7" x14ac:dyDescent="0.25">
      <c r="A240" t="s">
        <v>8990</v>
      </c>
      <c r="B240" s="8">
        <v>225</v>
      </c>
      <c r="C240">
        <v>266</v>
      </c>
      <c r="D240" s="5">
        <v>45933</v>
      </c>
      <c r="E240" s="5" t="s">
        <v>4312</v>
      </c>
      <c r="F240">
        <v>1</v>
      </c>
      <c r="G240" t="s">
        <v>9786</v>
      </c>
    </row>
    <row r="241" spans="1:7" x14ac:dyDescent="0.25">
      <c r="A241" t="s">
        <v>8776</v>
      </c>
      <c r="B241" s="8">
        <v>226</v>
      </c>
      <c r="C241">
        <v>267</v>
      </c>
      <c r="D241" s="5">
        <v>45917</v>
      </c>
      <c r="E241" s="5" t="s">
        <v>4312</v>
      </c>
      <c r="F241">
        <v>1</v>
      </c>
      <c r="G241" t="s">
        <v>9787</v>
      </c>
    </row>
    <row r="242" spans="1:7" x14ac:dyDescent="0.25">
      <c r="A242" t="s">
        <v>8797</v>
      </c>
      <c r="B242" s="8">
        <v>227</v>
      </c>
      <c r="C242">
        <v>268</v>
      </c>
      <c r="D242" s="5">
        <v>45924</v>
      </c>
      <c r="E242" s="5" t="s">
        <v>4312</v>
      </c>
      <c r="F242">
        <v>1</v>
      </c>
      <c r="G242" t="s">
        <v>9788</v>
      </c>
    </row>
    <row r="243" spans="1:7" x14ac:dyDescent="0.25">
      <c r="A243" t="s">
        <v>8900</v>
      </c>
      <c r="B243" s="8">
        <v>228</v>
      </c>
      <c r="C243">
        <v>269</v>
      </c>
      <c r="D243" s="5">
        <v>45943</v>
      </c>
      <c r="E243" s="5" t="s">
        <v>4312</v>
      </c>
      <c r="F243">
        <v>1</v>
      </c>
      <c r="G243" t="s">
        <v>9789</v>
      </c>
    </row>
    <row r="244" spans="1:7" x14ac:dyDescent="0.25">
      <c r="A244" t="s">
        <v>8694</v>
      </c>
      <c r="B244" s="8">
        <v>229</v>
      </c>
      <c r="C244">
        <v>270</v>
      </c>
      <c r="D244" s="5">
        <v>45964</v>
      </c>
      <c r="E244" s="5" t="s">
        <v>4312</v>
      </c>
      <c r="F244">
        <v>1</v>
      </c>
      <c r="G244" t="s">
        <v>9790</v>
      </c>
    </row>
    <row r="245" spans="1:7" x14ac:dyDescent="0.25">
      <c r="A245" t="s">
        <v>8831</v>
      </c>
      <c r="B245" s="8">
        <v>230</v>
      </c>
      <c r="C245">
        <v>271</v>
      </c>
      <c r="D245" s="5">
        <v>45964</v>
      </c>
      <c r="E245" s="5" t="s">
        <v>4312</v>
      </c>
      <c r="F245">
        <v>1</v>
      </c>
      <c r="G245" t="s">
        <v>9791</v>
      </c>
    </row>
    <row r="246" spans="1:7" x14ac:dyDescent="0.25">
      <c r="A246" t="s">
        <v>8767</v>
      </c>
      <c r="B246" s="8">
        <v>231</v>
      </c>
      <c r="C246">
        <v>272</v>
      </c>
      <c r="D246" s="5">
        <v>45931</v>
      </c>
      <c r="E246" s="5" t="s">
        <v>4312</v>
      </c>
      <c r="F246">
        <v>1</v>
      </c>
      <c r="G246" t="s">
        <v>9792</v>
      </c>
    </row>
    <row r="247" spans="1:7" x14ac:dyDescent="0.25">
      <c r="A247" t="s">
        <v>8516</v>
      </c>
      <c r="B247" s="8">
        <v>232</v>
      </c>
      <c r="C247">
        <v>273</v>
      </c>
      <c r="D247" s="5">
        <v>45846</v>
      </c>
      <c r="E247" s="5" t="s">
        <v>4312</v>
      </c>
      <c r="F247">
        <v>1</v>
      </c>
      <c r="G247" t="s">
        <v>9793</v>
      </c>
    </row>
    <row r="248" spans="1:7" x14ac:dyDescent="0.25">
      <c r="A248" t="s">
        <v>8685</v>
      </c>
      <c r="B248" s="8">
        <v>233</v>
      </c>
      <c r="C248">
        <v>274</v>
      </c>
      <c r="D248" s="5">
        <v>45960</v>
      </c>
      <c r="E248" s="5" t="s">
        <v>4312</v>
      </c>
      <c r="F248">
        <v>1</v>
      </c>
      <c r="G248" t="s">
        <v>9794</v>
      </c>
    </row>
    <row r="249" spans="1:7" x14ac:dyDescent="0.25">
      <c r="A249" t="s">
        <v>8504</v>
      </c>
      <c r="B249" s="8" t="s">
        <v>4312</v>
      </c>
      <c r="C249">
        <v>275</v>
      </c>
      <c r="D249" s="5" t="s">
        <v>4312</v>
      </c>
      <c r="E249" s="5" t="s">
        <v>4312</v>
      </c>
      <c r="F249">
        <v>1</v>
      </c>
      <c r="G249" t="s">
        <v>9833</v>
      </c>
    </row>
    <row r="250" spans="1:7" x14ac:dyDescent="0.25">
      <c r="A250" t="s">
        <v>8619</v>
      </c>
      <c r="B250" s="8">
        <v>234</v>
      </c>
      <c r="C250">
        <v>276</v>
      </c>
      <c r="D250" s="5">
        <v>45889</v>
      </c>
      <c r="E250" s="5" t="s">
        <v>4312</v>
      </c>
      <c r="F250">
        <v>1</v>
      </c>
      <c r="G250" t="s">
        <v>9795</v>
      </c>
    </row>
    <row r="251" spans="1:7" x14ac:dyDescent="0.25">
      <c r="A251" t="s">
        <v>8460</v>
      </c>
      <c r="B251" s="8">
        <v>235</v>
      </c>
      <c r="C251">
        <v>277</v>
      </c>
      <c r="D251" s="5">
        <v>45922</v>
      </c>
      <c r="E251" s="5" t="s">
        <v>4312</v>
      </c>
      <c r="F251">
        <v>1</v>
      </c>
      <c r="G251" t="s">
        <v>9796</v>
      </c>
    </row>
    <row r="252" spans="1:7" x14ac:dyDescent="0.25">
      <c r="A252" t="s">
        <v>8811</v>
      </c>
      <c r="B252" s="8">
        <v>236</v>
      </c>
      <c r="C252">
        <v>278</v>
      </c>
      <c r="D252" s="5">
        <v>45873</v>
      </c>
      <c r="E252" s="5" t="s">
        <v>4312</v>
      </c>
      <c r="F252">
        <v>1</v>
      </c>
      <c r="G252" t="s">
        <v>9797</v>
      </c>
    </row>
    <row r="253" spans="1:7" x14ac:dyDescent="0.25">
      <c r="A253" t="s">
        <v>8632</v>
      </c>
      <c r="B253" s="8">
        <v>237</v>
      </c>
      <c r="C253">
        <v>279</v>
      </c>
      <c r="D253" s="5">
        <v>45952</v>
      </c>
      <c r="E253" s="5" t="s">
        <v>4312</v>
      </c>
      <c r="F253">
        <v>1</v>
      </c>
      <c r="G253" t="s">
        <v>9798</v>
      </c>
    </row>
    <row r="254" spans="1:7" x14ac:dyDescent="0.25">
      <c r="A254" t="s">
        <v>8556</v>
      </c>
      <c r="B254" s="8">
        <v>238</v>
      </c>
      <c r="C254">
        <v>280</v>
      </c>
      <c r="D254" s="5">
        <v>45963</v>
      </c>
      <c r="E254" s="5" t="s">
        <v>4312</v>
      </c>
      <c r="F254">
        <v>1</v>
      </c>
      <c r="G254" t="s">
        <v>9799</v>
      </c>
    </row>
    <row r="255" spans="1:7" x14ac:dyDescent="0.25">
      <c r="A255" t="s">
        <v>8858</v>
      </c>
      <c r="B255" s="8">
        <v>239</v>
      </c>
      <c r="C255">
        <v>281</v>
      </c>
      <c r="D255" s="5">
        <v>45883</v>
      </c>
      <c r="E255" s="5" t="s">
        <v>4312</v>
      </c>
      <c r="F255">
        <v>1</v>
      </c>
      <c r="G255" t="s">
        <v>9800</v>
      </c>
    </row>
    <row r="256" spans="1:7" x14ac:dyDescent="0.25">
      <c r="A256" t="s">
        <v>8730</v>
      </c>
      <c r="B256" s="8">
        <v>240</v>
      </c>
      <c r="C256">
        <v>282</v>
      </c>
      <c r="D256" s="5">
        <v>45964</v>
      </c>
      <c r="E256" s="5" t="s">
        <v>4312</v>
      </c>
      <c r="F256">
        <v>1</v>
      </c>
      <c r="G256" t="s">
        <v>9801</v>
      </c>
    </row>
    <row r="257" spans="1:7" x14ac:dyDescent="0.25">
      <c r="A257" t="s">
        <v>8633</v>
      </c>
      <c r="B257" s="8">
        <v>241</v>
      </c>
      <c r="C257">
        <v>283</v>
      </c>
      <c r="D257" s="5">
        <v>45053</v>
      </c>
      <c r="E257" s="5" t="s">
        <v>4312</v>
      </c>
      <c r="F257">
        <v>1</v>
      </c>
      <c r="G257" t="s">
        <v>9802</v>
      </c>
    </row>
    <row r="258" spans="1:7" x14ac:dyDescent="0.25">
      <c r="A258" t="s">
        <v>8667</v>
      </c>
      <c r="B258" s="8">
        <v>242</v>
      </c>
      <c r="C258">
        <v>284</v>
      </c>
      <c r="D258" s="5">
        <v>45945</v>
      </c>
      <c r="E258" s="5" t="s">
        <v>4312</v>
      </c>
      <c r="F258">
        <v>1</v>
      </c>
      <c r="G258" t="s">
        <v>9803</v>
      </c>
    </row>
    <row r="259" spans="1:7" x14ac:dyDescent="0.25">
      <c r="A259" t="s">
        <v>8839</v>
      </c>
      <c r="B259" s="8">
        <v>74</v>
      </c>
      <c r="C259">
        <v>285</v>
      </c>
      <c r="D259" s="5">
        <v>45931</v>
      </c>
      <c r="E259" s="5" t="s">
        <v>4312</v>
      </c>
      <c r="F259">
        <v>1</v>
      </c>
      <c r="G259" t="s">
        <v>9804</v>
      </c>
    </row>
    <row r="260" spans="1:7" x14ac:dyDescent="0.25">
      <c r="A260" t="s">
        <v>8838</v>
      </c>
      <c r="B260" s="8">
        <v>243</v>
      </c>
      <c r="C260">
        <v>286</v>
      </c>
      <c r="D260" s="5">
        <v>45701</v>
      </c>
      <c r="E260" s="5" t="s">
        <v>4312</v>
      </c>
      <c r="F260">
        <v>1</v>
      </c>
      <c r="G260" t="s">
        <v>9805</v>
      </c>
    </row>
    <row r="261" spans="1:7" x14ac:dyDescent="0.25">
      <c r="A261" t="s">
        <v>8463</v>
      </c>
      <c r="B261" s="8">
        <v>244</v>
      </c>
      <c r="C261">
        <v>287</v>
      </c>
      <c r="D261" s="5">
        <v>44790</v>
      </c>
      <c r="E261" s="5" t="s">
        <v>4312</v>
      </c>
      <c r="F261">
        <v>1</v>
      </c>
      <c r="G261" t="s">
        <v>9806</v>
      </c>
    </row>
    <row r="262" spans="1:7" x14ac:dyDescent="0.25">
      <c r="A262" t="s">
        <v>8463</v>
      </c>
      <c r="B262" s="8" t="s">
        <v>4312</v>
      </c>
      <c r="C262">
        <v>288</v>
      </c>
      <c r="D262" s="5">
        <v>44790</v>
      </c>
      <c r="E262" s="5" t="s">
        <v>4312</v>
      </c>
      <c r="F262">
        <v>1</v>
      </c>
      <c r="G262" t="s">
        <v>9834</v>
      </c>
    </row>
    <row r="263" spans="1:7" x14ac:dyDescent="0.25">
      <c r="A263" t="s">
        <v>8537</v>
      </c>
      <c r="B263" s="8">
        <v>245</v>
      </c>
      <c r="C263">
        <v>289</v>
      </c>
      <c r="D263" s="5">
        <v>45964</v>
      </c>
      <c r="E263" s="5" t="s">
        <v>4312</v>
      </c>
      <c r="F263">
        <v>1</v>
      </c>
      <c r="G263" t="s">
        <v>9807</v>
      </c>
    </row>
    <row r="264" spans="1:7" x14ac:dyDescent="0.25">
      <c r="A264" t="s">
        <v>8932</v>
      </c>
      <c r="B264" s="8">
        <v>246</v>
      </c>
      <c r="C264">
        <v>290</v>
      </c>
      <c r="D264" s="5" t="s">
        <v>4312</v>
      </c>
      <c r="E264" s="5" t="s">
        <v>4312</v>
      </c>
      <c r="F264">
        <v>1</v>
      </c>
      <c r="G264" t="s">
        <v>9808</v>
      </c>
    </row>
    <row r="265" spans="1:7" x14ac:dyDescent="0.25">
      <c r="A265">
        <v>146</v>
      </c>
      <c r="B265" s="8">
        <v>247</v>
      </c>
      <c r="C265">
        <v>291</v>
      </c>
      <c r="D265" s="5">
        <v>45881</v>
      </c>
      <c r="E265" s="5" t="s">
        <v>4312</v>
      </c>
      <c r="F265">
        <v>1</v>
      </c>
      <c r="G265" t="s">
        <v>10108</v>
      </c>
    </row>
    <row r="266" spans="1:7" x14ac:dyDescent="0.25">
      <c r="A266" t="s">
        <v>8572</v>
      </c>
      <c r="B266" s="8">
        <v>248</v>
      </c>
      <c r="C266">
        <v>292</v>
      </c>
      <c r="D266" s="5">
        <v>45778</v>
      </c>
      <c r="E266" s="5" t="s">
        <v>4312</v>
      </c>
      <c r="F266">
        <v>1</v>
      </c>
      <c r="G266" t="s">
        <v>9809</v>
      </c>
    </row>
    <row r="267" spans="1:7" x14ac:dyDescent="0.25">
      <c r="A267" t="s">
        <v>8989</v>
      </c>
      <c r="B267" s="8">
        <v>249</v>
      </c>
      <c r="C267">
        <v>293</v>
      </c>
      <c r="D267" s="5">
        <v>45880</v>
      </c>
      <c r="E267" s="5" t="s">
        <v>4312</v>
      </c>
      <c r="F267">
        <v>1</v>
      </c>
      <c r="G267" t="s">
        <v>9810</v>
      </c>
    </row>
    <row r="268" spans="1:7" x14ac:dyDescent="0.25">
      <c r="A268" t="s">
        <v>8308</v>
      </c>
      <c r="B268" s="8">
        <v>250</v>
      </c>
      <c r="C268">
        <v>294</v>
      </c>
      <c r="D268" s="5">
        <v>45456</v>
      </c>
      <c r="E268" s="5" t="s">
        <v>4312</v>
      </c>
      <c r="F268">
        <v>1</v>
      </c>
      <c r="G268" t="s">
        <v>9811</v>
      </c>
    </row>
    <row r="269" spans="1:7" x14ac:dyDescent="0.25">
      <c r="A269" t="s">
        <v>8948</v>
      </c>
      <c r="B269" s="8">
        <v>251</v>
      </c>
      <c r="C269">
        <v>295</v>
      </c>
      <c r="D269" s="5">
        <v>45809</v>
      </c>
      <c r="E269" s="5" t="s">
        <v>4312</v>
      </c>
      <c r="F269">
        <v>1</v>
      </c>
      <c r="G269" t="s">
        <v>9812</v>
      </c>
    </row>
    <row r="270" spans="1:7" x14ac:dyDescent="0.25">
      <c r="A270" t="s">
        <v>8428</v>
      </c>
      <c r="B270" s="8">
        <v>252</v>
      </c>
      <c r="C270">
        <v>296</v>
      </c>
      <c r="D270" s="5">
        <v>45968</v>
      </c>
      <c r="E270" s="5" t="s">
        <v>4312</v>
      </c>
      <c r="F270">
        <v>1</v>
      </c>
      <c r="G270" t="s">
        <v>9813</v>
      </c>
    </row>
    <row r="271" spans="1:7" x14ac:dyDescent="0.25">
      <c r="A271" t="s">
        <v>8387</v>
      </c>
      <c r="B271" s="8">
        <v>253</v>
      </c>
      <c r="C271">
        <v>297</v>
      </c>
      <c r="D271" s="5">
        <v>45718</v>
      </c>
      <c r="E271" s="5" t="s">
        <v>4312</v>
      </c>
      <c r="F271">
        <v>1</v>
      </c>
      <c r="G271" t="s">
        <v>9814</v>
      </c>
    </row>
    <row r="272" spans="1:7" x14ac:dyDescent="0.25">
      <c r="A272" t="s">
        <v>8755</v>
      </c>
      <c r="B272" s="8">
        <v>254</v>
      </c>
      <c r="C272">
        <v>298</v>
      </c>
      <c r="D272" s="5">
        <v>45965</v>
      </c>
      <c r="E272" s="5" t="s">
        <v>4312</v>
      </c>
      <c r="F272">
        <v>1</v>
      </c>
      <c r="G272" t="s">
        <v>9815</v>
      </c>
    </row>
    <row r="273" spans="1:7" x14ac:dyDescent="0.25">
      <c r="A273" t="s">
        <v>8570</v>
      </c>
      <c r="B273" s="8" t="s">
        <v>4312</v>
      </c>
      <c r="C273">
        <v>300</v>
      </c>
      <c r="D273" s="5">
        <v>44231</v>
      </c>
      <c r="E273" s="5" t="s">
        <v>4312</v>
      </c>
      <c r="F273">
        <v>1</v>
      </c>
      <c r="G273" t="s">
        <v>9835</v>
      </c>
    </row>
    <row r="274" spans="1:7" x14ac:dyDescent="0.25">
      <c r="A274" t="s">
        <v>8724</v>
      </c>
      <c r="B274" s="8" t="s">
        <v>4312</v>
      </c>
      <c r="C274">
        <v>301</v>
      </c>
      <c r="D274" s="5">
        <v>45966</v>
      </c>
      <c r="E274" s="5" t="s">
        <v>4312</v>
      </c>
      <c r="F274">
        <v>1</v>
      </c>
      <c r="G274" t="s">
        <v>9836</v>
      </c>
    </row>
    <row r="275" spans="1:7" x14ac:dyDescent="0.25">
      <c r="A275" t="s">
        <v>8793</v>
      </c>
      <c r="B275" s="8">
        <v>255</v>
      </c>
      <c r="C275">
        <v>302</v>
      </c>
      <c r="D275" s="5">
        <v>45903</v>
      </c>
      <c r="E275" s="5" t="s">
        <v>4312</v>
      </c>
      <c r="F275">
        <v>1</v>
      </c>
      <c r="G275" t="s">
        <v>9816</v>
      </c>
    </row>
    <row r="276" spans="1:7" x14ac:dyDescent="0.25">
      <c r="A276" t="s">
        <v>8761</v>
      </c>
      <c r="B276" s="8">
        <v>256</v>
      </c>
      <c r="C276">
        <v>303</v>
      </c>
      <c r="D276" s="5">
        <v>45901</v>
      </c>
      <c r="E276" s="5" t="s">
        <v>4312</v>
      </c>
      <c r="F276">
        <v>1</v>
      </c>
      <c r="G276" t="s">
        <v>9817</v>
      </c>
    </row>
    <row r="277" spans="1:7" x14ac:dyDescent="0.25">
      <c r="A277" t="s">
        <v>8217</v>
      </c>
      <c r="B277" s="8">
        <v>257</v>
      </c>
      <c r="C277">
        <v>304</v>
      </c>
      <c r="D277" s="5">
        <v>45887</v>
      </c>
      <c r="E277" s="5" t="s">
        <v>4312</v>
      </c>
      <c r="F277">
        <v>1</v>
      </c>
      <c r="G277" t="s">
        <v>9818</v>
      </c>
    </row>
    <row r="278" spans="1:7" x14ac:dyDescent="0.25">
      <c r="A278" t="s">
        <v>8352</v>
      </c>
      <c r="B278" s="8">
        <v>258</v>
      </c>
      <c r="C278">
        <v>306</v>
      </c>
      <c r="D278" s="5">
        <v>45916</v>
      </c>
      <c r="E278" s="5" t="s">
        <v>4312</v>
      </c>
      <c r="F278">
        <v>1</v>
      </c>
      <c r="G278" t="s">
        <v>9819</v>
      </c>
    </row>
    <row r="279" spans="1:7" x14ac:dyDescent="0.25">
      <c r="A279" t="s">
        <v>8216</v>
      </c>
      <c r="B279" s="8">
        <v>460</v>
      </c>
      <c r="C279" t="s">
        <v>4312</v>
      </c>
      <c r="D279" s="5" t="s">
        <v>4312</v>
      </c>
      <c r="E279" s="5" t="s">
        <v>4312</v>
      </c>
      <c r="F279">
        <v>1</v>
      </c>
      <c r="G279" t="s">
        <v>9837</v>
      </c>
    </row>
    <row r="280" spans="1:7" x14ac:dyDescent="0.25">
      <c r="A280" t="s">
        <v>8245</v>
      </c>
      <c r="B280" s="8">
        <v>286</v>
      </c>
      <c r="C280" t="s">
        <v>4312</v>
      </c>
      <c r="D280" s="5" t="s">
        <v>4312</v>
      </c>
      <c r="E280" s="5" t="s">
        <v>4312</v>
      </c>
      <c r="F280">
        <v>1</v>
      </c>
      <c r="G280" t="s">
        <v>9838</v>
      </c>
    </row>
    <row r="281" spans="1:7" x14ac:dyDescent="0.25">
      <c r="A281" t="s">
        <v>8249</v>
      </c>
      <c r="B281" s="8">
        <v>328</v>
      </c>
      <c r="C281" t="s">
        <v>4312</v>
      </c>
      <c r="D281" s="5" t="s">
        <v>4312</v>
      </c>
      <c r="E281" s="5" t="s">
        <v>4312</v>
      </c>
      <c r="F281">
        <v>1</v>
      </c>
      <c r="G281" t="s">
        <v>9839</v>
      </c>
    </row>
    <row r="282" spans="1:7" x14ac:dyDescent="0.25">
      <c r="A282" t="s">
        <v>8527</v>
      </c>
      <c r="B282" s="8">
        <v>329</v>
      </c>
      <c r="C282" t="s">
        <v>4312</v>
      </c>
      <c r="D282" s="5" t="s">
        <v>4312</v>
      </c>
      <c r="E282" s="5" t="s">
        <v>4312</v>
      </c>
      <c r="F282">
        <v>1</v>
      </c>
      <c r="G282" t="s">
        <v>9840</v>
      </c>
    </row>
    <row r="283" spans="1:7" x14ac:dyDescent="0.25">
      <c r="A283" t="s">
        <v>8527</v>
      </c>
      <c r="B283" s="8">
        <v>399</v>
      </c>
      <c r="C283" t="s">
        <v>4312</v>
      </c>
      <c r="D283" s="5" t="s">
        <v>4312</v>
      </c>
      <c r="E283" s="5" t="s">
        <v>4312</v>
      </c>
      <c r="F283">
        <v>1</v>
      </c>
      <c r="G283" t="s">
        <v>9841</v>
      </c>
    </row>
    <row r="284" spans="1:7" x14ac:dyDescent="0.25">
      <c r="A284" t="s">
        <v>8454</v>
      </c>
      <c r="B284" s="8">
        <v>295</v>
      </c>
      <c r="C284" t="s">
        <v>4312</v>
      </c>
      <c r="D284" s="5" t="s">
        <v>4312</v>
      </c>
      <c r="E284" s="5" t="s">
        <v>4312</v>
      </c>
      <c r="F284">
        <v>1</v>
      </c>
      <c r="G284" t="s">
        <v>9842</v>
      </c>
    </row>
    <row r="285" spans="1:7" x14ac:dyDescent="0.25">
      <c r="A285" t="s">
        <v>8401</v>
      </c>
      <c r="B285" s="8">
        <v>459</v>
      </c>
      <c r="C285" t="s">
        <v>4312</v>
      </c>
      <c r="D285" s="5" t="s">
        <v>4312</v>
      </c>
      <c r="E285" s="5" t="s">
        <v>4312</v>
      </c>
      <c r="F285">
        <v>1</v>
      </c>
      <c r="G285" t="s">
        <v>9843</v>
      </c>
    </row>
    <row r="286" spans="1:7" x14ac:dyDescent="0.25">
      <c r="A286" t="s">
        <v>8401</v>
      </c>
      <c r="B286" s="8">
        <v>536</v>
      </c>
      <c r="C286" t="s">
        <v>4312</v>
      </c>
      <c r="D286" s="5" t="s">
        <v>4312</v>
      </c>
      <c r="E286" s="5" t="s">
        <v>4312</v>
      </c>
      <c r="F286">
        <v>1</v>
      </c>
      <c r="G286" t="s">
        <v>9844</v>
      </c>
    </row>
    <row r="287" spans="1:7" x14ac:dyDescent="0.25">
      <c r="A287" t="s">
        <v>8401</v>
      </c>
      <c r="B287" s="8">
        <v>537</v>
      </c>
      <c r="C287" t="s">
        <v>4312</v>
      </c>
      <c r="D287" s="5" t="s">
        <v>4312</v>
      </c>
      <c r="E287" s="5" t="s">
        <v>4312</v>
      </c>
      <c r="F287">
        <v>1</v>
      </c>
      <c r="G287" t="s">
        <v>9845</v>
      </c>
    </row>
    <row r="288" spans="1:7" x14ac:dyDescent="0.25">
      <c r="A288" t="s">
        <v>8562</v>
      </c>
      <c r="B288" s="8">
        <v>398</v>
      </c>
      <c r="C288" t="s">
        <v>4312</v>
      </c>
      <c r="D288" s="5" t="s">
        <v>4312</v>
      </c>
      <c r="E288" s="5" t="s">
        <v>4312</v>
      </c>
      <c r="F288">
        <v>1</v>
      </c>
      <c r="G288" t="s">
        <v>9846</v>
      </c>
    </row>
    <row r="289" spans="1:7" x14ac:dyDescent="0.25">
      <c r="A289" t="s">
        <v>8348</v>
      </c>
      <c r="B289" s="8">
        <v>535</v>
      </c>
      <c r="C289" t="s">
        <v>4312</v>
      </c>
      <c r="D289" s="5" t="s">
        <v>4312</v>
      </c>
      <c r="E289" s="5" t="s">
        <v>4312</v>
      </c>
      <c r="F289">
        <v>1</v>
      </c>
      <c r="G289" t="s">
        <v>9847</v>
      </c>
    </row>
    <row r="290" spans="1:7" x14ac:dyDescent="0.25">
      <c r="A290" t="s">
        <v>8343</v>
      </c>
      <c r="B290" s="8">
        <v>325</v>
      </c>
      <c r="C290" t="s">
        <v>4312</v>
      </c>
      <c r="D290" s="5" t="s">
        <v>4312</v>
      </c>
      <c r="E290" s="5" t="s">
        <v>4312</v>
      </c>
      <c r="F290">
        <v>1</v>
      </c>
      <c r="G290" t="s">
        <v>9848</v>
      </c>
    </row>
    <row r="291" spans="1:7" x14ac:dyDescent="0.25">
      <c r="A291" t="s">
        <v>8468</v>
      </c>
      <c r="B291" s="8">
        <v>473</v>
      </c>
      <c r="C291" t="s">
        <v>4312</v>
      </c>
      <c r="D291" s="5" t="s">
        <v>4312</v>
      </c>
      <c r="E291" s="5" t="s">
        <v>4312</v>
      </c>
      <c r="F291">
        <v>1</v>
      </c>
      <c r="G291" t="s">
        <v>9849</v>
      </c>
    </row>
    <row r="292" spans="1:7" x14ac:dyDescent="0.25">
      <c r="A292" t="s">
        <v>8297</v>
      </c>
      <c r="B292" s="8">
        <v>420</v>
      </c>
      <c r="C292" t="s">
        <v>4312</v>
      </c>
      <c r="D292" s="5" t="s">
        <v>4312</v>
      </c>
      <c r="E292" s="5" t="s">
        <v>4312</v>
      </c>
      <c r="F292">
        <v>1</v>
      </c>
      <c r="G292" t="s">
        <v>9850</v>
      </c>
    </row>
    <row r="293" spans="1:7" x14ac:dyDescent="0.25">
      <c r="A293" t="s">
        <v>8319</v>
      </c>
      <c r="B293" s="8">
        <v>466</v>
      </c>
      <c r="C293" t="s">
        <v>4312</v>
      </c>
      <c r="D293" s="5" t="s">
        <v>4312</v>
      </c>
      <c r="E293" s="5" t="s">
        <v>4312</v>
      </c>
      <c r="F293">
        <v>1</v>
      </c>
      <c r="G293" t="s">
        <v>9851</v>
      </c>
    </row>
    <row r="294" spans="1:7" x14ac:dyDescent="0.25">
      <c r="A294" t="s">
        <v>8341</v>
      </c>
      <c r="B294" s="8">
        <v>480</v>
      </c>
      <c r="C294" t="s">
        <v>4312</v>
      </c>
      <c r="D294" s="5" t="s">
        <v>4312</v>
      </c>
      <c r="E294" s="5" t="s">
        <v>4312</v>
      </c>
      <c r="F294">
        <v>1</v>
      </c>
      <c r="G294" t="s">
        <v>9852</v>
      </c>
    </row>
    <row r="295" spans="1:7" x14ac:dyDescent="0.25">
      <c r="A295" t="s">
        <v>8243</v>
      </c>
      <c r="B295" s="8">
        <v>438</v>
      </c>
      <c r="C295" t="s">
        <v>4312</v>
      </c>
      <c r="D295" s="5" t="s">
        <v>4312</v>
      </c>
      <c r="E295" s="5" t="s">
        <v>4312</v>
      </c>
      <c r="F295">
        <v>1</v>
      </c>
      <c r="G295" t="s">
        <v>9853</v>
      </c>
    </row>
    <row r="296" spans="1:7" x14ac:dyDescent="0.25">
      <c r="A296" t="s">
        <v>8691</v>
      </c>
      <c r="B296" s="8">
        <v>353</v>
      </c>
      <c r="C296" t="s">
        <v>4312</v>
      </c>
      <c r="D296" s="5" t="s">
        <v>4312</v>
      </c>
      <c r="E296" s="5" t="s">
        <v>4312</v>
      </c>
      <c r="F296">
        <v>1</v>
      </c>
      <c r="G296" t="s">
        <v>9854</v>
      </c>
    </row>
    <row r="297" spans="1:7" x14ac:dyDescent="0.25">
      <c r="A297" t="s">
        <v>8423</v>
      </c>
      <c r="B297" s="8">
        <v>347</v>
      </c>
      <c r="C297" t="s">
        <v>4312</v>
      </c>
      <c r="D297" s="5" t="s">
        <v>4312</v>
      </c>
      <c r="E297" s="5" t="s">
        <v>4312</v>
      </c>
      <c r="F297">
        <v>1</v>
      </c>
      <c r="G297" t="s">
        <v>9855</v>
      </c>
    </row>
    <row r="298" spans="1:7" x14ac:dyDescent="0.25">
      <c r="A298" t="s">
        <v>8362</v>
      </c>
      <c r="B298" s="8">
        <v>285</v>
      </c>
      <c r="C298" t="s">
        <v>4312</v>
      </c>
      <c r="D298" s="5" t="s">
        <v>4312</v>
      </c>
      <c r="E298" s="5" t="s">
        <v>4312</v>
      </c>
      <c r="F298">
        <v>1</v>
      </c>
      <c r="G298" t="s">
        <v>9856</v>
      </c>
    </row>
    <row r="299" spans="1:7" x14ac:dyDescent="0.25">
      <c r="A299" t="s">
        <v>8299</v>
      </c>
      <c r="B299" s="8">
        <v>485</v>
      </c>
      <c r="C299" t="s">
        <v>4312</v>
      </c>
      <c r="D299" s="5" t="s">
        <v>4312</v>
      </c>
      <c r="E299" s="5" t="s">
        <v>4312</v>
      </c>
      <c r="F299">
        <v>1</v>
      </c>
      <c r="G299" t="s">
        <v>9857</v>
      </c>
    </row>
    <row r="300" spans="1:7" x14ac:dyDescent="0.25">
      <c r="A300" t="s">
        <v>8289</v>
      </c>
      <c r="B300" s="8">
        <v>290</v>
      </c>
      <c r="C300" t="s">
        <v>4312</v>
      </c>
      <c r="D300" s="5" t="s">
        <v>4312</v>
      </c>
      <c r="E300" s="5" t="s">
        <v>4312</v>
      </c>
      <c r="F300">
        <v>0</v>
      </c>
      <c r="G300" t="s">
        <v>9858</v>
      </c>
    </row>
    <row r="301" spans="1:7" x14ac:dyDescent="0.25">
      <c r="A301" t="s">
        <v>8921</v>
      </c>
      <c r="B301" s="8">
        <v>354</v>
      </c>
      <c r="C301" t="s">
        <v>4312</v>
      </c>
      <c r="D301" s="5" t="s">
        <v>4312</v>
      </c>
      <c r="E301" s="5" t="s">
        <v>4312</v>
      </c>
      <c r="F301">
        <v>0</v>
      </c>
      <c r="G301" t="s">
        <v>9859</v>
      </c>
    </row>
    <row r="302" spans="1:7" x14ac:dyDescent="0.25">
      <c r="A302" t="s">
        <v>8359</v>
      </c>
      <c r="B302" s="8">
        <v>430</v>
      </c>
      <c r="C302" t="s">
        <v>4312</v>
      </c>
      <c r="D302" s="5" t="s">
        <v>4312</v>
      </c>
      <c r="E302" s="5" t="s">
        <v>4312</v>
      </c>
      <c r="F302">
        <v>1</v>
      </c>
      <c r="G302" t="s">
        <v>9860</v>
      </c>
    </row>
    <row r="303" spans="1:7" x14ac:dyDescent="0.25">
      <c r="A303" t="s">
        <v>8370</v>
      </c>
      <c r="B303" s="8">
        <v>293</v>
      </c>
      <c r="C303" t="s">
        <v>4312</v>
      </c>
      <c r="D303" s="5" t="s">
        <v>4312</v>
      </c>
      <c r="E303" s="5" t="s">
        <v>4312</v>
      </c>
      <c r="F303">
        <v>0</v>
      </c>
      <c r="G303" t="s">
        <v>9861</v>
      </c>
    </row>
    <row r="304" spans="1:7" x14ac:dyDescent="0.25">
      <c r="A304" t="s">
        <v>8320</v>
      </c>
      <c r="B304" s="8">
        <v>471</v>
      </c>
      <c r="C304" t="s">
        <v>4312</v>
      </c>
      <c r="D304" s="5" t="s">
        <v>4312</v>
      </c>
      <c r="E304" s="5" t="s">
        <v>4312</v>
      </c>
      <c r="F304">
        <v>1</v>
      </c>
      <c r="G304" t="s">
        <v>9862</v>
      </c>
    </row>
    <row r="305" spans="1:7" x14ac:dyDescent="0.25">
      <c r="A305" t="s">
        <v>8283</v>
      </c>
      <c r="B305" s="8">
        <v>327</v>
      </c>
      <c r="C305" t="s">
        <v>4312</v>
      </c>
      <c r="D305" s="5" t="s">
        <v>4312</v>
      </c>
      <c r="E305" s="5" t="s">
        <v>4312</v>
      </c>
      <c r="F305">
        <v>1</v>
      </c>
      <c r="G305" t="s">
        <v>9863</v>
      </c>
    </row>
    <row r="306" spans="1:7" x14ac:dyDescent="0.25">
      <c r="A306" t="s">
        <v>8480</v>
      </c>
      <c r="B306" s="8">
        <v>382</v>
      </c>
      <c r="C306" t="s">
        <v>4312</v>
      </c>
      <c r="D306" s="5" t="s">
        <v>4312</v>
      </c>
      <c r="E306" s="5" t="s">
        <v>4312</v>
      </c>
      <c r="F306">
        <v>0</v>
      </c>
      <c r="G306" t="s">
        <v>9864</v>
      </c>
    </row>
    <row r="307" spans="1:7" x14ac:dyDescent="0.25">
      <c r="A307" t="s">
        <v>8356</v>
      </c>
      <c r="B307" s="8">
        <v>417</v>
      </c>
      <c r="C307" t="s">
        <v>4312</v>
      </c>
      <c r="D307" s="5" t="s">
        <v>4312</v>
      </c>
      <c r="E307" s="5" t="s">
        <v>4312</v>
      </c>
      <c r="F307">
        <v>1</v>
      </c>
      <c r="G307" t="s">
        <v>9865</v>
      </c>
    </row>
    <row r="308" spans="1:7" x14ac:dyDescent="0.25">
      <c r="A308" t="s">
        <v>8717</v>
      </c>
      <c r="B308" s="8">
        <v>500</v>
      </c>
      <c r="C308" t="s">
        <v>4312</v>
      </c>
      <c r="D308" s="5" t="s">
        <v>4312</v>
      </c>
      <c r="E308" s="5" t="s">
        <v>4312</v>
      </c>
      <c r="F308">
        <v>1</v>
      </c>
      <c r="G308" t="s">
        <v>9866</v>
      </c>
    </row>
    <row r="309" spans="1:7" x14ac:dyDescent="0.25">
      <c r="A309" t="s">
        <v>8361</v>
      </c>
      <c r="B309" s="8">
        <v>365</v>
      </c>
      <c r="C309" t="s">
        <v>4312</v>
      </c>
      <c r="D309" s="5" t="s">
        <v>4312</v>
      </c>
      <c r="E309" s="5" t="s">
        <v>4312</v>
      </c>
      <c r="F309">
        <v>1</v>
      </c>
      <c r="G309" t="s">
        <v>9867</v>
      </c>
    </row>
    <row r="310" spans="1:7" x14ac:dyDescent="0.25">
      <c r="A310" t="s">
        <v>8417</v>
      </c>
      <c r="B310" s="8">
        <v>461</v>
      </c>
      <c r="C310" t="s">
        <v>4312</v>
      </c>
      <c r="D310" s="5" t="s">
        <v>4312</v>
      </c>
      <c r="E310" s="5" t="s">
        <v>4312</v>
      </c>
      <c r="F310">
        <v>1</v>
      </c>
      <c r="G310" t="s">
        <v>9868</v>
      </c>
    </row>
    <row r="311" spans="1:7" x14ac:dyDescent="0.25">
      <c r="A311" t="s">
        <v>8476</v>
      </c>
      <c r="B311" s="8">
        <v>436</v>
      </c>
      <c r="C311" t="s">
        <v>4312</v>
      </c>
      <c r="D311" s="5" t="s">
        <v>4312</v>
      </c>
      <c r="E311" s="5" t="s">
        <v>4312</v>
      </c>
      <c r="F311">
        <v>1</v>
      </c>
      <c r="G311" t="s">
        <v>9869</v>
      </c>
    </row>
    <row r="312" spans="1:7" x14ac:dyDescent="0.25">
      <c r="A312" t="s">
        <v>8425</v>
      </c>
      <c r="B312" s="8">
        <v>383</v>
      </c>
      <c r="C312" t="s">
        <v>4312</v>
      </c>
      <c r="D312" s="5" t="s">
        <v>4312</v>
      </c>
      <c r="E312" s="5" t="s">
        <v>4312</v>
      </c>
      <c r="F312">
        <v>0</v>
      </c>
      <c r="G312" t="s">
        <v>9870</v>
      </c>
    </row>
    <row r="313" spans="1:7" x14ac:dyDescent="0.25">
      <c r="A313" t="s">
        <v>8247</v>
      </c>
      <c r="B313" s="8">
        <v>341</v>
      </c>
      <c r="C313" t="s">
        <v>4312</v>
      </c>
      <c r="D313" s="5" t="s">
        <v>4312</v>
      </c>
      <c r="E313" s="5" t="s">
        <v>4312</v>
      </c>
      <c r="F313">
        <v>1</v>
      </c>
      <c r="G313" t="s">
        <v>9871</v>
      </c>
    </row>
    <row r="314" spans="1:7" x14ac:dyDescent="0.25">
      <c r="A314" t="s">
        <v>8918</v>
      </c>
      <c r="B314" s="8">
        <v>441</v>
      </c>
      <c r="C314" t="s">
        <v>4312</v>
      </c>
      <c r="D314" s="5" t="s">
        <v>4312</v>
      </c>
      <c r="E314" s="5" t="s">
        <v>4312</v>
      </c>
      <c r="F314">
        <v>1</v>
      </c>
      <c r="G314" t="s">
        <v>9872</v>
      </c>
    </row>
    <row r="315" spans="1:7" x14ac:dyDescent="0.25">
      <c r="A315" t="s">
        <v>8335</v>
      </c>
      <c r="B315" s="8">
        <v>292</v>
      </c>
      <c r="C315" t="s">
        <v>4312</v>
      </c>
      <c r="D315" s="5" t="s">
        <v>4312</v>
      </c>
      <c r="E315" s="5" t="s">
        <v>4312</v>
      </c>
      <c r="F315">
        <v>1</v>
      </c>
      <c r="G315" t="s">
        <v>9873</v>
      </c>
    </row>
    <row r="316" spans="1:7" x14ac:dyDescent="0.25">
      <c r="A316" t="s">
        <v>8364</v>
      </c>
      <c r="B316" s="8">
        <v>345</v>
      </c>
      <c r="C316" t="s">
        <v>4312</v>
      </c>
      <c r="D316" s="5" t="s">
        <v>4312</v>
      </c>
      <c r="E316" s="5" t="s">
        <v>4312</v>
      </c>
      <c r="F316">
        <v>1</v>
      </c>
      <c r="G316" t="s">
        <v>9874</v>
      </c>
    </row>
    <row r="317" spans="1:7" x14ac:dyDescent="0.25">
      <c r="A317" t="s">
        <v>8338</v>
      </c>
      <c r="B317" s="8">
        <v>470</v>
      </c>
      <c r="C317" t="s">
        <v>4312</v>
      </c>
      <c r="D317" s="5" t="s">
        <v>4312</v>
      </c>
      <c r="E317" s="5" t="s">
        <v>4312</v>
      </c>
      <c r="F317">
        <v>1</v>
      </c>
      <c r="G317" t="s">
        <v>9875</v>
      </c>
    </row>
    <row r="318" spans="1:7" x14ac:dyDescent="0.25">
      <c r="A318" t="s">
        <v>8487</v>
      </c>
      <c r="B318" s="8">
        <v>391</v>
      </c>
      <c r="C318" t="s">
        <v>4312</v>
      </c>
      <c r="D318" s="5" t="s">
        <v>4312</v>
      </c>
      <c r="E318" s="5" t="s">
        <v>4312</v>
      </c>
      <c r="F318">
        <v>0</v>
      </c>
      <c r="G318" t="s">
        <v>9876</v>
      </c>
    </row>
    <row r="319" spans="1:7" x14ac:dyDescent="0.25">
      <c r="A319" t="s">
        <v>8259</v>
      </c>
      <c r="B319" s="8">
        <v>284</v>
      </c>
      <c r="C319" t="s">
        <v>4312</v>
      </c>
      <c r="D319" s="5" t="s">
        <v>4312</v>
      </c>
      <c r="E319" s="5" t="s">
        <v>4312</v>
      </c>
      <c r="F319">
        <v>1</v>
      </c>
      <c r="G319" t="s">
        <v>9877</v>
      </c>
    </row>
    <row r="320" spans="1:7" x14ac:dyDescent="0.25">
      <c r="A320" t="s">
        <v>8635</v>
      </c>
      <c r="B320" s="8">
        <v>385</v>
      </c>
      <c r="C320" t="s">
        <v>4312</v>
      </c>
      <c r="D320" s="5" t="s">
        <v>4312</v>
      </c>
      <c r="E320" s="5" t="s">
        <v>4312</v>
      </c>
      <c r="F320">
        <v>1</v>
      </c>
      <c r="G320" t="s">
        <v>9878</v>
      </c>
    </row>
    <row r="321" spans="1:7" x14ac:dyDescent="0.25">
      <c r="A321" t="s">
        <v>8388</v>
      </c>
      <c r="B321" s="8">
        <v>477</v>
      </c>
      <c r="C321" t="s">
        <v>4312</v>
      </c>
      <c r="D321" s="5" t="s">
        <v>4312</v>
      </c>
      <c r="E321" s="5" t="s">
        <v>4312</v>
      </c>
      <c r="F321">
        <v>0</v>
      </c>
      <c r="G321" t="s">
        <v>9879</v>
      </c>
    </row>
    <row r="322" spans="1:7" x14ac:dyDescent="0.25">
      <c r="A322" t="s">
        <v>8422</v>
      </c>
      <c r="B322" s="8">
        <v>302</v>
      </c>
      <c r="C322" t="s">
        <v>4312</v>
      </c>
      <c r="D322" s="5" t="s">
        <v>4312</v>
      </c>
      <c r="E322" s="5" t="s">
        <v>4312</v>
      </c>
      <c r="F322">
        <v>0</v>
      </c>
      <c r="G322" t="s">
        <v>9880</v>
      </c>
    </row>
    <row r="323" spans="1:7" x14ac:dyDescent="0.25">
      <c r="A323" t="s">
        <v>8456</v>
      </c>
      <c r="B323" s="8">
        <v>342</v>
      </c>
      <c r="C323" t="s">
        <v>4312</v>
      </c>
      <c r="D323" s="5" t="s">
        <v>4312</v>
      </c>
      <c r="E323" s="5" t="s">
        <v>4312</v>
      </c>
      <c r="F323">
        <v>0</v>
      </c>
      <c r="G323" t="s">
        <v>9881</v>
      </c>
    </row>
    <row r="324" spans="1:7" x14ac:dyDescent="0.25">
      <c r="A324" t="s">
        <v>8340</v>
      </c>
      <c r="B324" s="8">
        <v>504</v>
      </c>
      <c r="C324" t="s">
        <v>4312</v>
      </c>
      <c r="D324" s="5" t="s">
        <v>4312</v>
      </c>
      <c r="E324" s="5" t="s">
        <v>4312</v>
      </c>
      <c r="F324">
        <v>1</v>
      </c>
      <c r="G324" t="s">
        <v>9882</v>
      </c>
    </row>
    <row r="325" spans="1:7" x14ac:dyDescent="0.25">
      <c r="A325" t="s">
        <v>8392</v>
      </c>
      <c r="B325" s="8">
        <v>323</v>
      </c>
      <c r="C325" t="s">
        <v>4312</v>
      </c>
      <c r="D325" s="5" t="s">
        <v>4312</v>
      </c>
      <c r="E325" s="5" t="s">
        <v>4312</v>
      </c>
      <c r="F325">
        <v>1</v>
      </c>
      <c r="G325" t="s">
        <v>9883</v>
      </c>
    </row>
    <row r="326" spans="1:7" x14ac:dyDescent="0.25">
      <c r="A326" t="s">
        <v>8238</v>
      </c>
      <c r="B326" s="8">
        <v>488</v>
      </c>
      <c r="C326" t="s">
        <v>4312</v>
      </c>
      <c r="D326" s="5" t="s">
        <v>4312</v>
      </c>
      <c r="E326" s="5" t="s">
        <v>4312</v>
      </c>
      <c r="F326">
        <v>1</v>
      </c>
      <c r="G326" t="s">
        <v>9884</v>
      </c>
    </row>
    <row r="327" spans="1:7" x14ac:dyDescent="0.25">
      <c r="A327" t="s">
        <v>8604</v>
      </c>
      <c r="B327" s="8">
        <v>384</v>
      </c>
      <c r="C327" t="s">
        <v>4312</v>
      </c>
      <c r="D327" s="5" t="s">
        <v>4312</v>
      </c>
      <c r="E327" s="5" t="s">
        <v>4312</v>
      </c>
      <c r="F327">
        <v>1</v>
      </c>
      <c r="G327" t="s">
        <v>9885</v>
      </c>
    </row>
    <row r="328" spans="1:7" x14ac:dyDescent="0.25">
      <c r="A328" t="s">
        <v>8450</v>
      </c>
      <c r="B328" s="8">
        <v>476</v>
      </c>
      <c r="C328" t="s">
        <v>4312</v>
      </c>
      <c r="D328" s="5" t="s">
        <v>4312</v>
      </c>
      <c r="E328" s="5" t="s">
        <v>4312</v>
      </c>
      <c r="F328">
        <v>1</v>
      </c>
      <c r="G328" t="s">
        <v>9886</v>
      </c>
    </row>
    <row r="329" spans="1:7" x14ac:dyDescent="0.25">
      <c r="A329" t="s">
        <v>8540</v>
      </c>
      <c r="B329" s="8">
        <v>309</v>
      </c>
      <c r="C329" t="s">
        <v>4312</v>
      </c>
      <c r="D329" s="5" t="s">
        <v>4312</v>
      </c>
      <c r="E329" s="5" t="s">
        <v>4312</v>
      </c>
      <c r="F329">
        <v>0</v>
      </c>
      <c r="G329" t="s">
        <v>9887</v>
      </c>
    </row>
    <row r="330" spans="1:7" x14ac:dyDescent="0.25">
      <c r="A330" t="s">
        <v>8352</v>
      </c>
      <c r="B330" s="8">
        <v>265</v>
      </c>
      <c r="C330" t="s">
        <v>4312</v>
      </c>
      <c r="D330" s="5" t="s">
        <v>4312</v>
      </c>
      <c r="E330" s="5" t="s">
        <v>4312</v>
      </c>
      <c r="F330">
        <v>1</v>
      </c>
      <c r="G330" t="s">
        <v>9888</v>
      </c>
    </row>
    <row r="331" spans="1:7" x14ac:dyDescent="0.25">
      <c r="A331" t="s">
        <v>8791</v>
      </c>
      <c r="B331" s="8">
        <v>314</v>
      </c>
      <c r="C331" t="s">
        <v>4312</v>
      </c>
      <c r="D331" s="5" t="s">
        <v>4312</v>
      </c>
      <c r="E331" s="5" t="s">
        <v>4312</v>
      </c>
      <c r="F331">
        <v>1</v>
      </c>
      <c r="G331" t="s">
        <v>9889</v>
      </c>
    </row>
    <row r="332" spans="1:7" x14ac:dyDescent="0.25">
      <c r="A332" t="s">
        <v>8290</v>
      </c>
      <c r="B332" s="8">
        <v>276</v>
      </c>
      <c r="C332" t="s">
        <v>4312</v>
      </c>
      <c r="D332" s="5" t="s">
        <v>4312</v>
      </c>
      <c r="E332" s="5" t="s">
        <v>4312</v>
      </c>
      <c r="F332">
        <v>1</v>
      </c>
      <c r="G332" t="s">
        <v>9890</v>
      </c>
    </row>
    <row r="333" spans="1:7" x14ac:dyDescent="0.25">
      <c r="A333" t="s">
        <v>8402</v>
      </c>
      <c r="B333" s="8">
        <v>479</v>
      </c>
      <c r="C333" t="s">
        <v>4312</v>
      </c>
      <c r="D333" s="5" t="s">
        <v>4312</v>
      </c>
      <c r="E333" s="5" t="s">
        <v>4312</v>
      </c>
      <c r="F333">
        <v>1</v>
      </c>
      <c r="G333" t="s">
        <v>9891</v>
      </c>
    </row>
    <row r="334" spans="1:7" x14ac:dyDescent="0.25">
      <c r="A334" t="s">
        <v>8985</v>
      </c>
      <c r="B334" s="8">
        <v>389</v>
      </c>
      <c r="C334" t="s">
        <v>4312</v>
      </c>
      <c r="D334" s="5" t="s">
        <v>4312</v>
      </c>
      <c r="E334" s="5" t="s">
        <v>4312</v>
      </c>
      <c r="F334">
        <v>1</v>
      </c>
      <c r="G334" t="s">
        <v>9892</v>
      </c>
    </row>
    <row r="335" spans="1:7" x14ac:dyDescent="0.25">
      <c r="A335" t="s">
        <v>8964</v>
      </c>
      <c r="B335" s="8">
        <v>422</v>
      </c>
      <c r="C335" t="s">
        <v>4312</v>
      </c>
      <c r="D335" s="5" t="s">
        <v>4312</v>
      </c>
      <c r="E335" s="5" t="s">
        <v>4312</v>
      </c>
      <c r="F335">
        <v>1</v>
      </c>
      <c r="G335" t="s">
        <v>9893</v>
      </c>
    </row>
    <row r="336" spans="1:7" x14ac:dyDescent="0.25">
      <c r="A336" t="s">
        <v>8526</v>
      </c>
      <c r="B336" s="8">
        <v>271</v>
      </c>
      <c r="C336" t="s">
        <v>4312</v>
      </c>
      <c r="D336" s="5" t="s">
        <v>4312</v>
      </c>
      <c r="E336" s="5" t="s">
        <v>4312</v>
      </c>
      <c r="F336">
        <v>1</v>
      </c>
      <c r="G336" t="s">
        <v>9894</v>
      </c>
    </row>
    <row r="337" spans="1:7" x14ac:dyDescent="0.25">
      <c r="A337" t="s">
        <v>8697</v>
      </c>
      <c r="B337" s="8">
        <v>386</v>
      </c>
      <c r="C337" t="s">
        <v>4312</v>
      </c>
      <c r="D337" s="5" t="s">
        <v>4312</v>
      </c>
      <c r="E337" s="5" t="s">
        <v>4312</v>
      </c>
      <c r="F337">
        <v>1</v>
      </c>
      <c r="G337" t="s">
        <v>9895</v>
      </c>
    </row>
    <row r="338" spans="1:7" x14ac:dyDescent="0.25">
      <c r="A338" t="s">
        <v>8462</v>
      </c>
      <c r="B338" s="8">
        <v>403</v>
      </c>
      <c r="C338" t="s">
        <v>4312</v>
      </c>
      <c r="D338" s="5" t="s">
        <v>4312</v>
      </c>
      <c r="E338" s="5" t="s">
        <v>4312</v>
      </c>
      <c r="F338">
        <v>0</v>
      </c>
      <c r="G338" t="s">
        <v>9896</v>
      </c>
    </row>
    <row r="339" spans="1:7" x14ac:dyDescent="0.25">
      <c r="A339" t="s">
        <v>8255</v>
      </c>
      <c r="B339" s="8">
        <v>378</v>
      </c>
      <c r="C339" t="s">
        <v>4312</v>
      </c>
      <c r="D339" s="5" t="s">
        <v>4312</v>
      </c>
      <c r="E339" s="5" t="s">
        <v>4312</v>
      </c>
      <c r="F339">
        <v>1</v>
      </c>
      <c r="G339" t="s">
        <v>9897</v>
      </c>
    </row>
    <row r="340" spans="1:7" x14ac:dyDescent="0.25">
      <c r="A340" t="s">
        <v>8344</v>
      </c>
      <c r="B340" s="8">
        <v>396</v>
      </c>
      <c r="C340" t="s">
        <v>4312</v>
      </c>
      <c r="D340" s="5" t="s">
        <v>4312</v>
      </c>
      <c r="E340" s="5" t="s">
        <v>4312</v>
      </c>
      <c r="F340">
        <v>1</v>
      </c>
      <c r="G340" t="s">
        <v>9898</v>
      </c>
    </row>
    <row r="341" spans="1:7" x14ac:dyDescent="0.25">
      <c r="A341" t="s">
        <v>8978</v>
      </c>
      <c r="B341" s="8">
        <v>331</v>
      </c>
      <c r="C341" t="s">
        <v>4312</v>
      </c>
      <c r="D341" s="5" t="s">
        <v>4312</v>
      </c>
      <c r="E341" s="5" t="s">
        <v>4312</v>
      </c>
      <c r="F341">
        <v>1</v>
      </c>
      <c r="G341" t="s">
        <v>9899</v>
      </c>
    </row>
    <row r="342" spans="1:7" x14ac:dyDescent="0.25">
      <c r="A342" t="s">
        <v>8578</v>
      </c>
      <c r="B342" s="8">
        <v>279</v>
      </c>
      <c r="C342" t="s">
        <v>4312</v>
      </c>
      <c r="D342" s="5" t="s">
        <v>4312</v>
      </c>
      <c r="E342" s="5" t="s">
        <v>4312</v>
      </c>
      <c r="F342">
        <v>0</v>
      </c>
      <c r="G342" t="s">
        <v>9900</v>
      </c>
    </row>
    <row r="343" spans="1:7" x14ac:dyDescent="0.25">
      <c r="A343" t="s">
        <v>8568</v>
      </c>
      <c r="B343" s="8">
        <v>356</v>
      </c>
      <c r="C343" t="s">
        <v>4312</v>
      </c>
      <c r="D343" s="5" t="s">
        <v>4312</v>
      </c>
      <c r="E343" s="5" t="s">
        <v>4312</v>
      </c>
      <c r="F343">
        <v>1</v>
      </c>
      <c r="G343" t="s">
        <v>9901</v>
      </c>
    </row>
    <row r="344" spans="1:7" x14ac:dyDescent="0.25">
      <c r="A344" t="s">
        <v>8977</v>
      </c>
      <c r="B344" s="8">
        <v>463</v>
      </c>
      <c r="C344" t="s">
        <v>4312</v>
      </c>
      <c r="D344" s="5" t="s">
        <v>4312</v>
      </c>
      <c r="E344" s="5" t="s">
        <v>4312</v>
      </c>
      <c r="F344">
        <v>1</v>
      </c>
      <c r="G344" t="s">
        <v>9902</v>
      </c>
    </row>
    <row r="345" spans="1:7" x14ac:dyDescent="0.25">
      <c r="A345" t="s">
        <v>8736</v>
      </c>
      <c r="B345" s="8">
        <v>401</v>
      </c>
      <c r="C345" t="s">
        <v>4312</v>
      </c>
      <c r="D345" s="5" t="s">
        <v>4312</v>
      </c>
      <c r="E345" s="5" t="s">
        <v>4312</v>
      </c>
      <c r="F345">
        <v>1</v>
      </c>
      <c r="G345" t="s">
        <v>9903</v>
      </c>
    </row>
    <row r="346" spans="1:7" x14ac:dyDescent="0.25">
      <c r="A346" t="s">
        <v>8404</v>
      </c>
      <c r="B346" s="8">
        <v>413</v>
      </c>
      <c r="C346" t="s">
        <v>4312</v>
      </c>
      <c r="D346" s="5" t="s">
        <v>4312</v>
      </c>
      <c r="E346" s="5" t="s">
        <v>4312</v>
      </c>
      <c r="F346">
        <v>1</v>
      </c>
      <c r="G346" t="s">
        <v>9904</v>
      </c>
    </row>
    <row r="347" spans="1:7" x14ac:dyDescent="0.25">
      <c r="A347" t="s">
        <v>8270</v>
      </c>
      <c r="B347" s="8">
        <v>475</v>
      </c>
      <c r="C347" t="s">
        <v>4312</v>
      </c>
      <c r="D347" s="5" t="s">
        <v>4312</v>
      </c>
      <c r="E347" s="5" t="s">
        <v>4312</v>
      </c>
      <c r="F347">
        <v>1</v>
      </c>
      <c r="G347" t="s">
        <v>9905</v>
      </c>
    </row>
    <row r="348" spans="1:7" x14ac:dyDescent="0.25">
      <c r="A348" t="s">
        <v>8559</v>
      </c>
      <c r="B348" s="8">
        <v>483</v>
      </c>
      <c r="C348" t="s">
        <v>4312</v>
      </c>
      <c r="D348" s="5" t="s">
        <v>4312</v>
      </c>
      <c r="E348" s="5" t="s">
        <v>4312</v>
      </c>
      <c r="F348">
        <v>1</v>
      </c>
      <c r="G348" t="s">
        <v>9906</v>
      </c>
    </row>
    <row r="349" spans="1:7" x14ac:dyDescent="0.25">
      <c r="A349" t="s">
        <v>8492</v>
      </c>
      <c r="B349" s="8">
        <v>458</v>
      </c>
      <c r="C349" t="s">
        <v>4312</v>
      </c>
      <c r="D349" s="5" t="s">
        <v>4312</v>
      </c>
      <c r="E349" s="5" t="s">
        <v>4312</v>
      </c>
      <c r="F349">
        <v>0</v>
      </c>
      <c r="G349" t="s">
        <v>9907</v>
      </c>
    </row>
    <row r="350" spans="1:7" x14ac:dyDescent="0.25">
      <c r="A350" t="s">
        <v>8594</v>
      </c>
      <c r="B350" s="8">
        <v>443</v>
      </c>
      <c r="C350" t="s">
        <v>4312</v>
      </c>
      <c r="D350" s="5" t="s">
        <v>4312</v>
      </c>
      <c r="E350" s="5" t="s">
        <v>4312</v>
      </c>
      <c r="F350">
        <v>0</v>
      </c>
      <c r="G350" t="s">
        <v>9908</v>
      </c>
    </row>
    <row r="351" spans="1:7" x14ac:dyDescent="0.25">
      <c r="A351" t="s">
        <v>8390</v>
      </c>
      <c r="B351" s="8">
        <v>367</v>
      </c>
      <c r="C351" t="s">
        <v>4312</v>
      </c>
      <c r="D351" s="5" t="s">
        <v>4312</v>
      </c>
      <c r="E351" s="5" t="s">
        <v>4312</v>
      </c>
      <c r="F351">
        <v>1</v>
      </c>
      <c r="G351" t="s">
        <v>9909</v>
      </c>
    </row>
    <row r="352" spans="1:7" x14ac:dyDescent="0.25">
      <c r="A352" t="s">
        <v>8986</v>
      </c>
      <c r="B352" s="8">
        <v>437</v>
      </c>
      <c r="C352" t="s">
        <v>4312</v>
      </c>
      <c r="D352" s="5" t="s">
        <v>4312</v>
      </c>
      <c r="E352" s="5" t="s">
        <v>4312</v>
      </c>
      <c r="F352">
        <v>1</v>
      </c>
      <c r="G352" t="s">
        <v>9910</v>
      </c>
    </row>
    <row r="353" spans="1:7" x14ac:dyDescent="0.25">
      <c r="A353" t="s">
        <v>8934</v>
      </c>
      <c r="B353" s="8">
        <v>324</v>
      </c>
      <c r="C353" t="s">
        <v>4312</v>
      </c>
      <c r="D353" s="5" t="s">
        <v>4312</v>
      </c>
      <c r="E353" s="5" t="s">
        <v>4312</v>
      </c>
      <c r="F353">
        <v>1</v>
      </c>
      <c r="G353" t="s">
        <v>9911</v>
      </c>
    </row>
    <row r="354" spans="1:7" x14ac:dyDescent="0.25">
      <c r="A354" t="s">
        <v>8753</v>
      </c>
      <c r="B354" s="8">
        <v>393</v>
      </c>
      <c r="C354" t="s">
        <v>4312</v>
      </c>
      <c r="D354" s="5" t="s">
        <v>4312</v>
      </c>
      <c r="E354" s="5" t="s">
        <v>4312</v>
      </c>
      <c r="F354">
        <v>1</v>
      </c>
      <c r="G354" t="s">
        <v>9912</v>
      </c>
    </row>
    <row r="355" spans="1:7" x14ac:dyDescent="0.25">
      <c r="A355" t="s">
        <v>8686</v>
      </c>
      <c r="B355" s="8">
        <v>439</v>
      </c>
      <c r="C355" t="s">
        <v>4312</v>
      </c>
      <c r="D355" s="5" t="s">
        <v>4312</v>
      </c>
      <c r="E355" s="5" t="s">
        <v>4312</v>
      </c>
      <c r="F355">
        <v>0</v>
      </c>
      <c r="G355" t="s">
        <v>9913</v>
      </c>
    </row>
    <row r="356" spans="1:7" x14ac:dyDescent="0.25">
      <c r="A356" t="s">
        <v>8498</v>
      </c>
      <c r="B356" s="8">
        <v>308</v>
      </c>
      <c r="C356" t="s">
        <v>4312</v>
      </c>
      <c r="D356" s="5" t="s">
        <v>4312</v>
      </c>
      <c r="E356" s="5" t="s">
        <v>4312</v>
      </c>
      <c r="F356">
        <v>1</v>
      </c>
      <c r="G356" t="s">
        <v>9914</v>
      </c>
    </row>
    <row r="357" spans="1:7" x14ac:dyDescent="0.25">
      <c r="A357" t="s">
        <v>8898</v>
      </c>
      <c r="B357" s="8">
        <v>358</v>
      </c>
      <c r="C357" t="s">
        <v>4312</v>
      </c>
      <c r="D357" s="5" t="s">
        <v>4312</v>
      </c>
      <c r="E357" s="5" t="s">
        <v>4312</v>
      </c>
      <c r="F357">
        <v>1</v>
      </c>
      <c r="G357" t="s">
        <v>9915</v>
      </c>
    </row>
    <row r="358" spans="1:7" x14ac:dyDescent="0.25">
      <c r="A358" t="s">
        <v>8312</v>
      </c>
      <c r="B358" s="8">
        <v>337</v>
      </c>
      <c r="C358" t="s">
        <v>4312</v>
      </c>
      <c r="D358" s="5" t="s">
        <v>4312</v>
      </c>
      <c r="E358" s="5" t="s">
        <v>4312</v>
      </c>
      <c r="F358">
        <v>1</v>
      </c>
      <c r="G358" t="s">
        <v>9916</v>
      </c>
    </row>
    <row r="359" spans="1:7" x14ac:dyDescent="0.25">
      <c r="A359" t="s">
        <v>8818</v>
      </c>
      <c r="B359" s="8">
        <v>274</v>
      </c>
      <c r="C359" t="s">
        <v>4312</v>
      </c>
      <c r="D359" s="5" t="s">
        <v>4312</v>
      </c>
      <c r="E359" s="5" t="s">
        <v>4312</v>
      </c>
      <c r="F359">
        <v>1</v>
      </c>
      <c r="G359" t="s">
        <v>9917</v>
      </c>
    </row>
    <row r="360" spans="1:7" x14ac:dyDescent="0.25">
      <c r="A360" t="s">
        <v>8253</v>
      </c>
      <c r="B360" s="8">
        <v>472</v>
      </c>
      <c r="C360" t="s">
        <v>4312</v>
      </c>
      <c r="D360" s="5" t="s">
        <v>4312</v>
      </c>
      <c r="E360" s="5" t="s">
        <v>4312</v>
      </c>
      <c r="F360">
        <v>1</v>
      </c>
      <c r="G360" t="s">
        <v>9918</v>
      </c>
    </row>
    <row r="361" spans="1:7" x14ac:dyDescent="0.25">
      <c r="A361" t="s">
        <v>8205</v>
      </c>
      <c r="B361" s="8">
        <v>409</v>
      </c>
      <c r="C361" t="s">
        <v>4312</v>
      </c>
      <c r="D361" s="5" t="s">
        <v>4312</v>
      </c>
      <c r="E361" s="5" t="s">
        <v>4312</v>
      </c>
      <c r="F361">
        <v>1</v>
      </c>
      <c r="G361" t="s">
        <v>9919</v>
      </c>
    </row>
    <row r="362" spans="1:7" x14ac:dyDescent="0.25">
      <c r="A362" t="s">
        <v>8367</v>
      </c>
      <c r="B362" s="8">
        <v>441</v>
      </c>
      <c r="C362" t="s">
        <v>4312</v>
      </c>
      <c r="D362" s="5" t="s">
        <v>4312</v>
      </c>
      <c r="E362" s="5" t="s">
        <v>4312</v>
      </c>
      <c r="F362">
        <v>0</v>
      </c>
      <c r="G362" t="s">
        <v>9920</v>
      </c>
    </row>
    <row r="363" spans="1:7" x14ac:dyDescent="0.25">
      <c r="A363" t="s">
        <v>8772</v>
      </c>
      <c r="B363" s="8">
        <v>467</v>
      </c>
      <c r="C363" t="s">
        <v>4312</v>
      </c>
      <c r="D363" s="5" t="s">
        <v>4312</v>
      </c>
      <c r="E363" s="5" t="s">
        <v>4312</v>
      </c>
      <c r="F363">
        <v>0</v>
      </c>
      <c r="G363" t="s">
        <v>9921</v>
      </c>
    </row>
    <row r="364" spans="1:7" x14ac:dyDescent="0.25">
      <c r="A364" t="s">
        <v>8974</v>
      </c>
      <c r="B364" s="8">
        <v>462</v>
      </c>
      <c r="C364" t="s">
        <v>4312</v>
      </c>
      <c r="D364" s="5" t="s">
        <v>4312</v>
      </c>
      <c r="E364" s="5" t="s">
        <v>4312</v>
      </c>
      <c r="F364">
        <v>1</v>
      </c>
      <c r="G364" t="s">
        <v>9922</v>
      </c>
    </row>
    <row r="365" spans="1:7" x14ac:dyDescent="0.25">
      <c r="A365" t="s">
        <v>8670</v>
      </c>
      <c r="B365" s="8">
        <v>489</v>
      </c>
      <c r="C365" t="s">
        <v>4312</v>
      </c>
      <c r="D365" s="5" t="s">
        <v>4312</v>
      </c>
      <c r="E365" s="5" t="s">
        <v>4312</v>
      </c>
      <c r="F365">
        <v>1</v>
      </c>
      <c r="G365" t="s">
        <v>9923</v>
      </c>
    </row>
    <row r="366" spans="1:7" x14ac:dyDescent="0.25">
      <c r="A366" t="s">
        <v>8718</v>
      </c>
      <c r="B366" s="8">
        <v>374</v>
      </c>
      <c r="C366" t="s">
        <v>4312</v>
      </c>
      <c r="D366" s="5" t="s">
        <v>4312</v>
      </c>
      <c r="E366" s="5" t="s">
        <v>4312</v>
      </c>
      <c r="F366">
        <v>0</v>
      </c>
      <c r="G366" t="s">
        <v>9924</v>
      </c>
    </row>
    <row r="367" spans="1:7" x14ac:dyDescent="0.25">
      <c r="A367" t="s">
        <v>8775</v>
      </c>
      <c r="B367" s="8">
        <v>280</v>
      </c>
      <c r="C367" t="s">
        <v>4312</v>
      </c>
      <c r="D367" s="5" t="s">
        <v>4312</v>
      </c>
      <c r="E367" s="5" t="s">
        <v>4312</v>
      </c>
      <c r="F367">
        <v>1</v>
      </c>
      <c r="G367" t="s">
        <v>9925</v>
      </c>
    </row>
    <row r="368" spans="1:7" x14ac:dyDescent="0.25">
      <c r="A368" t="s">
        <v>8383</v>
      </c>
      <c r="B368" s="8">
        <v>400</v>
      </c>
      <c r="C368" t="s">
        <v>4312</v>
      </c>
      <c r="D368" s="5" t="s">
        <v>4312</v>
      </c>
      <c r="E368" s="5" t="s">
        <v>4312</v>
      </c>
      <c r="F368">
        <v>0</v>
      </c>
      <c r="G368" t="s">
        <v>9926</v>
      </c>
    </row>
    <row r="369" spans="1:7" x14ac:dyDescent="0.25">
      <c r="A369" t="s">
        <v>8637</v>
      </c>
      <c r="B369" s="8">
        <v>524</v>
      </c>
      <c r="C369" t="s">
        <v>4312</v>
      </c>
      <c r="D369" s="5" t="s">
        <v>4312</v>
      </c>
      <c r="E369" s="5" t="s">
        <v>4312</v>
      </c>
      <c r="F369">
        <v>1</v>
      </c>
      <c r="G369" t="s">
        <v>9927</v>
      </c>
    </row>
    <row r="370" spans="1:7" x14ac:dyDescent="0.25">
      <c r="A370" t="s">
        <v>8711</v>
      </c>
      <c r="B370" s="8">
        <v>451</v>
      </c>
      <c r="C370" t="s">
        <v>4312</v>
      </c>
      <c r="D370" s="5" t="s">
        <v>4312</v>
      </c>
      <c r="E370" s="5" t="s">
        <v>4312</v>
      </c>
      <c r="F370">
        <v>0</v>
      </c>
      <c r="G370" t="s">
        <v>9928</v>
      </c>
    </row>
    <row r="371" spans="1:7" x14ac:dyDescent="0.25">
      <c r="A371" t="s">
        <v>8892</v>
      </c>
      <c r="B371" s="8">
        <v>449</v>
      </c>
      <c r="C371" t="s">
        <v>4312</v>
      </c>
      <c r="D371" s="5" t="s">
        <v>4312</v>
      </c>
      <c r="E371" s="5" t="s">
        <v>4312</v>
      </c>
      <c r="F371">
        <v>0</v>
      </c>
      <c r="G371" t="s">
        <v>9929</v>
      </c>
    </row>
    <row r="372" spans="1:7" x14ac:dyDescent="0.25">
      <c r="A372" t="s">
        <v>8777</v>
      </c>
      <c r="B372" s="8">
        <v>359</v>
      </c>
      <c r="C372" t="s">
        <v>4312</v>
      </c>
      <c r="D372" s="5" t="s">
        <v>4312</v>
      </c>
      <c r="E372" s="5" t="s">
        <v>4312</v>
      </c>
      <c r="F372">
        <v>0</v>
      </c>
      <c r="G372" t="s">
        <v>9930</v>
      </c>
    </row>
    <row r="373" spans="1:7" x14ac:dyDescent="0.25">
      <c r="A373" t="s">
        <v>8777</v>
      </c>
      <c r="B373" s="8">
        <v>391</v>
      </c>
      <c r="C373" t="s">
        <v>4312</v>
      </c>
      <c r="D373" s="5" t="s">
        <v>4312</v>
      </c>
      <c r="E373" s="5" t="s">
        <v>4312</v>
      </c>
      <c r="F373">
        <v>0</v>
      </c>
      <c r="G373" t="s">
        <v>9931</v>
      </c>
    </row>
    <row r="374" spans="1:7" x14ac:dyDescent="0.25">
      <c r="A374" t="s">
        <v>8681</v>
      </c>
      <c r="B374" s="8">
        <v>304</v>
      </c>
      <c r="C374" t="s">
        <v>4312</v>
      </c>
      <c r="D374" s="5" t="s">
        <v>4312</v>
      </c>
      <c r="E374" s="5" t="s">
        <v>4312</v>
      </c>
      <c r="F374">
        <v>1</v>
      </c>
      <c r="G374" t="s">
        <v>9932</v>
      </c>
    </row>
    <row r="375" spans="1:7" x14ac:dyDescent="0.25">
      <c r="A375" t="s">
        <v>8932</v>
      </c>
      <c r="B375" s="8">
        <v>387</v>
      </c>
      <c r="C375" t="s">
        <v>4312</v>
      </c>
      <c r="D375" s="5" t="s">
        <v>4312</v>
      </c>
      <c r="E375" s="5" t="s">
        <v>4312</v>
      </c>
      <c r="F375">
        <v>1</v>
      </c>
      <c r="G375" t="s">
        <v>9933</v>
      </c>
    </row>
    <row r="376" spans="1:7" x14ac:dyDescent="0.25">
      <c r="A376" t="s">
        <v>8463</v>
      </c>
      <c r="B376" s="8">
        <v>343</v>
      </c>
      <c r="C376" t="s">
        <v>4312</v>
      </c>
      <c r="D376" s="5" t="s">
        <v>4312</v>
      </c>
      <c r="E376" s="5" t="s">
        <v>4312</v>
      </c>
      <c r="F376">
        <v>1</v>
      </c>
      <c r="G376" t="s">
        <v>9934</v>
      </c>
    </row>
    <row r="377" spans="1:7" x14ac:dyDescent="0.25">
      <c r="A377" t="s">
        <v>8957</v>
      </c>
      <c r="B377" s="8">
        <v>414</v>
      </c>
      <c r="C377" t="s">
        <v>4312</v>
      </c>
      <c r="D377" s="5" t="s">
        <v>4312</v>
      </c>
      <c r="E377" s="5" t="s">
        <v>4312</v>
      </c>
      <c r="F377">
        <v>1</v>
      </c>
      <c r="G377" t="s">
        <v>9935</v>
      </c>
    </row>
    <row r="378" spans="1:7" x14ac:dyDescent="0.25">
      <c r="A378" t="s">
        <v>8749</v>
      </c>
      <c r="B378" s="8">
        <v>294</v>
      </c>
      <c r="C378" t="s">
        <v>4312</v>
      </c>
      <c r="D378" s="5" t="s">
        <v>4312</v>
      </c>
      <c r="E378" s="5" t="s">
        <v>4312</v>
      </c>
      <c r="F378">
        <v>0</v>
      </c>
      <c r="G378" t="s">
        <v>9936</v>
      </c>
    </row>
    <row r="379" spans="1:7" x14ac:dyDescent="0.25">
      <c r="A379" t="s">
        <v>8391</v>
      </c>
      <c r="B379" s="8">
        <v>270</v>
      </c>
      <c r="C379" t="s">
        <v>4312</v>
      </c>
      <c r="D379" s="5" t="s">
        <v>4312</v>
      </c>
      <c r="E379" s="5" t="s">
        <v>4312</v>
      </c>
      <c r="F379">
        <v>0</v>
      </c>
      <c r="G379" t="s">
        <v>9937</v>
      </c>
    </row>
    <row r="380" spans="1:7" x14ac:dyDescent="0.25">
      <c r="A380" t="s">
        <v>8506</v>
      </c>
      <c r="B380" s="8">
        <v>296</v>
      </c>
      <c r="C380" t="s">
        <v>4312</v>
      </c>
      <c r="D380" s="5" t="s">
        <v>4312</v>
      </c>
      <c r="E380" s="5" t="s">
        <v>4312</v>
      </c>
      <c r="F380">
        <v>1</v>
      </c>
      <c r="G380" t="s">
        <v>9938</v>
      </c>
    </row>
    <row r="381" spans="1:7" x14ac:dyDescent="0.25">
      <c r="A381" t="s">
        <v>8884</v>
      </c>
      <c r="B381" s="8">
        <v>406</v>
      </c>
      <c r="C381" t="s">
        <v>4312</v>
      </c>
      <c r="D381" s="5" t="s">
        <v>4312</v>
      </c>
      <c r="E381" s="5" t="s">
        <v>4312</v>
      </c>
      <c r="F381">
        <v>0</v>
      </c>
      <c r="G381" t="s">
        <v>9939</v>
      </c>
    </row>
    <row r="382" spans="1:7" x14ac:dyDescent="0.25">
      <c r="A382" t="s">
        <v>8795</v>
      </c>
      <c r="B382" s="8">
        <v>313</v>
      </c>
      <c r="C382" t="s">
        <v>4312</v>
      </c>
      <c r="D382" s="5" t="s">
        <v>4312</v>
      </c>
      <c r="E382" s="5" t="s">
        <v>4312</v>
      </c>
      <c r="F382">
        <v>0</v>
      </c>
      <c r="G382" t="s">
        <v>9940</v>
      </c>
    </row>
    <row r="383" spans="1:7" x14ac:dyDescent="0.25">
      <c r="A383" t="s">
        <v>8887</v>
      </c>
      <c r="B383" s="8">
        <v>491</v>
      </c>
      <c r="C383" t="s">
        <v>4312</v>
      </c>
      <c r="D383" s="5" t="s">
        <v>4312</v>
      </c>
      <c r="E383" s="5" t="s">
        <v>4312</v>
      </c>
      <c r="F383">
        <v>1</v>
      </c>
      <c r="G383" t="s">
        <v>9941</v>
      </c>
    </row>
    <row r="384" spans="1:7" x14ac:dyDescent="0.25">
      <c r="A384" t="s">
        <v>8971</v>
      </c>
      <c r="B384" s="8">
        <v>424</v>
      </c>
      <c r="C384" t="s">
        <v>4312</v>
      </c>
      <c r="D384" s="5" t="s">
        <v>4312</v>
      </c>
      <c r="E384" s="5" t="s">
        <v>4312</v>
      </c>
      <c r="F384">
        <v>0</v>
      </c>
      <c r="G384" t="s">
        <v>9942</v>
      </c>
    </row>
    <row r="385" spans="1:7" x14ac:dyDescent="0.25">
      <c r="A385" t="s">
        <v>8420</v>
      </c>
      <c r="B385" s="8">
        <v>364</v>
      </c>
      <c r="C385" t="s">
        <v>4312</v>
      </c>
      <c r="D385" s="5" t="s">
        <v>4312</v>
      </c>
      <c r="E385" s="5" t="s">
        <v>4312</v>
      </c>
      <c r="F385">
        <v>1</v>
      </c>
      <c r="G385" t="s">
        <v>9943</v>
      </c>
    </row>
    <row r="386" spans="1:7" x14ac:dyDescent="0.25">
      <c r="A386" t="s">
        <v>8349</v>
      </c>
      <c r="B386" s="8">
        <v>315</v>
      </c>
      <c r="C386" t="s">
        <v>4312</v>
      </c>
      <c r="D386" s="5" t="s">
        <v>4312</v>
      </c>
      <c r="E386" s="5" t="s">
        <v>4312</v>
      </c>
      <c r="F386">
        <v>1</v>
      </c>
      <c r="G386" t="s">
        <v>9944</v>
      </c>
    </row>
    <row r="387" spans="1:7" x14ac:dyDescent="0.25">
      <c r="A387" t="s">
        <v>8563</v>
      </c>
      <c r="B387" s="8">
        <v>372</v>
      </c>
      <c r="C387" t="s">
        <v>4312</v>
      </c>
      <c r="D387" s="5" t="s">
        <v>4312</v>
      </c>
      <c r="E387" s="5" t="s">
        <v>4312</v>
      </c>
      <c r="F387">
        <v>0</v>
      </c>
      <c r="G387" t="s">
        <v>9945</v>
      </c>
    </row>
    <row r="388" spans="1:7" x14ac:dyDescent="0.25">
      <c r="A388" t="s">
        <v>8785</v>
      </c>
      <c r="B388" s="8">
        <v>266</v>
      </c>
      <c r="C388" t="s">
        <v>4312</v>
      </c>
      <c r="D388" s="5" t="s">
        <v>4312</v>
      </c>
      <c r="E388" s="5" t="s">
        <v>4312</v>
      </c>
      <c r="F388">
        <v>1</v>
      </c>
      <c r="G388" t="s">
        <v>9946</v>
      </c>
    </row>
    <row r="389" spans="1:7" x14ac:dyDescent="0.25">
      <c r="A389" t="s">
        <v>8385</v>
      </c>
      <c r="B389" s="8">
        <v>275</v>
      </c>
      <c r="C389" t="s">
        <v>4312</v>
      </c>
      <c r="D389" s="5" t="s">
        <v>4312</v>
      </c>
      <c r="E389" s="5" t="s">
        <v>4312</v>
      </c>
      <c r="F389">
        <v>0</v>
      </c>
      <c r="G389" t="s">
        <v>9947</v>
      </c>
    </row>
    <row r="390" spans="1:7" x14ac:dyDescent="0.25">
      <c r="A390" t="s">
        <v>8606</v>
      </c>
      <c r="B390" s="8">
        <v>469</v>
      </c>
      <c r="C390" t="s">
        <v>4312</v>
      </c>
      <c r="D390" s="5" t="s">
        <v>4312</v>
      </c>
      <c r="E390" s="5" t="s">
        <v>4312</v>
      </c>
      <c r="F390">
        <v>1</v>
      </c>
      <c r="G390" t="s">
        <v>9948</v>
      </c>
    </row>
    <row r="391" spans="1:7" x14ac:dyDescent="0.25">
      <c r="A391" t="s">
        <v>8607</v>
      </c>
      <c r="B391" s="8">
        <v>320</v>
      </c>
      <c r="C391" t="s">
        <v>4312</v>
      </c>
      <c r="D391" s="5" t="s">
        <v>4312</v>
      </c>
      <c r="E391" s="5" t="s">
        <v>4312</v>
      </c>
      <c r="F391">
        <v>1</v>
      </c>
      <c r="G391" t="s">
        <v>9949</v>
      </c>
    </row>
    <row r="392" spans="1:7" x14ac:dyDescent="0.25">
      <c r="A392" t="s">
        <v>8806</v>
      </c>
      <c r="B392" s="8">
        <v>445</v>
      </c>
      <c r="C392" t="s">
        <v>4312</v>
      </c>
      <c r="D392" s="5" t="s">
        <v>4312</v>
      </c>
      <c r="E392" s="5" t="s">
        <v>4312</v>
      </c>
      <c r="F392">
        <v>0</v>
      </c>
      <c r="G392" t="s">
        <v>9950</v>
      </c>
    </row>
    <row r="393" spans="1:7" x14ac:dyDescent="0.25">
      <c r="A393" t="s">
        <v>8864</v>
      </c>
      <c r="B393" s="8">
        <v>484</v>
      </c>
      <c r="C393" t="s">
        <v>4312</v>
      </c>
      <c r="D393" s="5" t="s">
        <v>4312</v>
      </c>
      <c r="E393" s="5" t="s">
        <v>4312</v>
      </c>
      <c r="F393">
        <v>1</v>
      </c>
      <c r="G393" t="s">
        <v>9951</v>
      </c>
    </row>
    <row r="394" spans="1:7" x14ac:dyDescent="0.25">
      <c r="A394" t="s">
        <v>8675</v>
      </c>
      <c r="B394" s="8">
        <v>335</v>
      </c>
      <c r="C394" t="s">
        <v>4312</v>
      </c>
      <c r="D394" s="5" t="s">
        <v>4312</v>
      </c>
      <c r="E394" s="5" t="s">
        <v>4312</v>
      </c>
      <c r="F394">
        <v>0</v>
      </c>
      <c r="G394" t="s">
        <v>9952</v>
      </c>
    </row>
    <row r="395" spans="1:7" x14ac:dyDescent="0.25">
      <c r="A395" t="s">
        <v>8659</v>
      </c>
      <c r="B395" s="8">
        <v>520</v>
      </c>
      <c r="C395" t="s">
        <v>4312</v>
      </c>
      <c r="D395" s="5" t="s">
        <v>4312</v>
      </c>
      <c r="E395" s="5" t="s">
        <v>4312</v>
      </c>
      <c r="F395">
        <v>0</v>
      </c>
      <c r="G395" t="s">
        <v>9953</v>
      </c>
    </row>
    <row r="396" spans="1:7" x14ac:dyDescent="0.25">
      <c r="A396" t="s">
        <v>8907</v>
      </c>
      <c r="B396" s="8">
        <v>447</v>
      </c>
      <c r="C396" t="s">
        <v>4312</v>
      </c>
      <c r="D396" s="5" t="s">
        <v>4312</v>
      </c>
      <c r="E396" s="5" t="s">
        <v>4312</v>
      </c>
      <c r="F396">
        <v>1</v>
      </c>
      <c r="G396" t="s">
        <v>9954</v>
      </c>
    </row>
    <row r="397" spans="1:7" x14ac:dyDescent="0.25">
      <c r="A397" t="s">
        <v>8946</v>
      </c>
      <c r="B397" s="8">
        <v>387</v>
      </c>
      <c r="C397" t="s">
        <v>4312</v>
      </c>
      <c r="D397" s="5" t="s">
        <v>4312</v>
      </c>
      <c r="E397" s="5" t="s">
        <v>4312</v>
      </c>
      <c r="F397">
        <v>0</v>
      </c>
      <c r="G397" t="s">
        <v>9955</v>
      </c>
    </row>
    <row r="398" spans="1:7" x14ac:dyDescent="0.25">
      <c r="A398" t="s">
        <v>8278</v>
      </c>
      <c r="B398" s="8">
        <v>493</v>
      </c>
      <c r="C398" t="s">
        <v>4312</v>
      </c>
      <c r="D398" s="5" t="s">
        <v>4312</v>
      </c>
      <c r="E398" s="5" t="s">
        <v>4312</v>
      </c>
      <c r="F398">
        <v>0</v>
      </c>
      <c r="G398" t="s">
        <v>9956</v>
      </c>
    </row>
    <row r="399" spans="1:7" x14ac:dyDescent="0.25">
      <c r="A399" t="s">
        <v>8648</v>
      </c>
      <c r="B399" s="8">
        <v>410</v>
      </c>
      <c r="C399" t="s">
        <v>4312</v>
      </c>
      <c r="D399" s="5" t="s">
        <v>4312</v>
      </c>
      <c r="E399" s="5" t="s">
        <v>4312</v>
      </c>
      <c r="F399">
        <v>0</v>
      </c>
      <c r="G399" t="s">
        <v>9957</v>
      </c>
    </row>
    <row r="400" spans="1:7" x14ac:dyDescent="0.25">
      <c r="A400" t="s">
        <v>8628</v>
      </c>
      <c r="B400" s="8">
        <v>379</v>
      </c>
      <c r="C400" t="s">
        <v>4312</v>
      </c>
      <c r="D400" s="5" t="s">
        <v>4312</v>
      </c>
      <c r="E400" s="5" t="s">
        <v>4312</v>
      </c>
      <c r="F400">
        <v>0</v>
      </c>
      <c r="G400" t="s">
        <v>9958</v>
      </c>
    </row>
    <row r="401" spans="1:7" x14ac:dyDescent="0.25">
      <c r="A401" t="s">
        <v>8452</v>
      </c>
      <c r="B401" s="8">
        <v>331</v>
      </c>
      <c r="C401" t="s">
        <v>4312</v>
      </c>
      <c r="D401" s="5" t="s">
        <v>4312</v>
      </c>
      <c r="E401" s="5" t="s">
        <v>4312</v>
      </c>
      <c r="F401">
        <v>0</v>
      </c>
      <c r="G401" t="s">
        <v>9959</v>
      </c>
    </row>
    <row r="402" spans="1:7" x14ac:dyDescent="0.25">
      <c r="A402" t="s">
        <v>8742</v>
      </c>
      <c r="B402" s="8">
        <v>269</v>
      </c>
      <c r="C402" t="s">
        <v>4312</v>
      </c>
      <c r="D402" s="5" t="s">
        <v>4312</v>
      </c>
      <c r="E402" s="5" t="s">
        <v>4312</v>
      </c>
      <c r="F402">
        <v>0</v>
      </c>
      <c r="G402" t="s">
        <v>9960</v>
      </c>
    </row>
    <row r="403" spans="1:7" x14ac:dyDescent="0.25">
      <c r="A403" t="s">
        <v>8433</v>
      </c>
      <c r="B403" s="8">
        <v>318</v>
      </c>
      <c r="C403" t="s">
        <v>4312</v>
      </c>
      <c r="D403" s="5" t="s">
        <v>4312</v>
      </c>
      <c r="E403" s="5" t="s">
        <v>4312</v>
      </c>
      <c r="F403">
        <v>1</v>
      </c>
      <c r="G403" t="s">
        <v>9961</v>
      </c>
    </row>
    <row r="404" spans="1:7" x14ac:dyDescent="0.25">
      <c r="A404" t="s">
        <v>8327</v>
      </c>
      <c r="B404" s="8">
        <v>435</v>
      </c>
      <c r="C404" t="s">
        <v>4312</v>
      </c>
      <c r="D404" s="5" t="s">
        <v>4312</v>
      </c>
      <c r="E404" s="5" t="s">
        <v>4312</v>
      </c>
      <c r="F404">
        <v>0</v>
      </c>
      <c r="G404" t="s">
        <v>9962</v>
      </c>
    </row>
    <row r="405" spans="1:7" x14ac:dyDescent="0.25">
      <c r="A405" t="s">
        <v>8600</v>
      </c>
      <c r="B405" s="8">
        <v>273</v>
      </c>
      <c r="C405" t="s">
        <v>4312</v>
      </c>
      <c r="D405" s="5" t="s">
        <v>4312</v>
      </c>
      <c r="E405" s="5" t="s">
        <v>4312</v>
      </c>
      <c r="F405">
        <v>1</v>
      </c>
      <c r="G405" t="s">
        <v>9963</v>
      </c>
    </row>
    <row r="406" spans="1:7" x14ac:dyDescent="0.25">
      <c r="A406" t="s">
        <v>8496</v>
      </c>
      <c r="B406" s="8">
        <v>282</v>
      </c>
      <c r="C406" t="s">
        <v>4312</v>
      </c>
      <c r="D406" s="5" t="s">
        <v>4312</v>
      </c>
      <c r="E406" s="5" t="s">
        <v>4312</v>
      </c>
      <c r="F406">
        <v>1</v>
      </c>
      <c r="G406" t="s">
        <v>9964</v>
      </c>
    </row>
    <row r="407" spans="1:7" x14ac:dyDescent="0.25">
      <c r="A407" t="s">
        <v>8916</v>
      </c>
      <c r="B407" s="8">
        <v>317</v>
      </c>
      <c r="C407" t="s">
        <v>4312</v>
      </c>
      <c r="D407" s="5" t="s">
        <v>4312</v>
      </c>
      <c r="E407" s="5" t="s">
        <v>4312</v>
      </c>
      <c r="F407">
        <v>1</v>
      </c>
      <c r="G407" t="s">
        <v>9965</v>
      </c>
    </row>
    <row r="408" spans="1:7" x14ac:dyDescent="0.25">
      <c r="A408" t="s">
        <v>8892</v>
      </c>
      <c r="B408" s="8">
        <v>449</v>
      </c>
      <c r="C408" t="s">
        <v>4312</v>
      </c>
      <c r="D408" s="5" t="s">
        <v>4312</v>
      </c>
      <c r="E408" s="5" t="s">
        <v>4312</v>
      </c>
      <c r="F408">
        <v>1</v>
      </c>
      <c r="G408" t="s">
        <v>9966</v>
      </c>
    </row>
    <row r="409" spans="1:7" x14ac:dyDescent="0.25">
      <c r="A409" t="s">
        <v>8594</v>
      </c>
      <c r="B409" s="8">
        <v>443</v>
      </c>
      <c r="C409" t="s">
        <v>4312</v>
      </c>
      <c r="D409" s="5" t="s">
        <v>4312</v>
      </c>
      <c r="E409" s="5" t="s">
        <v>4312</v>
      </c>
      <c r="F409">
        <v>1</v>
      </c>
      <c r="G409" t="s">
        <v>9967</v>
      </c>
    </row>
    <row r="410" spans="1:7" x14ac:dyDescent="0.25">
      <c r="A410" t="s">
        <v>8711</v>
      </c>
      <c r="B410" s="8">
        <v>451</v>
      </c>
      <c r="C410" t="s">
        <v>4312</v>
      </c>
      <c r="D410" s="5" t="s">
        <v>4312</v>
      </c>
      <c r="E410" s="5" t="s">
        <v>4312</v>
      </c>
      <c r="F410">
        <v>0</v>
      </c>
      <c r="G410" t="s">
        <v>9928</v>
      </c>
    </row>
    <row r="411" spans="1:7" x14ac:dyDescent="0.25">
      <c r="A411" t="s">
        <v>8368</v>
      </c>
      <c r="B411" s="8">
        <v>369</v>
      </c>
      <c r="C411" t="s">
        <v>4312</v>
      </c>
      <c r="D411" s="5" t="s">
        <v>4312</v>
      </c>
      <c r="E411" s="5" t="s">
        <v>4312</v>
      </c>
      <c r="F411">
        <v>1</v>
      </c>
      <c r="G411" t="s">
        <v>9968</v>
      </c>
    </row>
    <row r="412" spans="1:7" x14ac:dyDescent="0.25">
      <c r="A412" t="s">
        <v>8828</v>
      </c>
      <c r="B412" s="8">
        <v>519</v>
      </c>
      <c r="C412" t="s">
        <v>4312</v>
      </c>
      <c r="D412" s="5" t="s">
        <v>4312</v>
      </c>
      <c r="E412" s="5" t="s">
        <v>4312</v>
      </c>
      <c r="F412">
        <v>0</v>
      </c>
      <c r="G412" t="s">
        <v>9969</v>
      </c>
    </row>
    <row r="413" spans="1:7" x14ac:dyDescent="0.25">
      <c r="A413" t="s">
        <v>8418</v>
      </c>
      <c r="B413" s="8">
        <v>478</v>
      </c>
      <c r="C413" t="s">
        <v>4312</v>
      </c>
      <c r="D413" s="5" t="s">
        <v>4312</v>
      </c>
      <c r="E413" s="5" t="s">
        <v>4312</v>
      </c>
      <c r="F413">
        <v>0</v>
      </c>
      <c r="G413" t="s">
        <v>9970</v>
      </c>
    </row>
    <row r="414" spans="1:7" x14ac:dyDescent="0.25">
      <c r="A414" t="s">
        <v>8614</v>
      </c>
      <c r="B414" s="8">
        <v>326</v>
      </c>
      <c r="C414" t="s">
        <v>4312</v>
      </c>
      <c r="D414" s="5" t="s">
        <v>4312</v>
      </c>
      <c r="E414" s="5" t="s">
        <v>4312</v>
      </c>
      <c r="F414">
        <v>0</v>
      </c>
      <c r="G414" t="s">
        <v>9971</v>
      </c>
    </row>
    <row r="415" spans="1:7" x14ac:dyDescent="0.25">
      <c r="A415" t="s">
        <v>8230</v>
      </c>
      <c r="B415" s="8">
        <v>496</v>
      </c>
      <c r="C415" t="s">
        <v>4312</v>
      </c>
      <c r="D415" s="5" t="s">
        <v>4312</v>
      </c>
      <c r="E415" s="5" t="s">
        <v>4312</v>
      </c>
      <c r="F415">
        <v>0</v>
      </c>
      <c r="G415" t="s">
        <v>9972</v>
      </c>
    </row>
    <row r="416" spans="1:7" x14ac:dyDescent="0.25">
      <c r="A416" t="s">
        <v>8899</v>
      </c>
      <c r="B416" s="8">
        <v>507</v>
      </c>
      <c r="C416" t="s">
        <v>4312</v>
      </c>
      <c r="D416" s="5" t="s">
        <v>4312</v>
      </c>
      <c r="E416" s="5" t="s">
        <v>4312</v>
      </c>
      <c r="F416">
        <v>1</v>
      </c>
      <c r="G416" t="s">
        <v>9973</v>
      </c>
    </row>
    <row r="417" spans="1:7" x14ac:dyDescent="0.25">
      <c r="A417" t="s">
        <v>8680</v>
      </c>
      <c r="B417" s="8">
        <v>448</v>
      </c>
      <c r="C417" t="s">
        <v>4312</v>
      </c>
      <c r="D417" s="5" t="s">
        <v>4312</v>
      </c>
      <c r="E417" s="5" t="s">
        <v>4312</v>
      </c>
      <c r="F417">
        <v>1</v>
      </c>
      <c r="G417" t="s">
        <v>9974</v>
      </c>
    </row>
    <row r="418" spans="1:7" x14ac:dyDescent="0.25">
      <c r="A418" t="s">
        <v>8692</v>
      </c>
      <c r="B418" s="8">
        <v>512</v>
      </c>
      <c r="C418" t="s">
        <v>4312</v>
      </c>
      <c r="D418" s="5" t="s">
        <v>4312</v>
      </c>
      <c r="E418" s="5" t="s">
        <v>4312</v>
      </c>
      <c r="F418">
        <v>1</v>
      </c>
      <c r="G418" t="s">
        <v>9975</v>
      </c>
    </row>
    <row r="419" spans="1:7" x14ac:dyDescent="0.25">
      <c r="A419" t="s">
        <v>8298</v>
      </c>
      <c r="B419" s="8">
        <v>283</v>
      </c>
      <c r="C419" t="s">
        <v>4312</v>
      </c>
      <c r="D419" s="5" t="s">
        <v>4312</v>
      </c>
      <c r="E419" s="5" t="s">
        <v>4312</v>
      </c>
      <c r="F419">
        <v>1</v>
      </c>
      <c r="G419" t="s">
        <v>9976</v>
      </c>
    </row>
    <row r="420" spans="1:7" x14ac:dyDescent="0.25">
      <c r="A420" t="s">
        <v>8801</v>
      </c>
      <c r="B420" s="8">
        <v>349</v>
      </c>
      <c r="C420" t="s">
        <v>4312</v>
      </c>
      <c r="D420" s="5" t="s">
        <v>4312</v>
      </c>
      <c r="E420" s="5" t="s">
        <v>4312</v>
      </c>
      <c r="F420">
        <v>1</v>
      </c>
      <c r="G420" t="s">
        <v>9977</v>
      </c>
    </row>
    <row r="421" spans="1:7" x14ac:dyDescent="0.25">
      <c r="A421" t="s">
        <v>8654</v>
      </c>
      <c r="B421" s="8">
        <v>454</v>
      </c>
      <c r="C421" t="s">
        <v>4312</v>
      </c>
      <c r="D421" s="5" t="s">
        <v>4312</v>
      </c>
      <c r="E421" s="5" t="s">
        <v>4312</v>
      </c>
      <c r="F421">
        <v>1</v>
      </c>
      <c r="G421" t="s">
        <v>9978</v>
      </c>
    </row>
    <row r="422" spans="1:7" x14ac:dyDescent="0.25">
      <c r="A422" t="s">
        <v>8621</v>
      </c>
      <c r="B422" s="8">
        <v>268</v>
      </c>
      <c r="C422" t="s">
        <v>4312</v>
      </c>
      <c r="D422" s="5" t="s">
        <v>4312</v>
      </c>
      <c r="E422" s="5" t="s">
        <v>4312</v>
      </c>
      <c r="F422">
        <v>1</v>
      </c>
      <c r="G422" t="s">
        <v>9979</v>
      </c>
    </row>
    <row r="423" spans="1:7" x14ac:dyDescent="0.25">
      <c r="A423" t="s">
        <v>8584</v>
      </c>
      <c r="B423" s="8">
        <v>498</v>
      </c>
      <c r="C423" t="s">
        <v>4312</v>
      </c>
      <c r="D423" s="5" t="s">
        <v>4312</v>
      </c>
      <c r="E423" s="5" t="s">
        <v>4312</v>
      </c>
      <c r="F423">
        <v>1</v>
      </c>
      <c r="G423" t="s">
        <v>9980</v>
      </c>
    </row>
    <row r="424" spans="1:7" x14ac:dyDescent="0.25">
      <c r="A424" t="s">
        <v>8678</v>
      </c>
      <c r="B424" s="8">
        <v>507</v>
      </c>
      <c r="C424" t="s">
        <v>4312</v>
      </c>
      <c r="D424" s="5" t="s">
        <v>4312</v>
      </c>
      <c r="E424" s="5" t="s">
        <v>4312</v>
      </c>
      <c r="F424">
        <v>0</v>
      </c>
      <c r="G424" t="s">
        <v>9981</v>
      </c>
    </row>
    <row r="425" spans="1:7" x14ac:dyDescent="0.25">
      <c r="A425" t="s">
        <v>8410</v>
      </c>
      <c r="B425" s="8">
        <v>440</v>
      </c>
      <c r="C425" t="s">
        <v>4312</v>
      </c>
      <c r="D425" s="5" t="s">
        <v>4312</v>
      </c>
      <c r="E425" s="5" t="s">
        <v>4312</v>
      </c>
      <c r="F425">
        <v>0</v>
      </c>
      <c r="G425" t="s">
        <v>9982</v>
      </c>
    </row>
    <row r="426" spans="1:7" x14ac:dyDescent="0.25">
      <c r="A426" t="s">
        <v>8411</v>
      </c>
      <c r="B426" s="8">
        <v>503</v>
      </c>
      <c r="C426" t="s">
        <v>4312</v>
      </c>
      <c r="D426" s="5" t="s">
        <v>4312</v>
      </c>
      <c r="E426" s="5" t="s">
        <v>4312</v>
      </c>
      <c r="F426">
        <v>1</v>
      </c>
      <c r="G426" t="s">
        <v>9983</v>
      </c>
    </row>
    <row r="427" spans="1:7" x14ac:dyDescent="0.25">
      <c r="A427" t="s">
        <v>8452</v>
      </c>
      <c r="B427" s="8">
        <v>331</v>
      </c>
      <c r="C427" t="s">
        <v>4312</v>
      </c>
      <c r="D427" s="5" t="s">
        <v>4312</v>
      </c>
      <c r="E427" s="5" t="s">
        <v>4312</v>
      </c>
      <c r="F427">
        <v>1</v>
      </c>
      <c r="G427" t="s">
        <v>9984</v>
      </c>
    </row>
    <row r="428" spans="1:7" x14ac:dyDescent="0.25">
      <c r="A428" t="s">
        <v>8634</v>
      </c>
      <c r="B428" s="8">
        <v>267</v>
      </c>
      <c r="C428" t="s">
        <v>4312</v>
      </c>
      <c r="D428" s="5" t="s">
        <v>4312</v>
      </c>
      <c r="E428" s="5" t="s">
        <v>4312</v>
      </c>
      <c r="F428">
        <v>0</v>
      </c>
      <c r="G428" t="s">
        <v>9985</v>
      </c>
    </row>
    <row r="429" spans="1:7" x14ac:dyDescent="0.25">
      <c r="A429" t="s">
        <v>8871</v>
      </c>
      <c r="B429" s="8">
        <v>376</v>
      </c>
      <c r="C429" t="s">
        <v>4312</v>
      </c>
      <c r="D429" s="5" t="s">
        <v>4312</v>
      </c>
      <c r="E429" s="5" t="s">
        <v>4312</v>
      </c>
      <c r="F429">
        <v>1</v>
      </c>
      <c r="G429" t="s">
        <v>9986</v>
      </c>
    </row>
    <row r="430" spans="1:7" x14ac:dyDescent="0.25">
      <c r="A430" t="s">
        <v>8822</v>
      </c>
      <c r="B430" s="8">
        <v>434</v>
      </c>
      <c r="C430" t="s">
        <v>4312</v>
      </c>
      <c r="D430" s="5" t="s">
        <v>4312</v>
      </c>
      <c r="E430" s="5" t="s">
        <v>4312</v>
      </c>
      <c r="F430">
        <v>0</v>
      </c>
      <c r="G430" t="s">
        <v>9987</v>
      </c>
    </row>
    <row r="431" spans="1:7" x14ac:dyDescent="0.25">
      <c r="A431" t="s">
        <v>8499</v>
      </c>
      <c r="B431" s="8">
        <v>278</v>
      </c>
      <c r="C431" t="s">
        <v>4312</v>
      </c>
      <c r="D431" s="5" t="s">
        <v>4312</v>
      </c>
      <c r="E431" s="5" t="s">
        <v>4312</v>
      </c>
      <c r="F431">
        <v>1</v>
      </c>
      <c r="G431" t="s">
        <v>9988</v>
      </c>
    </row>
    <row r="432" spans="1:7" x14ac:dyDescent="0.25">
      <c r="A432" t="s">
        <v>8489</v>
      </c>
      <c r="B432" s="8">
        <v>513</v>
      </c>
      <c r="C432" t="s">
        <v>4312</v>
      </c>
      <c r="D432" s="5" t="s">
        <v>4312</v>
      </c>
      <c r="E432" s="5" t="s">
        <v>4312</v>
      </c>
      <c r="F432">
        <v>1</v>
      </c>
      <c r="G432" t="s">
        <v>9989</v>
      </c>
    </row>
    <row r="433" spans="1:7" x14ac:dyDescent="0.25">
      <c r="A433" t="s">
        <v>8206</v>
      </c>
      <c r="B433" s="8">
        <v>514</v>
      </c>
      <c r="C433" t="s">
        <v>4312</v>
      </c>
      <c r="D433" s="5" t="s">
        <v>4312</v>
      </c>
      <c r="E433" s="5" t="s">
        <v>4312</v>
      </c>
      <c r="F433">
        <v>0</v>
      </c>
      <c r="G433" t="s">
        <v>9990</v>
      </c>
    </row>
    <row r="434" spans="1:7" x14ac:dyDescent="0.25">
      <c r="A434" t="s">
        <v>8795</v>
      </c>
      <c r="B434" s="8">
        <v>517</v>
      </c>
      <c r="C434" t="s">
        <v>4312</v>
      </c>
      <c r="D434" s="5" t="s">
        <v>4312</v>
      </c>
      <c r="E434" s="5" t="s">
        <v>4312</v>
      </c>
      <c r="F434">
        <v>1</v>
      </c>
      <c r="G434" t="s">
        <v>9991</v>
      </c>
    </row>
    <row r="435" spans="1:7" x14ac:dyDescent="0.25">
      <c r="A435" t="s">
        <v>8608</v>
      </c>
      <c r="B435" s="8">
        <v>306</v>
      </c>
      <c r="C435" t="s">
        <v>4312</v>
      </c>
      <c r="D435" s="5" t="s">
        <v>4312</v>
      </c>
      <c r="E435" s="5" t="s">
        <v>4312</v>
      </c>
      <c r="F435">
        <v>0</v>
      </c>
      <c r="G435" t="s">
        <v>9992</v>
      </c>
    </row>
    <row r="436" spans="1:7" x14ac:dyDescent="0.25">
      <c r="A436" t="s">
        <v>8428</v>
      </c>
      <c r="B436" s="8">
        <v>335</v>
      </c>
      <c r="C436" t="s">
        <v>4312</v>
      </c>
      <c r="D436" s="5" t="s">
        <v>4312</v>
      </c>
      <c r="E436" s="5" t="s">
        <v>4312</v>
      </c>
      <c r="F436">
        <v>1</v>
      </c>
      <c r="G436" t="s">
        <v>9993</v>
      </c>
    </row>
    <row r="437" spans="1:7" x14ac:dyDescent="0.25">
      <c r="A437" t="s">
        <v>8928</v>
      </c>
      <c r="B437" s="8">
        <v>377</v>
      </c>
      <c r="C437" t="s">
        <v>4312</v>
      </c>
      <c r="D437" s="5" t="s">
        <v>4312</v>
      </c>
      <c r="E437" s="5" t="s">
        <v>4312</v>
      </c>
      <c r="F437">
        <v>0</v>
      </c>
      <c r="G437" t="s">
        <v>9994</v>
      </c>
    </row>
    <row r="438" spans="1:7" x14ac:dyDescent="0.25">
      <c r="A438" t="s">
        <v>8725</v>
      </c>
      <c r="B438" s="8">
        <v>344</v>
      </c>
      <c r="C438" t="s">
        <v>4312</v>
      </c>
      <c r="D438" s="5" t="s">
        <v>4312</v>
      </c>
      <c r="E438" s="5" t="s">
        <v>4312</v>
      </c>
      <c r="F438">
        <v>1</v>
      </c>
      <c r="G438" t="s">
        <v>9995</v>
      </c>
    </row>
    <row r="439" spans="1:7" x14ac:dyDescent="0.25">
      <c r="A439" t="s">
        <v>8689</v>
      </c>
      <c r="B439" s="8">
        <v>338</v>
      </c>
      <c r="C439" t="s">
        <v>4312</v>
      </c>
      <c r="D439" s="5" t="s">
        <v>4312</v>
      </c>
      <c r="E439" s="5" t="s">
        <v>4312</v>
      </c>
      <c r="F439">
        <v>1</v>
      </c>
      <c r="G439" t="s">
        <v>9996</v>
      </c>
    </row>
    <row r="440" spans="1:7" x14ac:dyDescent="0.25">
      <c r="A440" t="s">
        <v>8469</v>
      </c>
      <c r="B440" s="8">
        <v>362</v>
      </c>
      <c r="C440" t="s">
        <v>4312</v>
      </c>
      <c r="D440" s="5" t="s">
        <v>4312</v>
      </c>
      <c r="E440" s="5" t="s">
        <v>4312</v>
      </c>
      <c r="F440">
        <v>1</v>
      </c>
      <c r="G440" t="s">
        <v>9997</v>
      </c>
    </row>
    <row r="441" spans="1:7" x14ac:dyDescent="0.25">
      <c r="A441" t="s">
        <v>8553</v>
      </c>
      <c r="B441" s="8">
        <v>511</v>
      </c>
      <c r="C441" t="s">
        <v>4312</v>
      </c>
      <c r="D441" s="5" t="s">
        <v>4312</v>
      </c>
      <c r="E441" s="5" t="s">
        <v>4312</v>
      </c>
      <c r="F441">
        <v>1</v>
      </c>
      <c r="G441" t="s">
        <v>9998</v>
      </c>
    </row>
    <row r="442" spans="1:7" x14ac:dyDescent="0.25">
      <c r="A442" t="s">
        <v>8274</v>
      </c>
      <c r="B442" s="8">
        <v>465</v>
      </c>
      <c r="C442" t="s">
        <v>4312</v>
      </c>
      <c r="D442" s="5" t="s">
        <v>4312</v>
      </c>
      <c r="E442" s="5" t="s">
        <v>4312</v>
      </c>
      <c r="F442">
        <v>1</v>
      </c>
      <c r="G442" t="s">
        <v>9999</v>
      </c>
    </row>
    <row r="443" spans="1:7" x14ac:dyDescent="0.25">
      <c r="A443" t="s">
        <v>8651</v>
      </c>
      <c r="B443" s="8">
        <v>528</v>
      </c>
      <c r="C443" t="s">
        <v>4312</v>
      </c>
      <c r="D443" s="5" t="s">
        <v>4312</v>
      </c>
      <c r="E443" s="5" t="s">
        <v>4312</v>
      </c>
      <c r="F443">
        <v>1</v>
      </c>
      <c r="G443" t="s">
        <v>10000</v>
      </c>
    </row>
    <row r="444" spans="1:7" x14ac:dyDescent="0.25">
      <c r="A444" t="s">
        <v>8419</v>
      </c>
      <c r="B444" s="8">
        <v>522</v>
      </c>
      <c r="C444" t="s">
        <v>4312</v>
      </c>
      <c r="D444" s="5" t="s">
        <v>4312</v>
      </c>
      <c r="E444" s="5" t="s">
        <v>4312</v>
      </c>
      <c r="F444">
        <v>0</v>
      </c>
      <c r="G444" t="s">
        <v>10001</v>
      </c>
    </row>
    <row r="445" spans="1:7" x14ac:dyDescent="0.25">
      <c r="A445" t="s">
        <v>8709</v>
      </c>
      <c r="B445" s="8">
        <v>394</v>
      </c>
      <c r="C445" t="s">
        <v>4312</v>
      </c>
      <c r="D445" s="5" t="s">
        <v>4312</v>
      </c>
      <c r="E445" s="5" t="s">
        <v>4312</v>
      </c>
      <c r="F445">
        <v>0</v>
      </c>
      <c r="G445" t="s">
        <v>10002</v>
      </c>
    </row>
    <row r="446" spans="1:7" x14ac:dyDescent="0.25">
      <c r="A446" t="s">
        <v>8842</v>
      </c>
      <c r="B446" s="8">
        <v>369</v>
      </c>
      <c r="C446" t="s">
        <v>4312</v>
      </c>
      <c r="D446" s="5" t="s">
        <v>4312</v>
      </c>
      <c r="E446" s="5" t="s">
        <v>4312</v>
      </c>
      <c r="F446">
        <v>1</v>
      </c>
      <c r="G446" t="s">
        <v>10003</v>
      </c>
    </row>
    <row r="447" spans="1:7" x14ac:dyDescent="0.25">
      <c r="A447" t="s">
        <v>8882</v>
      </c>
      <c r="B447" s="8">
        <v>415</v>
      </c>
      <c r="C447" t="s">
        <v>4312</v>
      </c>
      <c r="D447" s="5" t="s">
        <v>4312</v>
      </c>
      <c r="E447" s="5" t="s">
        <v>4312</v>
      </c>
      <c r="F447">
        <v>1</v>
      </c>
      <c r="G447" t="s">
        <v>10004</v>
      </c>
    </row>
    <row r="448" spans="1:7" x14ac:dyDescent="0.25">
      <c r="A448" t="s">
        <v>8960</v>
      </c>
      <c r="B448" s="8">
        <v>366</v>
      </c>
      <c r="C448" t="s">
        <v>4312</v>
      </c>
      <c r="D448" s="5" t="s">
        <v>4312</v>
      </c>
      <c r="E448" s="5" t="s">
        <v>4312</v>
      </c>
      <c r="F448">
        <v>1</v>
      </c>
      <c r="G448" t="s">
        <v>10005</v>
      </c>
    </row>
    <row r="449" spans="1:7" x14ac:dyDescent="0.25">
      <c r="A449" t="s">
        <v>8272</v>
      </c>
      <c r="B449" s="8">
        <v>451</v>
      </c>
      <c r="C449" t="s">
        <v>4312</v>
      </c>
      <c r="D449" s="5" t="s">
        <v>4312</v>
      </c>
      <c r="E449" s="5" t="s">
        <v>4312</v>
      </c>
      <c r="F449">
        <v>1</v>
      </c>
      <c r="G449" t="s">
        <v>10006</v>
      </c>
    </row>
    <row r="450" spans="1:7" x14ac:dyDescent="0.25">
      <c r="A450" t="s">
        <v>8812</v>
      </c>
      <c r="B450" s="8">
        <v>531</v>
      </c>
      <c r="C450" t="s">
        <v>4312</v>
      </c>
      <c r="D450" s="5" t="s">
        <v>4312</v>
      </c>
      <c r="E450" s="5" t="s">
        <v>4312</v>
      </c>
      <c r="F450">
        <v>0</v>
      </c>
      <c r="G450" t="s">
        <v>10007</v>
      </c>
    </row>
    <row r="451" spans="1:7" x14ac:dyDescent="0.25">
      <c r="A451" t="s">
        <v>8573</v>
      </c>
      <c r="B451" s="8">
        <v>523</v>
      </c>
      <c r="C451" t="s">
        <v>4312</v>
      </c>
      <c r="D451" s="5" t="s">
        <v>4312</v>
      </c>
      <c r="E451" s="5" t="s">
        <v>4312</v>
      </c>
      <c r="F451">
        <v>1</v>
      </c>
      <c r="G451" t="s">
        <v>10008</v>
      </c>
    </row>
    <row r="452" spans="1:7" x14ac:dyDescent="0.25">
      <c r="A452" t="s">
        <v>8771</v>
      </c>
      <c r="B452" s="8">
        <v>427</v>
      </c>
      <c r="C452" t="s">
        <v>4312</v>
      </c>
      <c r="D452" s="5" t="s">
        <v>4312</v>
      </c>
      <c r="E452" s="5" t="s">
        <v>4312</v>
      </c>
      <c r="F452">
        <v>1</v>
      </c>
      <c r="G452" t="s">
        <v>10009</v>
      </c>
    </row>
    <row r="453" spans="1:7" x14ac:dyDescent="0.25">
      <c r="A453" t="s">
        <v>8515</v>
      </c>
      <c r="B453" s="8">
        <v>481</v>
      </c>
      <c r="C453" t="s">
        <v>4312</v>
      </c>
      <c r="D453" s="5" t="s">
        <v>4312</v>
      </c>
      <c r="E453" s="5" t="s">
        <v>4312</v>
      </c>
      <c r="F453">
        <v>1</v>
      </c>
      <c r="G453" t="s">
        <v>10010</v>
      </c>
    </row>
    <row r="454" spans="1:7" x14ac:dyDescent="0.25">
      <c r="A454" t="s">
        <v>8314</v>
      </c>
      <c r="B454" s="8">
        <v>277</v>
      </c>
      <c r="C454" t="s">
        <v>4312</v>
      </c>
      <c r="D454" s="5" t="s">
        <v>4312</v>
      </c>
      <c r="E454" s="5" t="s">
        <v>4312</v>
      </c>
      <c r="F454">
        <v>0</v>
      </c>
      <c r="G454" t="s">
        <v>10011</v>
      </c>
    </row>
    <row r="455" spans="1:7" x14ac:dyDescent="0.25">
      <c r="A455" t="s">
        <v>8696</v>
      </c>
      <c r="B455" s="8">
        <v>445</v>
      </c>
      <c r="C455" t="s">
        <v>4312</v>
      </c>
      <c r="D455" s="5" t="s">
        <v>4312</v>
      </c>
      <c r="E455" s="5" t="s">
        <v>4312</v>
      </c>
      <c r="F455">
        <v>1</v>
      </c>
      <c r="G455" t="s">
        <v>10012</v>
      </c>
    </row>
    <row r="456" spans="1:7" x14ac:dyDescent="0.25">
      <c r="A456" t="s">
        <v>8731</v>
      </c>
      <c r="B456" s="8">
        <v>334</v>
      </c>
      <c r="C456" t="s">
        <v>4312</v>
      </c>
      <c r="D456" s="5" t="s">
        <v>4312</v>
      </c>
      <c r="E456" s="5" t="s">
        <v>4312</v>
      </c>
      <c r="F456">
        <v>1</v>
      </c>
      <c r="G456" t="s">
        <v>10013</v>
      </c>
    </row>
    <row r="457" spans="1:7" x14ac:dyDescent="0.25">
      <c r="A457" t="s">
        <v>8856</v>
      </c>
      <c r="B457" s="8">
        <v>375</v>
      </c>
      <c r="C457" t="s">
        <v>4312</v>
      </c>
      <c r="D457" s="5" t="s">
        <v>4312</v>
      </c>
      <c r="E457" s="5" t="s">
        <v>4312</v>
      </c>
      <c r="F457">
        <v>1</v>
      </c>
      <c r="G457" t="s">
        <v>10014</v>
      </c>
    </row>
    <row r="458" spans="1:7" x14ac:dyDescent="0.25">
      <c r="A458" t="s">
        <v>8288</v>
      </c>
      <c r="B458" s="8">
        <v>426</v>
      </c>
      <c r="C458" t="s">
        <v>4312</v>
      </c>
      <c r="D458" s="5" t="s">
        <v>4312</v>
      </c>
      <c r="E458" s="5" t="s">
        <v>4312</v>
      </c>
      <c r="F458">
        <v>1</v>
      </c>
      <c r="G458" t="s">
        <v>10015</v>
      </c>
    </row>
    <row r="459" spans="1:7" x14ac:dyDescent="0.25">
      <c r="A459" t="s">
        <v>8860</v>
      </c>
      <c r="B459" s="8">
        <v>490</v>
      </c>
      <c r="C459" t="s">
        <v>4312</v>
      </c>
      <c r="D459" s="5" t="s">
        <v>4312</v>
      </c>
      <c r="E459" s="5" t="s">
        <v>4312</v>
      </c>
      <c r="F459">
        <v>1</v>
      </c>
      <c r="G459" t="s">
        <v>10016</v>
      </c>
    </row>
    <row r="460" spans="1:7" x14ac:dyDescent="0.25">
      <c r="A460" t="s">
        <v>8599</v>
      </c>
      <c r="B460" s="8">
        <v>291</v>
      </c>
      <c r="C460" t="s">
        <v>4312</v>
      </c>
      <c r="D460" s="5" t="s">
        <v>4312</v>
      </c>
      <c r="E460" s="5" t="s">
        <v>4312</v>
      </c>
      <c r="F460">
        <v>1</v>
      </c>
      <c r="G460" t="s">
        <v>10017</v>
      </c>
    </row>
    <row r="461" spans="1:7" x14ac:dyDescent="0.25">
      <c r="A461" t="s">
        <v>8409</v>
      </c>
      <c r="B461" s="8">
        <v>474</v>
      </c>
      <c r="C461" t="s">
        <v>4312</v>
      </c>
      <c r="D461" s="5" t="s">
        <v>4312</v>
      </c>
      <c r="E461" s="5" t="s">
        <v>4312</v>
      </c>
      <c r="F461">
        <v>1</v>
      </c>
      <c r="G461" t="s">
        <v>10018</v>
      </c>
    </row>
    <row r="462" spans="1:7" x14ac:dyDescent="0.25">
      <c r="A462" t="s">
        <v>8716</v>
      </c>
      <c r="B462" s="8">
        <v>302</v>
      </c>
      <c r="C462" t="s">
        <v>4312</v>
      </c>
      <c r="D462" s="5" t="s">
        <v>4312</v>
      </c>
      <c r="E462" s="5" t="s">
        <v>4312</v>
      </c>
      <c r="F462">
        <v>1</v>
      </c>
      <c r="G462" t="s">
        <v>10019</v>
      </c>
    </row>
    <row r="463" spans="1:7" x14ac:dyDescent="0.25">
      <c r="A463" t="s">
        <v>8975</v>
      </c>
      <c r="B463" s="8">
        <v>529</v>
      </c>
      <c r="C463" t="s">
        <v>4312</v>
      </c>
      <c r="D463" s="5" t="s">
        <v>4312</v>
      </c>
      <c r="E463" s="5" t="s">
        <v>4312</v>
      </c>
      <c r="F463">
        <v>1</v>
      </c>
      <c r="G463" t="s">
        <v>10020</v>
      </c>
    </row>
    <row r="464" spans="1:7" x14ac:dyDescent="0.25">
      <c r="A464" t="s">
        <v>8414</v>
      </c>
      <c r="B464" s="8">
        <v>526</v>
      </c>
      <c r="C464" t="s">
        <v>4312</v>
      </c>
      <c r="D464" s="5" t="s">
        <v>4312</v>
      </c>
      <c r="E464" s="5" t="s">
        <v>4312</v>
      </c>
      <c r="F464">
        <v>0</v>
      </c>
      <c r="G464" t="s">
        <v>10021</v>
      </c>
    </row>
    <row r="465" spans="1:7" x14ac:dyDescent="0.25">
      <c r="A465" t="s">
        <v>8750</v>
      </c>
      <c r="B465" s="8">
        <v>361</v>
      </c>
      <c r="C465" t="s">
        <v>4312</v>
      </c>
      <c r="D465" s="5" t="s">
        <v>4312</v>
      </c>
      <c r="E465" s="5" t="s">
        <v>4312</v>
      </c>
      <c r="F465">
        <v>0</v>
      </c>
      <c r="G465" t="s">
        <v>10022</v>
      </c>
    </row>
    <row r="466" spans="1:7" x14ac:dyDescent="0.25">
      <c r="A466" t="s">
        <v>8576</v>
      </c>
      <c r="B466" s="8">
        <v>339</v>
      </c>
      <c r="C466" t="s">
        <v>4312</v>
      </c>
      <c r="D466" s="5" t="s">
        <v>4312</v>
      </c>
      <c r="E466" s="5" t="s">
        <v>4312</v>
      </c>
      <c r="F466">
        <v>1</v>
      </c>
      <c r="G466" t="s">
        <v>10023</v>
      </c>
    </row>
    <row r="467" spans="1:7" x14ac:dyDescent="0.25">
      <c r="A467" t="s">
        <v>8461</v>
      </c>
      <c r="B467" s="8">
        <v>405</v>
      </c>
      <c r="C467" t="s">
        <v>4312</v>
      </c>
      <c r="D467" s="5" t="s">
        <v>4312</v>
      </c>
      <c r="E467" s="5" t="s">
        <v>4312</v>
      </c>
      <c r="F467">
        <v>0</v>
      </c>
      <c r="G467" t="s">
        <v>10024</v>
      </c>
    </row>
    <row r="468" spans="1:7" x14ac:dyDescent="0.25">
      <c r="A468" t="s">
        <v>8667</v>
      </c>
      <c r="B468" s="8">
        <v>299</v>
      </c>
      <c r="C468" t="s">
        <v>4312</v>
      </c>
      <c r="D468" s="5" t="s">
        <v>4312</v>
      </c>
      <c r="E468" s="5" t="s">
        <v>4312</v>
      </c>
      <c r="F468">
        <v>0</v>
      </c>
      <c r="G468" t="s">
        <v>10025</v>
      </c>
    </row>
    <row r="469" spans="1:7" x14ac:dyDescent="0.25">
      <c r="A469" t="s">
        <v>8509</v>
      </c>
      <c r="B469" s="8">
        <v>530</v>
      </c>
      <c r="C469" t="s">
        <v>4312</v>
      </c>
      <c r="D469" s="5" t="s">
        <v>4312</v>
      </c>
      <c r="E469" s="5" t="s">
        <v>4312</v>
      </c>
      <c r="F469">
        <v>1</v>
      </c>
      <c r="G469" t="s">
        <v>10026</v>
      </c>
    </row>
    <row r="470" spans="1:7" x14ac:dyDescent="0.25">
      <c r="A470" t="s">
        <v>8939</v>
      </c>
      <c r="B470" s="8">
        <v>496</v>
      </c>
      <c r="C470" t="s">
        <v>4312</v>
      </c>
      <c r="D470" s="5" t="s">
        <v>4312</v>
      </c>
      <c r="E470" s="5" t="s">
        <v>4312</v>
      </c>
      <c r="F470">
        <v>0</v>
      </c>
      <c r="G470" t="s">
        <v>10027</v>
      </c>
    </row>
    <row r="471" spans="1:7" x14ac:dyDescent="0.25">
      <c r="A471" t="s">
        <v>8374</v>
      </c>
      <c r="B471" s="8">
        <v>427</v>
      </c>
      <c r="C471" t="s">
        <v>4312</v>
      </c>
      <c r="D471" s="5" t="s">
        <v>4312</v>
      </c>
      <c r="E471" s="5" t="s">
        <v>4312</v>
      </c>
      <c r="F471">
        <v>0</v>
      </c>
      <c r="G471" t="s">
        <v>10028</v>
      </c>
    </row>
    <row r="472" spans="1:7" x14ac:dyDescent="0.25">
      <c r="A472" t="s">
        <v>8948</v>
      </c>
      <c r="B472" s="8">
        <v>348</v>
      </c>
      <c r="C472" t="s">
        <v>4312</v>
      </c>
      <c r="D472" s="5" t="s">
        <v>4312</v>
      </c>
      <c r="E472" s="5" t="s">
        <v>4312</v>
      </c>
      <c r="F472">
        <v>1</v>
      </c>
      <c r="G472" t="s">
        <v>10029</v>
      </c>
    </row>
    <row r="473" spans="1:7" x14ac:dyDescent="0.25">
      <c r="A473" t="s">
        <v>8868</v>
      </c>
      <c r="B473" s="8">
        <v>524</v>
      </c>
      <c r="C473" t="s">
        <v>4312</v>
      </c>
      <c r="D473" s="5" t="s">
        <v>4312</v>
      </c>
      <c r="E473" s="5" t="s">
        <v>4312</v>
      </c>
      <c r="F473">
        <v>0</v>
      </c>
      <c r="G473" t="s">
        <v>10030</v>
      </c>
    </row>
    <row r="474" spans="1:7" x14ac:dyDescent="0.25">
      <c r="A474" t="s">
        <v>8700</v>
      </c>
      <c r="B474" s="8">
        <v>406</v>
      </c>
      <c r="C474" t="s">
        <v>4312</v>
      </c>
      <c r="D474" s="5" t="s">
        <v>4312</v>
      </c>
      <c r="E474" s="5" t="s">
        <v>4312</v>
      </c>
      <c r="F474">
        <v>0</v>
      </c>
      <c r="G474" t="s">
        <v>10031</v>
      </c>
    </row>
    <row r="475" spans="1:7" x14ac:dyDescent="0.25">
      <c r="A475" t="s">
        <v>8448</v>
      </c>
      <c r="B475" s="8">
        <v>457</v>
      </c>
      <c r="C475" t="s">
        <v>4312</v>
      </c>
      <c r="D475" s="5" t="s">
        <v>4312</v>
      </c>
      <c r="E475" s="5" t="s">
        <v>4312</v>
      </c>
      <c r="F475">
        <v>1</v>
      </c>
      <c r="G475" t="s">
        <v>10032</v>
      </c>
    </row>
    <row r="476" spans="1:7" x14ac:dyDescent="0.25">
      <c r="A476" t="s">
        <v>8687</v>
      </c>
      <c r="B476" s="8">
        <v>533</v>
      </c>
      <c r="C476" t="s">
        <v>4312</v>
      </c>
      <c r="D476" s="5" t="s">
        <v>4312</v>
      </c>
      <c r="E476" s="5" t="s">
        <v>4312</v>
      </c>
      <c r="F476">
        <v>1</v>
      </c>
      <c r="G476" t="s">
        <v>10033</v>
      </c>
    </row>
    <row r="477" spans="1:7" x14ac:dyDescent="0.25">
      <c r="A477" t="s">
        <v>8212</v>
      </c>
      <c r="B477" s="8">
        <v>316</v>
      </c>
      <c r="C477" t="s">
        <v>4312</v>
      </c>
      <c r="D477" s="5" t="s">
        <v>4312</v>
      </c>
      <c r="E477" s="5" t="s">
        <v>4312</v>
      </c>
      <c r="F477">
        <v>1</v>
      </c>
      <c r="G477" t="s">
        <v>10034</v>
      </c>
    </row>
    <row r="478" spans="1:7" x14ac:dyDescent="0.25">
      <c r="A478" t="s">
        <v>8902</v>
      </c>
      <c r="B478" s="8">
        <v>416</v>
      </c>
      <c r="C478" t="s">
        <v>4312</v>
      </c>
      <c r="D478" s="5" t="s">
        <v>4312</v>
      </c>
      <c r="E478" s="5" t="s">
        <v>4312</v>
      </c>
      <c r="F478">
        <v>1</v>
      </c>
      <c r="G478" t="s">
        <v>10035</v>
      </c>
    </row>
    <row r="479" spans="1:7" x14ac:dyDescent="0.25">
      <c r="A479" t="s">
        <v>8517</v>
      </c>
      <c r="B479" s="8">
        <v>501</v>
      </c>
      <c r="C479" t="s">
        <v>4312</v>
      </c>
      <c r="D479" s="5" t="s">
        <v>4312</v>
      </c>
      <c r="E479" s="5" t="s">
        <v>4312</v>
      </c>
      <c r="F479">
        <v>0</v>
      </c>
      <c r="G479" t="s">
        <v>10036</v>
      </c>
    </row>
    <row r="480" spans="1:7" x14ac:dyDescent="0.25">
      <c r="A480" t="s">
        <v>8613</v>
      </c>
      <c r="B480" s="8">
        <v>330</v>
      </c>
      <c r="C480" t="s">
        <v>4312</v>
      </c>
      <c r="D480" s="5" t="s">
        <v>4312</v>
      </c>
      <c r="E480" s="5" t="s">
        <v>4312</v>
      </c>
      <c r="F480">
        <v>1</v>
      </c>
      <c r="G480" t="s">
        <v>10037</v>
      </c>
    </row>
    <row r="481" spans="1:7" x14ac:dyDescent="0.25">
      <c r="A481" t="s">
        <v>8910</v>
      </c>
      <c r="B481" s="8">
        <v>297</v>
      </c>
      <c r="C481" t="s">
        <v>4312</v>
      </c>
      <c r="D481" s="5" t="s">
        <v>4312</v>
      </c>
      <c r="E481" s="5" t="s">
        <v>4312</v>
      </c>
      <c r="F481">
        <v>0</v>
      </c>
      <c r="G481" t="s">
        <v>10038</v>
      </c>
    </row>
    <row r="482" spans="1:7" x14ac:dyDescent="0.25">
      <c r="A482" t="s">
        <v>8597</v>
      </c>
      <c r="B482" s="8">
        <v>360</v>
      </c>
      <c r="C482" t="s">
        <v>4312</v>
      </c>
      <c r="D482" s="5" t="s">
        <v>4312</v>
      </c>
      <c r="E482" s="5" t="s">
        <v>4312</v>
      </c>
      <c r="F482">
        <v>1</v>
      </c>
      <c r="G482" t="s">
        <v>10039</v>
      </c>
    </row>
    <row r="483" spans="1:7" x14ac:dyDescent="0.25">
      <c r="A483" t="s">
        <v>8667</v>
      </c>
      <c r="B483" s="8">
        <v>299</v>
      </c>
      <c r="C483" t="s">
        <v>4312</v>
      </c>
      <c r="D483" s="5" t="s">
        <v>4312</v>
      </c>
      <c r="E483" s="5" t="s">
        <v>4312</v>
      </c>
      <c r="F483">
        <v>0</v>
      </c>
      <c r="G483" t="s">
        <v>10025</v>
      </c>
    </row>
    <row r="484" spans="1:7" x14ac:dyDescent="0.25">
      <c r="A484" t="s">
        <v>8992</v>
      </c>
      <c r="B484" s="8">
        <v>527</v>
      </c>
      <c r="C484" t="s">
        <v>4312</v>
      </c>
      <c r="D484" s="5" t="s">
        <v>4312</v>
      </c>
      <c r="E484" s="5" t="s">
        <v>4312</v>
      </c>
      <c r="F484">
        <v>1</v>
      </c>
      <c r="G484" t="s">
        <v>10040</v>
      </c>
    </row>
    <row r="485" spans="1:7" x14ac:dyDescent="0.25">
      <c r="A485" t="s">
        <v>8510</v>
      </c>
      <c r="B485" s="8">
        <v>312</v>
      </c>
      <c r="C485" t="s">
        <v>4312</v>
      </c>
      <c r="D485" s="5" t="s">
        <v>4312</v>
      </c>
      <c r="E485" s="5" t="s">
        <v>4312</v>
      </c>
      <c r="F485">
        <v>1</v>
      </c>
      <c r="G485" t="s">
        <v>10041</v>
      </c>
    </row>
    <row r="486" spans="1:7" x14ac:dyDescent="0.25">
      <c r="A486" t="s">
        <v>8478</v>
      </c>
      <c r="B486" s="8">
        <v>373</v>
      </c>
      <c r="C486" t="s">
        <v>4312</v>
      </c>
      <c r="D486" s="5" t="s">
        <v>4312</v>
      </c>
      <c r="E486" s="5" t="s">
        <v>4312</v>
      </c>
      <c r="F486">
        <v>1</v>
      </c>
      <c r="G486" t="s">
        <v>10042</v>
      </c>
    </row>
    <row r="487" spans="1:7" x14ac:dyDescent="0.25">
      <c r="A487" t="s">
        <v>8357</v>
      </c>
      <c r="B487" s="8">
        <v>464</v>
      </c>
      <c r="C487" t="s">
        <v>4312</v>
      </c>
      <c r="D487" s="5" t="s">
        <v>4312</v>
      </c>
      <c r="E487" s="5" t="s">
        <v>4312</v>
      </c>
      <c r="F487">
        <v>1</v>
      </c>
      <c r="G487" t="s">
        <v>10043</v>
      </c>
    </row>
    <row r="488" spans="1:7" x14ac:dyDescent="0.25">
      <c r="A488" t="s">
        <v>8470</v>
      </c>
      <c r="B488" s="8">
        <v>381</v>
      </c>
      <c r="C488" t="s">
        <v>4312</v>
      </c>
      <c r="D488" s="5" t="s">
        <v>4312</v>
      </c>
      <c r="E488" s="5" t="s">
        <v>4312</v>
      </c>
      <c r="F488">
        <v>0</v>
      </c>
      <c r="G488" t="s">
        <v>10044</v>
      </c>
    </row>
    <row r="489" spans="1:7" x14ac:dyDescent="0.25">
      <c r="A489" t="s">
        <v>8787</v>
      </c>
      <c r="B489" s="8">
        <v>412</v>
      </c>
      <c r="C489" t="s">
        <v>4312</v>
      </c>
      <c r="D489" s="5" t="s">
        <v>4312</v>
      </c>
      <c r="E489" s="5" t="s">
        <v>4312</v>
      </c>
      <c r="F489">
        <v>0</v>
      </c>
      <c r="G489" t="s">
        <v>10045</v>
      </c>
    </row>
    <row r="490" spans="1:7" x14ac:dyDescent="0.25">
      <c r="A490" t="s">
        <v>8618</v>
      </c>
      <c r="B490" s="8">
        <v>305</v>
      </c>
      <c r="C490" t="s">
        <v>4312</v>
      </c>
      <c r="D490" s="5" t="s">
        <v>4312</v>
      </c>
      <c r="E490" s="5" t="s">
        <v>4312</v>
      </c>
      <c r="F490">
        <v>1</v>
      </c>
      <c r="G490" t="s">
        <v>10046</v>
      </c>
    </row>
    <row r="491" spans="1:7" x14ac:dyDescent="0.25">
      <c r="A491" t="s">
        <v>8631</v>
      </c>
      <c r="B491" s="8">
        <v>346</v>
      </c>
      <c r="C491" t="s">
        <v>4312</v>
      </c>
      <c r="D491" s="5" t="s">
        <v>4312</v>
      </c>
      <c r="E491" s="5" t="s">
        <v>4312</v>
      </c>
      <c r="F491">
        <v>1</v>
      </c>
      <c r="G491" t="s">
        <v>10047</v>
      </c>
    </row>
    <row r="492" spans="1:7" x14ac:dyDescent="0.25">
      <c r="A492" t="s">
        <v>8812</v>
      </c>
      <c r="B492" s="8">
        <v>531</v>
      </c>
      <c r="C492" t="s">
        <v>4312</v>
      </c>
      <c r="D492" s="5" t="s">
        <v>4312</v>
      </c>
      <c r="E492" s="5" t="s">
        <v>4312</v>
      </c>
      <c r="F492">
        <v>0</v>
      </c>
      <c r="G492" t="s">
        <v>10007</v>
      </c>
    </row>
    <row r="493" spans="1:7" x14ac:dyDescent="0.25">
      <c r="A493" t="s">
        <v>8863</v>
      </c>
      <c r="B493" s="8">
        <v>418</v>
      </c>
      <c r="C493" t="s">
        <v>4312</v>
      </c>
      <c r="D493" s="5" t="s">
        <v>4312</v>
      </c>
      <c r="E493" s="5" t="s">
        <v>4312</v>
      </c>
      <c r="F493">
        <v>0</v>
      </c>
      <c r="G493" t="s">
        <v>10048</v>
      </c>
    </row>
    <row r="494" spans="1:7" x14ac:dyDescent="0.25">
      <c r="A494" t="s">
        <v>8912</v>
      </c>
      <c r="B494" s="8">
        <v>456</v>
      </c>
      <c r="C494" t="s">
        <v>4312</v>
      </c>
      <c r="D494" s="5" t="s">
        <v>4312</v>
      </c>
      <c r="E494" s="5" t="s">
        <v>4312</v>
      </c>
      <c r="F494">
        <v>1</v>
      </c>
      <c r="G494" t="s">
        <v>10049</v>
      </c>
    </row>
    <row r="495" spans="1:7" x14ac:dyDescent="0.25">
      <c r="A495" t="s">
        <v>8970</v>
      </c>
      <c r="B495" s="8">
        <v>309</v>
      </c>
      <c r="C495" t="s">
        <v>4312</v>
      </c>
      <c r="D495" s="5" t="s">
        <v>4312</v>
      </c>
      <c r="E495" s="5" t="s">
        <v>4312</v>
      </c>
      <c r="F495">
        <v>0</v>
      </c>
      <c r="G495" t="s">
        <v>10050</v>
      </c>
    </row>
    <row r="496" spans="1:7" x14ac:dyDescent="0.25">
      <c r="A496" t="s">
        <v>8549</v>
      </c>
      <c r="B496" s="8">
        <v>518</v>
      </c>
      <c r="C496" t="s">
        <v>4312</v>
      </c>
      <c r="D496" s="5" t="s">
        <v>4312</v>
      </c>
      <c r="E496" s="5" t="s">
        <v>4312</v>
      </c>
      <c r="F496">
        <v>1</v>
      </c>
      <c r="G496" t="s">
        <v>10051</v>
      </c>
    </row>
    <row r="497" spans="1:7" x14ac:dyDescent="0.25">
      <c r="A497" t="s">
        <v>8539</v>
      </c>
      <c r="B497" s="8">
        <v>410</v>
      </c>
      <c r="C497" t="s">
        <v>4312</v>
      </c>
      <c r="D497" s="5" t="s">
        <v>4312</v>
      </c>
      <c r="E497" s="5" t="s">
        <v>4312</v>
      </c>
      <c r="F497">
        <v>1</v>
      </c>
      <c r="G497" t="s">
        <v>10052</v>
      </c>
    </row>
    <row r="498" spans="1:7" x14ac:dyDescent="0.25">
      <c r="A498" t="s">
        <v>8571</v>
      </c>
      <c r="B498" s="8">
        <v>482</v>
      </c>
      <c r="C498" t="s">
        <v>4312</v>
      </c>
      <c r="D498" s="5" t="s">
        <v>4312</v>
      </c>
      <c r="E498" s="5" t="s">
        <v>4312</v>
      </c>
      <c r="F498">
        <v>0</v>
      </c>
      <c r="G498" t="s">
        <v>10053</v>
      </c>
    </row>
    <row r="499" spans="1:7" x14ac:dyDescent="0.25">
      <c r="A499" t="s">
        <v>8943</v>
      </c>
      <c r="B499" s="8">
        <v>321</v>
      </c>
      <c r="C499" t="s">
        <v>4312</v>
      </c>
      <c r="D499" s="5" t="s">
        <v>4312</v>
      </c>
      <c r="E499" s="5" t="s">
        <v>4312</v>
      </c>
      <c r="F499">
        <v>0</v>
      </c>
      <c r="G499" t="s">
        <v>10054</v>
      </c>
    </row>
    <row r="500" spans="1:7" x14ac:dyDescent="0.25">
      <c r="A500" t="s">
        <v>8801</v>
      </c>
      <c r="B500" s="8">
        <v>349</v>
      </c>
      <c r="C500" t="s">
        <v>4312</v>
      </c>
      <c r="D500" s="5" t="s">
        <v>4312</v>
      </c>
      <c r="E500" s="5" t="s">
        <v>4312</v>
      </c>
      <c r="F500">
        <v>0</v>
      </c>
      <c r="G500" t="s">
        <v>10055</v>
      </c>
    </row>
    <row r="501" spans="1:7" x14ac:dyDescent="0.25">
      <c r="A501" t="s">
        <v>8471</v>
      </c>
      <c r="B501" s="8">
        <v>363</v>
      </c>
      <c r="C501" t="s">
        <v>4312</v>
      </c>
      <c r="D501" s="5" t="s">
        <v>4312</v>
      </c>
      <c r="E501" s="5" t="s">
        <v>4312</v>
      </c>
      <c r="F501">
        <v>1</v>
      </c>
      <c r="G501" t="s">
        <v>10056</v>
      </c>
    </row>
    <row r="502" spans="1:7" x14ac:dyDescent="0.25">
      <c r="A502" t="s">
        <v>8413</v>
      </c>
      <c r="B502" s="8">
        <v>433</v>
      </c>
      <c r="C502" t="s">
        <v>4312</v>
      </c>
      <c r="D502" s="5" t="s">
        <v>4312</v>
      </c>
      <c r="E502" s="5" t="s">
        <v>4312</v>
      </c>
      <c r="F502">
        <v>1</v>
      </c>
      <c r="G502" t="s">
        <v>10057</v>
      </c>
    </row>
    <row r="503" spans="1:7" x14ac:dyDescent="0.25">
      <c r="A503" t="s">
        <v>8479</v>
      </c>
      <c r="B503" s="8">
        <v>355</v>
      </c>
      <c r="C503" t="s">
        <v>4312</v>
      </c>
      <c r="D503" s="5" t="s">
        <v>4312</v>
      </c>
      <c r="E503" s="5" t="s">
        <v>4312</v>
      </c>
      <c r="F503">
        <v>0</v>
      </c>
      <c r="G503" t="s">
        <v>10058</v>
      </c>
    </row>
    <row r="504" spans="1:7" x14ac:dyDescent="0.25">
      <c r="A504" t="s">
        <v>8893</v>
      </c>
      <c r="B504" s="8">
        <v>352</v>
      </c>
      <c r="C504" t="s">
        <v>4312</v>
      </c>
      <c r="D504" s="5" t="s">
        <v>4312</v>
      </c>
      <c r="E504" s="5" t="s">
        <v>4312</v>
      </c>
      <c r="F504">
        <v>1</v>
      </c>
      <c r="G504" t="s">
        <v>10059</v>
      </c>
    </row>
    <row r="505" spans="1:7" x14ac:dyDescent="0.25">
      <c r="A505" t="s">
        <v>8837</v>
      </c>
      <c r="B505" s="8">
        <v>510</v>
      </c>
      <c r="C505" t="s">
        <v>4312</v>
      </c>
      <c r="D505" s="5" t="s">
        <v>4312</v>
      </c>
      <c r="E505" s="5" t="s">
        <v>4312</v>
      </c>
      <c r="F505">
        <v>1</v>
      </c>
      <c r="G505" t="s">
        <v>10060</v>
      </c>
    </row>
    <row r="506" spans="1:7" x14ac:dyDescent="0.25">
      <c r="A506" t="s">
        <v>8292</v>
      </c>
      <c r="B506" s="8">
        <v>486</v>
      </c>
      <c r="C506" t="s">
        <v>4312</v>
      </c>
      <c r="D506" s="5" t="s">
        <v>4312</v>
      </c>
      <c r="E506" s="5" t="s">
        <v>4312</v>
      </c>
      <c r="F506">
        <v>1</v>
      </c>
      <c r="G506" t="s">
        <v>10061</v>
      </c>
    </row>
    <row r="507" spans="1:7" x14ac:dyDescent="0.25">
      <c r="A507" t="s">
        <v>8286</v>
      </c>
      <c r="B507" s="8">
        <v>402</v>
      </c>
      <c r="C507" t="s">
        <v>4312</v>
      </c>
      <c r="D507" s="5" t="s">
        <v>4312</v>
      </c>
      <c r="E507" s="5" t="s">
        <v>4312</v>
      </c>
      <c r="F507">
        <v>1</v>
      </c>
      <c r="G507" t="s">
        <v>10062</v>
      </c>
    </row>
    <row r="508" spans="1:7" x14ac:dyDescent="0.25">
      <c r="A508" t="s">
        <v>8223</v>
      </c>
      <c r="B508" s="8">
        <v>368</v>
      </c>
      <c r="C508" t="s">
        <v>4312</v>
      </c>
      <c r="D508" s="5" t="s">
        <v>4312</v>
      </c>
      <c r="E508" s="5" t="s">
        <v>4312</v>
      </c>
      <c r="F508">
        <v>1</v>
      </c>
      <c r="G508" t="s">
        <v>10063</v>
      </c>
    </row>
    <row r="509" spans="1:7" x14ac:dyDescent="0.25">
      <c r="A509" t="s">
        <v>8325</v>
      </c>
      <c r="B509" s="8">
        <v>357</v>
      </c>
      <c r="C509" t="s">
        <v>4312</v>
      </c>
      <c r="D509" s="5" t="s">
        <v>4312</v>
      </c>
      <c r="E509" s="5" t="s">
        <v>4312</v>
      </c>
      <c r="F509">
        <v>0</v>
      </c>
      <c r="G509" t="s">
        <v>10064</v>
      </c>
    </row>
    <row r="510" spans="1:7" x14ac:dyDescent="0.25">
      <c r="A510" t="s">
        <v>8240</v>
      </c>
      <c r="B510" s="8">
        <v>501</v>
      </c>
      <c r="C510" t="s">
        <v>4312</v>
      </c>
      <c r="D510" s="5" t="s">
        <v>4312</v>
      </c>
      <c r="E510" s="5" t="s">
        <v>4312</v>
      </c>
      <c r="F510">
        <v>1</v>
      </c>
      <c r="G510" t="s">
        <v>10065</v>
      </c>
    </row>
    <row r="511" spans="1:7" x14ac:dyDescent="0.25">
      <c r="A511" t="s">
        <v>8308</v>
      </c>
      <c r="B511" s="8">
        <v>514</v>
      </c>
      <c r="C511" t="s">
        <v>4312</v>
      </c>
      <c r="D511" s="5" t="s">
        <v>4312</v>
      </c>
      <c r="E511" s="5" t="s">
        <v>4312</v>
      </c>
      <c r="F511">
        <v>1</v>
      </c>
      <c r="G511" t="s">
        <v>10066</v>
      </c>
    </row>
    <row r="512" spans="1:7" x14ac:dyDescent="0.25">
      <c r="A512" t="s">
        <v>8640</v>
      </c>
      <c r="B512" s="8">
        <v>468</v>
      </c>
      <c r="C512" t="s">
        <v>4312</v>
      </c>
      <c r="D512" s="5" t="s">
        <v>4312</v>
      </c>
      <c r="E512" s="5" t="s">
        <v>4312</v>
      </c>
      <c r="F512">
        <v>0</v>
      </c>
      <c r="G512" t="s">
        <v>10067</v>
      </c>
    </row>
    <row r="513" spans="1:7" x14ac:dyDescent="0.25">
      <c r="A513" t="s">
        <v>8394</v>
      </c>
      <c r="B513" s="8">
        <v>319</v>
      </c>
      <c r="C513" t="s">
        <v>4312</v>
      </c>
      <c r="D513" s="5" t="s">
        <v>4312</v>
      </c>
      <c r="E513" s="5" t="s">
        <v>4312</v>
      </c>
      <c r="F513">
        <v>0</v>
      </c>
      <c r="G513" t="s">
        <v>10068</v>
      </c>
    </row>
    <row r="514" spans="1:7" x14ac:dyDescent="0.25">
      <c r="A514" t="s">
        <v>8887</v>
      </c>
      <c r="B514" s="8">
        <v>491</v>
      </c>
      <c r="C514" t="s">
        <v>4312</v>
      </c>
      <c r="D514" s="5" t="s">
        <v>4312</v>
      </c>
      <c r="E514" s="5" t="s">
        <v>4312</v>
      </c>
      <c r="F514">
        <v>0</v>
      </c>
      <c r="G514" t="s">
        <v>10069</v>
      </c>
    </row>
    <row r="515" spans="1:7" x14ac:dyDescent="0.25">
      <c r="A515" t="s">
        <v>8988</v>
      </c>
      <c r="B515" s="8">
        <v>371</v>
      </c>
      <c r="C515" t="s">
        <v>4312</v>
      </c>
      <c r="D515" s="5" t="s">
        <v>4312</v>
      </c>
      <c r="E515" s="5" t="s">
        <v>4312</v>
      </c>
      <c r="F515">
        <v>1</v>
      </c>
      <c r="G515" t="s">
        <v>10070</v>
      </c>
    </row>
    <row r="516" spans="1:7" x14ac:dyDescent="0.25">
      <c r="A516" t="s">
        <v>8564</v>
      </c>
      <c r="B516" s="8">
        <v>506</v>
      </c>
      <c r="C516" t="s">
        <v>4312</v>
      </c>
      <c r="D516" s="5" t="s">
        <v>4312</v>
      </c>
      <c r="E516" s="5" t="s">
        <v>4312</v>
      </c>
      <c r="F516">
        <v>1</v>
      </c>
      <c r="G516" t="s">
        <v>10071</v>
      </c>
    </row>
    <row r="517" spans="1:7" x14ac:dyDescent="0.25">
      <c r="A517" t="s">
        <v>8250</v>
      </c>
      <c r="B517" s="8">
        <v>494</v>
      </c>
      <c r="C517" t="s">
        <v>4312</v>
      </c>
      <c r="D517" s="5" t="s">
        <v>4312</v>
      </c>
      <c r="E517" s="5" t="s">
        <v>4312</v>
      </c>
      <c r="F517">
        <v>1</v>
      </c>
      <c r="G517" t="s">
        <v>10072</v>
      </c>
    </row>
    <row r="518" spans="1:7" x14ac:dyDescent="0.25">
      <c r="A518" t="s">
        <v>8387</v>
      </c>
      <c r="B518" s="8">
        <v>306</v>
      </c>
      <c r="C518" t="s">
        <v>4312</v>
      </c>
      <c r="D518" s="5" t="s">
        <v>4312</v>
      </c>
      <c r="E518" s="5" t="s">
        <v>4312</v>
      </c>
      <c r="F518">
        <v>1</v>
      </c>
      <c r="G518" t="s">
        <v>10073</v>
      </c>
    </row>
    <row r="519" spans="1:7" x14ac:dyDescent="0.25">
      <c r="A519" t="s">
        <v>8666</v>
      </c>
      <c r="B519" s="8">
        <v>322</v>
      </c>
      <c r="C519" t="s">
        <v>4312</v>
      </c>
      <c r="D519" s="5" t="s">
        <v>4312</v>
      </c>
      <c r="E519" s="5" t="s">
        <v>4312</v>
      </c>
      <c r="F519">
        <v>1</v>
      </c>
      <c r="G519" t="s">
        <v>10074</v>
      </c>
    </row>
    <row r="520" spans="1:7" x14ac:dyDescent="0.25">
      <c r="A520" t="s">
        <v>8295</v>
      </c>
      <c r="B520" s="8">
        <v>390</v>
      </c>
      <c r="C520" t="s">
        <v>4312</v>
      </c>
      <c r="D520" s="5" t="s">
        <v>4312</v>
      </c>
      <c r="E520" s="5" t="s">
        <v>4312</v>
      </c>
      <c r="F520">
        <v>1</v>
      </c>
      <c r="G520" t="s">
        <v>10075</v>
      </c>
    </row>
    <row r="521" spans="1:7" x14ac:dyDescent="0.25">
      <c r="A521" t="s">
        <v>8566</v>
      </c>
      <c r="B521" s="8">
        <v>421</v>
      </c>
      <c r="C521" t="s">
        <v>4312</v>
      </c>
      <c r="D521" s="5" t="s">
        <v>4312</v>
      </c>
      <c r="E521" s="5" t="s">
        <v>4312</v>
      </c>
      <c r="F521">
        <v>1</v>
      </c>
      <c r="G521" t="s">
        <v>10076</v>
      </c>
    </row>
    <row r="522" spans="1:7" x14ac:dyDescent="0.25">
      <c r="A522" t="s">
        <v>8271</v>
      </c>
      <c r="B522" s="8">
        <v>521</v>
      </c>
      <c r="C522" t="s">
        <v>4312</v>
      </c>
      <c r="D522" s="5" t="s">
        <v>4312</v>
      </c>
      <c r="E522" s="5" t="s">
        <v>4312</v>
      </c>
      <c r="F522">
        <v>0</v>
      </c>
      <c r="G522" t="s">
        <v>10077</v>
      </c>
    </row>
    <row r="523" spans="1:7" x14ac:dyDescent="0.25">
      <c r="A523" t="s">
        <v>8838</v>
      </c>
      <c r="B523" s="8">
        <v>298</v>
      </c>
      <c r="C523" t="s">
        <v>4312</v>
      </c>
      <c r="D523" s="5" t="s">
        <v>4312</v>
      </c>
      <c r="E523" s="5" t="s">
        <v>4312</v>
      </c>
      <c r="F523">
        <v>0</v>
      </c>
      <c r="G523" t="s">
        <v>10078</v>
      </c>
    </row>
    <row r="524" spans="1:7" x14ac:dyDescent="0.25">
      <c r="A524" t="s">
        <v>8475</v>
      </c>
      <c r="B524" s="8">
        <v>425</v>
      </c>
      <c r="C524" t="s">
        <v>4312</v>
      </c>
      <c r="D524" s="5" t="s">
        <v>4312</v>
      </c>
      <c r="E524" s="5" t="s">
        <v>4312</v>
      </c>
      <c r="F524">
        <v>1</v>
      </c>
      <c r="G524" t="s">
        <v>10079</v>
      </c>
    </row>
    <row r="525" spans="1:7" x14ac:dyDescent="0.25">
      <c r="A525" t="s">
        <v>8304</v>
      </c>
      <c r="B525" s="8">
        <v>516</v>
      </c>
      <c r="C525" t="s">
        <v>4312</v>
      </c>
      <c r="D525" s="5" t="s">
        <v>4312</v>
      </c>
      <c r="E525" s="5" t="s">
        <v>4312</v>
      </c>
      <c r="F525">
        <v>1</v>
      </c>
      <c r="G525" t="s">
        <v>10080</v>
      </c>
    </row>
    <row r="526" spans="1:7" x14ac:dyDescent="0.25">
      <c r="A526" t="s">
        <v>8970</v>
      </c>
      <c r="B526" s="8">
        <v>498</v>
      </c>
      <c r="C526" t="s">
        <v>4312</v>
      </c>
      <c r="D526" s="5" t="s">
        <v>4312</v>
      </c>
      <c r="E526" s="5" t="s">
        <v>4312</v>
      </c>
      <c r="F526">
        <v>1</v>
      </c>
      <c r="G526" t="s">
        <v>10081</v>
      </c>
    </row>
    <row r="527" spans="1:7" x14ac:dyDescent="0.25">
      <c r="A527" t="s">
        <v>8757</v>
      </c>
      <c r="B527" s="8">
        <v>281</v>
      </c>
      <c r="C527" t="s">
        <v>4312</v>
      </c>
      <c r="D527" s="5" t="s">
        <v>4312</v>
      </c>
      <c r="E527" s="5" t="s">
        <v>4312</v>
      </c>
      <c r="F527">
        <v>0</v>
      </c>
      <c r="G527" t="s">
        <v>10082</v>
      </c>
    </row>
    <row r="528" spans="1:7" x14ac:dyDescent="0.25">
      <c r="A528" t="s">
        <v>8866</v>
      </c>
      <c r="B528" s="8">
        <v>309</v>
      </c>
      <c r="C528" t="s">
        <v>4312</v>
      </c>
      <c r="D528" s="5" t="s">
        <v>4312</v>
      </c>
      <c r="E528" s="5" t="s">
        <v>4312</v>
      </c>
      <c r="F528">
        <v>0</v>
      </c>
      <c r="G528" t="s">
        <v>10083</v>
      </c>
    </row>
    <row r="529" spans="1:7" x14ac:dyDescent="0.25">
      <c r="A529" t="s">
        <v>8780</v>
      </c>
      <c r="B529" s="8">
        <v>495</v>
      </c>
      <c r="C529" t="s">
        <v>4312</v>
      </c>
      <c r="D529" s="5" t="s">
        <v>4312</v>
      </c>
      <c r="E529" s="5" t="s">
        <v>4312</v>
      </c>
      <c r="F529">
        <v>1</v>
      </c>
      <c r="G529" t="s">
        <v>10084</v>
      </c>
    </row>
    <row r="530" spans="1:7" x14ac:dyDescent="0.25">
      <c r="A530" t="s">
        <v>8709</v>
      </c>
      <c r="B530" s="8">
        <v>394</v>
      </c>
      <c r="C530" t="s">
        <v>4312</v>
      </c>
      <c r="D530" s="5" t="s">
        <v>4312</v>
      </c>
      <c r="E530" s="5" t="s">
        <v>4312</v>
      </c>
      <c r="F530">
        <v>0</v>
      </c>
      <c r="G530" t="s">
        <v>10002</v>
      </c>
    </row>
    <row r="531" spans="1:7" x14ac:dyDescent="0.25">
      <c r="A531" t="s">
        <v>8700</v>
      </c>
      <c r="B531" s="8">
        <v>406</v>
      </c>
      <c r="C531" t="s">
        <v>4312</v>
      </c>
      <c r="D531" s="5" t="s">
        <v>4312</v>
      </c>
      <c r="E531" s="5" t="s">
        <v>4312</v>
      </c>
      <c r="F531">
        <v>1</v>
      </c>
      <c r="G531" t="s">
        <v>10085</v>
      </c>
    </row>
    <row r="532" spans="1:7" x14ac:dyDescent="0.25">
      <c r="A532" t="s">
        <v>8669</v>
      </c>
      <c r="B532" s="8">
        <v>287</v>
      </c>
      <c r="C532" t="s">
        <v>4312</v>
      </c>
      <c r="D532" s="5" t="s">
        <v>4312</v>
      </c>
      <c r="E532" s="5" t="s">
        <v>4312</v>
      </c>
      <c r="F532">
        <v>1</v>
      </c>
      <c r="G532" t="s">
        <v>10086</v>
      </c>
    </row>
    <row r="533" spans="1:7" x14ac:dyDescent="0.25">
      <c r="A533" t="s">
        <v>8416</v>
      </c>
      <c r="B533" s="8">
        <v>419</v>
      </c>
      <c r="C533" t="s">
        <v>4312</v>
      </c>
      <c r="D533" s="5" t="s">
        <v>4312</v>
      </c>
      <c r="E533" s="5" t="s">
        <v>4312</v>
      </c>
      <c r="F533">
        <v>1</v>
      </c>
      <c r="G533" t="s">
        <v>10087</v>
      </c>
    </row>
    <row r="534" spans="1:7" x14ac:dyDescent="0.25">
      <c r="A534" t="s">
        <v>8927</v>
      </c>
      <c r="B534" s="8">
        <v>455</v>
      </c>
      <c r="C534" t="s">
        <v>4312</v>
      </c>
      <c r="D534" s="5" t="s">
        <v>4312</v>
      </c>
      <c r="E534" s="5" t="s">
        <v>4312</v>
      </c>
      <c r="F534">
        <v>0</v>
      </c>
      <c r="G534" t="s">
        <v>10088</v>
      </c>
    </row>
    <row r="535" spans="1:7" x14ac:dyDescent="0.25">
      <c r="A535" t="s">
        <v>8982</v>
      </c>
      <c r="B535" s="8">
        <v>288</v>
      </c>
      <c r="C535" t="s">
        <v>4312</v>
      </c>
      <c r="D535" s="5" t="s">
        <v>4312</v>
      </c>
      <c r="E535" s="5" t="s">
        <v>4312</v>
      </c>
      <c r="F535">
        <v>1</v>
      </c>
      <c r="G535" t="s">
        <v>10089</v>
      </c>
    </row>
    <row r="536" spans="1:7" x14ac:dyDescent="0.25">
      <c r="A536" t="s">
        <v>8766</v>
      </c>
      <c r="B536" s="8">
        <v>289</v>
      </c>
      <c r="C536" t="s">
        <v>4312</v>
      </c>
      <c r="D536" s="5" t="s">
        <v>4312</v>
      </c>
      <c r="E536" s="5" t="s">
        <v>4312</v>
      </c>
      <c r="F536">
        <v>1</v>
      </c>
      <c r="G536" t="s">
        <v>10090</v>
      </c>
    </row>
    <row r="537" spans="1:7" x14ac:dyDescent="0.25">
      <c r="A537" t="s">
        <v>8830</v>
      </c>
      <c r="B537" s="8">
        <v>340</v>
      </c>
      <c r="C537" t="s">
        <v>4312</v>
      </c>
      <c r="D537" s="5" t="s">
        <v>4312</v>
      </c>
      <c r="E537" s="5" t="s">
        <v>4312</v>
      </c>
      <c r="F537">
        <v>1</v>
      </c>
      <c r="G537" t="s">
        <v>10091</v>
      </c>
    </row>
    <row r="538" spans="1:7" x14ac:dyDescent="0.25">
      <c r="A538" t="s">
        <v>8872</v>
      </c>
      <c r="B538" s="8">
        <v>487</v>
      </c>
      <c r="C538" t="s">
        <v>4312</v>
      </c>
      <c r="D538" s="5" t="s">
        <v>4312</v>
      </c>
      <c r="E538" s="5" t="s">
        <v>4312</v>
      </c>
      <c r="F538">
        <v>0</v>
      </c>
      <c r="G538" t="s">
        <v>10092</v>
      </c>
    </row>
    <row r="539" spans="1:7" x14ac:dyDescent="0.25">
      <c r="A539" t="s">
        <v>8221</v>
      </c>
      <c r="B539" s="8">
        <v>509</v>
      </c>
      <c r="C539" t="s">
        <v>4312</v>
      </c>
      <c r="D539" s="5" t="s">
        <v>4312</v>
      </c>
      <c r="E539" s="5" t="s">
        <v>4312</v>
      </c>
      <c r="F539">
        <v>1</v>
      </c>
      <c r="G539" t="s">
        <v>10093</v>
      </c>
    </row>
    <row r="540" spans="1:7" x14ac:dyDescent="0.25">
      <c r="A540" t="s">
        <v>8215</v>
      </c>
      <c r="B540" s="8">
        <v>423</v>
      </c>
      <c r="C540" t="s">
        <v>4312</v>
      </c>
      <c r="D540" s="5" t="s">
        <v>4312</v>
      </c>
      <c r="E540" s="5" t="s">
        <v>4312</v>
      </c>
      <c r="F540">
        <v>1</v>
      </c>
      <c r="G540" t="s">
        <v>10094</v>
      </c>
    </row>
    <row r="541" spans="1:7" x14ac:dyDescent="0.25">
      <c r="A541" t="s">
        <v>8557</v>
      </c>
      <c r="B541" s="8">
        <v>397</v>
      </c>
      <c r="C541" t="s">
        <v>4312</v>
      </c>
      <c r="D541" s="5" t="s">
        <v>4312</v>
      </c>
      <c r="E541" s="5" t="s">
        <v>4312</v>
      </c>
      <c r="F541">
        <v>1</v>
      </c>
      <c r="G541" t="s">
        <v>10095</v>
      </c>
    </row>
    <row r="542" spans="1:7" x14ac:dyDescent="0.25">
      <c r="A542" t="s">
        <v>8277</v>
      </c>
      <c r="B542" s="8">
        <v>429</v>
      </c>
      <c r="C542" t="s">
        <v>4312</v>
      </c>
      <c r="D542" s="5" t="s">
        <v>4312</v>
      </c>
      <c r="E542" s="5" t="s">
        <v>4312</v>
      </c>
      <c r="F542">
        <v>1</v>
      </c>
      <c r="G542" t="s">
        <v>10096</v>
      </c>
    </row>
    <row r="543" spans="1:7" x14ac:dyDescent="0.25">
      <c r="A543" t="s">
        <v>8277</v>
      </c>
      <c r="B543" s="8">
        <v>272</v>
      </c>
      <c r="C543" t="s">
        <v>4312</v>
      </c>
      <c r="D543" s="5" t="s">
        <v>4312</v>
      </c>
      <c r="E543" s="5" t="s">
        <v>4312</v>
      </c>
      <c r="F543">
        <v>1</v>
      </c>
      <c r="G543" t="s">
        <v>10097</v>
      </c>
    </row>
    <row r="544" spans="1:7" x14ac:dyDescent="0.25">
      <c r="A544" t="s">
        <v>8590</v>
      </c>
      <c r="B544" s="8">
        <v>505</v>
      </c>
      <c r="C544" t="s">
        <v>4312</v>
      </c>
      <c r="D544" s="5" t="s">
        <v>4312</v>
      </c>
      <c r="E544" s="5" t="s">
        <v>4312</v>
      </c>
      <c r="F544">
        <v>1</v>
      </c>
      <c r="G544" t="s">
        <v>10098</v>
      </c>
    </row>
    <row r="545" spans="1:7" x14ac:dyDescent="0.25">
      <c r="A545" t="s">
        <v>8462</v>
      </c>
      <c r="B545" s="8">
        <v>403</v>
      </c>
      <c r="C545" t="s">
        <v>4312</v>
      </c>
      <c r="D545" s="5" t="s">
        <v>4312</v>
      </c>
      <c r="E545" s="5" t="s">
        <v>4312</v>
      </c>
      <c r="F545">
        <v>1</v>
      </c>
      <c r="G545" t="s">
        <v>10099</v>
      </c>
    </row>
    <row r="546" spans="1:7" x14ac:dyDescent="0.25">
      <c r="A546" t="s">
        <v>8572</v>
      </c>
      <c r="B546" s="8">
        <v>380</v>
      </c>
      <c r="C546" t="s">
        <v>4312</v>
      </c>
      <c r="D546" s="5" t="s">
        <v>4312</v>
      </c>
      <c r="E546" s="5" t="s">
        <v>4312</v>
      </c>
      <c r="F546">
        <v>1</v>
      </c>
      <c r="G546" t="s">
        <v>10100</v>
      </c>
    </row>
    <row r="547" spans="1:7" x14ac:dyDescent="0.25">
      <c r="A547" t="s">
        <v>8816</v>
      </c>
      <c r="B547" s="8">
        <v>351</v>
      </c>
      <c r="C547" t="s">
        <v>4312</v>
      </c>
      <c r="D547" s="5" t="s">
        <v>4312</v>
      </c>
      <c r="E547" s="5" t="s">
        <v>4312</v>
      </c>
      <c r="F547">
        <v>0</v>
      </c>
      <c r="G547" t="s">
        <v>10101</v>
      </c>
    </row>
    <row r="548" spans="1:7" x14ac:dyDescent="0.25">
      <c r="A548" t="s">
        <v>8667</v>
      </c>
      <c r="B548" s="8">
        <v>299</v>
      </c>
      <c r="C548" t="s">
        <v>4312</v>
      </c>
      <c r="D548" s="5" t="s">
        <v>4312</v>
      </c>
      <c r="E548" s="5" t="s">
        <v>4312</v>
      </c>
      <c r="F548">
        <v>1</v>
      </c>
      <c r="G548" t="s">
        <v>10102</v>
      </c>
    </row>
    <row r="549" spans="1:7" x14ac:dyDescent="0.25">
      <c r="A549" t="s">
        <v>8237</v>
      </c>
      <c r="B549" s="8">
        <v>432</v>
      </c>
      <c r="C549" t="s">
        <v>4312</v>
      </c>
      <c r="D549" s="5" t="s">
        <v>4312</v>
      </c>
      <c r="E549" s="5" t="s">
        <v>4312</v>
      </c>
      <c r="F549">
        <v>1</v>
      </c>
      <c r="G549" t="s">
        <v>10103</v>
      </c>
    </row>
    <row r="550" spans="1:7" x14ac:dyDescent="0.25">
      <c r="A550" t="s">
        <v>8859</v>
      </c>
      <c r="B550" s="8">
        <v>431</v>
      </c>
      <c r="C550" t="s">
        <v>4312</v>
      </c>
      <c r="D550" s="5" t="s">
        <v>4312</v>
      </c>
      <c r="E550" s="5" t="s">
        <v>4312</v>
      </c>
      <c r="F550">
        <v>1</v>
      </c>
      <c r="G550" t="s">
        <v>10104</v>
      </c>
    </row>
    <row r="551" spans="1:7" x14ac:dyDescent="0.25">
      <c r="A551" t="s">
        <v>8284</v>
      </c>
      <c r="B551" s="8">
        <v>534</v>
      </c>
      <c r="C551" t="s">
        <v>4312</v>
      </c>
      <c r="D551" s="5" t="s">
        <v>4312</v>
      </c>
      <c r="E551" s="5" t="s">
        <v>4312</v>
      </c>
      <c r="F551">
        <v>1</v>
      </c>
      <c r="G551" t="s">
        <v>10105</v>
      </c>
    </row>
  </sheetData>
  <autoFilter ref="A1:F551" xr:uid="{276CE493-A407-48D1-AD50-E51D3AA3C4F0}"/>
  <conditionalFormatting sqref="A1:A1048576">
    <cfRule type="duplicateValues" dxfId="6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1BDF-050D-4762-9EA5-CB77C865DCEB}">
  <dimension ref="A1:G13"/>
  <sheetViews>
    <sheetView workbookViewId="0">
      <selection activeCell="E35" sqref="E35"/>
    </sheetView>
  </sheetViews>
  <sheetFormatPr baseColWidth="10" defaultRowHeight="15" x14ac:dyDescent="0.25"/>
  <cols>
    <col min="2" max="2" width="63.140625" bestFit="1" customWidth="1"/>
    <col min="3" max="3" width="12.85546875" bestFit="1" customWidth="1"/>
    <col min="4" max="4" width="13.7109375" bestFit="1" customWidth="1"/>
    <col min="5" max="5" width="22.42578125" bestFit="1" customWidth="1"/>
    <col min="6" max="6" width="24" bestFit="1" customWidth="1"/>
    <col min="7" max="7" width="72" bestFit="1" customWidth="1"/>
  </cols>
  <sheetData>
    <row r="1" spans="1:7" x14ac:dyDescent="0.25">
      <c r="A1" t="s">
        <v>7522</v>
      </c>
      <c r="C1" s="1" t="s">
        <v>4313</v>
      </c>
      <c r="D1" s="1" t="s">
        <v>4314</v>
      </c>
      <c r="E1" s="1" t="s">
        <v>4315</v>
      </c>
      <c r="F1" s="1" t="s">
        <v>4316</v>
      </c>
    </row>
    <row r="2" spans="1:7" x14ac:dyDescent="0.25">
      <c r="A2">
        <v>1</v>
      </c>
      <c r="B2" t="str">
        <f>_xlfn.CONCAT(C2:F2)</f>
        <v>CGMEMPLEADOINDETERMINADOINDETERMINADO</v>
      </c>
      <c r="C2" t="s">
        <v>4317</v>
      </c>
      <c r="D2" t="s">
        <v>4318</v>
      </c>
      <c r="E2" t="s">
        <v>4319</v>
      </c>
      <c r="F2" t="s">
        <v>4319</v>
      </c>
      <c r="G2" t="str">
        <f>_xlfn.CONCAT("('",C2,"','",D2,"','",E2,"','",F2,"',","1),")</f>
        <v>('CGM','EMPLEADO','INDETERMINADO','INDETERMINADO',1),</v>
      </c>
    </row>
    <row r="3" spans="1:7" x14ac:dyDescent="0.25">
      <c r="A3">
        <v>2</v>
      </c>
      <c r="B3" t="str">
        <f t="shared" ref="B3:B13" si="0">_xlfn.CONCAT(C3:F3)</f>
        <v>CGMEMPLEADOA PLAZO FIJONECESIDAD DE MERCADO</v>
      </c>
      <c r="C3" t="s">
        <v>4317</v>
      </c>
      <c r="D3" t="s">
        <v>4318</v>
      </c>
      <c r="E3" t="s">
        <v>4320</v>
      </c>
      <c r="F3" t="s">
        <v>4321</v>
      </c>
      <c r="G3" t="str">
        <f t="shared" ref="G3:G13" si="1">_xlfn.CONCAT("('",C3,"','",D3,"','",E3,"','",F3,"',","1),")</f>
        <v>('CGM','EMPLEADO','A PLAZO FIJO','NECESIDAD DE MERCADO',1),</v>
      </c>
    </row>
    <row r="4" spans="1:7" x14ac:dyDescent="0.25">
      <c r="A4">
        <v>3</v>
      </c>
      <c r="B4" t="str">
        <f t="shared" si="0"/>
        <v>CGMEMPLEADOA PLAZO FIJOSERVICIO ESPECÍFICO</v>
      </c>
      <c r="C4" t="s">
        <v>4317</v>
      </c>
      <c r="D4" t="s">
        <v>4318</v>
      </c>
      <c r="E4" t="s">
        <v>4320</v>
      </c>
      <c r="F4" t="s">
        <v>4322</v>
      </c>
      <c r="G4" t="str">
        <f t="shared" si="1"/>
        <v>('CGM','EMPLEADO','A PLAZO FIJO','SERVICIO ESPECÍFICO',1),</v>
      </c>
    </row>
    <row r="5" spans="1:7" x14ac:dyDescent="0.25">
      <c r="A5">
        <v>4</v>
      </c>
      <c r="B5" t="str">
        <f t="shared" si="0"/>
        <v>CONTACTOTERCEROTERCEROCOOPERATIVA</v>
      </c>
      <c r="C5" t="s">
        <v>4323</v>
      </c>
      <c r="D5" t="s">
        <v>4324</v>
      </c>
      <c r="E5" t="s">
        <v>4324</v>
      </c>
      <c r="F5" t="s">
        <v>4325</v>
      </c>
      <c r="G5" t="str">
        <f t="shared" si="1"/>
        <v>('CONTACTO','TERCERO','TERCERO','COOPERATIVA',1),</v>
      </c>
    </row>
    <row r="6" spans="1:7" x14ac:dyDescent="0.25">
      <c r="A6">
        <v>5</v>
      </c>
      <c r="B6" t="str">
        <f t="shared" si="0"/>
        <v>PRACTICANTEPRACTICANTEMODALIDAD FORMATIVAPROFESIONAL</v>
      </c>
      <c r="C6" t="s">
        <v>4326</v>
      </c>
      <c r="D6" t="s">
        <v>4326</v>
      </c>
      <c r="E6" t="s">
        <v>4327</v>
      </c>
      <c r="F6" t="s">
        <v>4328</v>
      </c>
      <c r="G6" t="str">
        <f t="shared" si="1"/>
        <v>('PRACTICANTE','PRACTICANTE','MODALIDAD FORMATIVA','PROFESIONAL',1),</v>
      </c>
    </row>
    <row r="7" spans="1:7" x14ac:dyDescent="0.25">
      <c r="A7">
        <v>6</v>
      </c>
      <c r="B7" t="str">
        <f t="shared" si="0"/>
        <v>PRACTICANTEPRACTICANTEMODALIDAD FORMATIVAPRE PROFESIONAL</v>
      </c>
      <c r="C7" t="s">
        <v>4326</v>
      </c>
      <c r="D7" t="s">
        <v>4326</v>
      </c>
      <c r="E7" t="s">
        <v>4327</v>
      </c>
      <c r="F7" t="s">
        <v>4329</v>
      </c>
      <c r="G7" t="str">
        <f t="shared" si="1"/>
        <v>('PRACTICANTE','PRACTICANTE','MODALIDAD FORMATIVA','PRE PROFESIONAL',1),</v>
      </c>
    </row>
    <row r="8" spans="1:7" x14ac:dyDescent="0.25">
      <c r="A8">
        <v>7</v>
      </c>
      <c r="B8" t="str">
        <f t="shared" si="0"/>
        <v>CGMEMPLEADODE EXTRANJERORESIDENTE ESPECIAL</v>
      </c>
      <c r="C8" t="s">
        <v>4317</v>
      </c>
      <c r="D8" t="s">
        <v>4318</v>
      </c>
      <c r="E8" t="s">
        <v>4330</v>
      </c>
      <c r="F8" t="s">
        <v>4331</v>
      </c>
      <c r="G8" t="str">
        <f t="shared" si="1"/>
        <v>('CGM','EMPLEADO','DE EXTRANJERO','RESIDENTE ESPECIAL',1),</v>
      </c>
    </row>
    <row r="9" spans="1:7" x14ac:dyDescent="0.25">
      <c r="A9">
        <v>8</v>
      </c>
      <c r="B9" t="str">
        <f t="shared" si="0"/>
        <v>CONTACTOEMPLEADOTERCEROCOOPERATIVA</v>
      </c>
      <c r="C9" t="s">
        <v>4323</v>
      </c>
      <c r="D9" t="s">
        <v>4318</v>
      </c>
      <c r="E9" t="s">
        <v>4324</v>
      </c>
      <c r="F9" t="s">
        <v>4325</v>
      </c>
      <c r="G9" t="str">
        <f t="shared" si="1"/>
        <v>('CONTACTO','EMPLEADO','TERCERO','COOPERATIVA',1),</v>
      </c>
    </row>
    <row r="10" spans="1:7" x14ac:dyDescent="0.25">
      <c r="A10">
        <v>9</v>
      </c>
      <c r="B10" t="str">
        <f t="shared" si="0"/>
        <v>STRACONEMPLEADOA PLAZO FIJONECESIDAD DE MERCADO</v>
      </c>
      <c r="C10" t="s">
        <v>4332</v>
      </c>
      <c r="D10" t="s">
        <v>4318</v>
      </c>
      <c r="E10" t="s">
        <v>4320</v>
      </c>
      <c r="F10" t="s">
        <v>4321</v>
      </c>
      <c r="G10" t="str">
        <f t="shared" si="1"/>
        <v>('STRACON','EMPLEADO','A PLAZO FIJO','NECESIDAD DE MERCADO',1),</v>
      </c>
    </row>
    <row r="11" spans="1:7" x14ac:dyDescent="0.25">
      <c r="A11">
        <v>10</v>
      </c>
      <c r="B11" t="str">
        <f t="shared" si="0"/>
        <v>CGMEMPLEADOA PLAZO FIJOPART TIME</v>
      </c>
      <c r="C11" t="s">
        <v>4317</v>
      </c>
      <c r="D11" t="s">
        <v>4318</v>
      </c>
      <c r="E11" t="s">
        <v>4320</v>
      </c>
      <c r="F11" t="s">
        <v>4333</v>
      </c>
      <c r="G11" t="str">
        <f t="shared" si="1"/>
        <v>('CGM','EMPLEADO','A PLAZO FIJO','PART TIME',1),</v>
      </c>
    </row>
    <row r="12" spans="1:7" x14ac:dyDescent="0.25">
      <c r="A12">
        <v>11</v>
      </c>
      <c r="B12" t="str">
        <f t="shared" si="0"/>
        <v>STRACONEMPLEADOA PLAZO FIJOSERVICIO ESPECÍFICO</v>
      </c>
      <c r="C12" t="s">
        <v>4332</v>
      </c>
      <c r="D12" t="s">
        <v>4318</v>
      </c>
      <c r="E12" t="s">
        <v>4320</v>
      </c>
      <c r="F12" t="s">
        <v>4322</v>
      </c>
      <c r="G12" t="str">
        <f t="shared" si="1"/>
        <v>('STRACON','EMPLEADO','A PLAZO FIJO','SERVICIO ESPECÍFICO',1),</v>
      </c>
    </row>
    <row r="13" spans="1:7" x14ac:dyDescent="0.25">
      <c r="A13">
        <v>12</v>
      </c>
      <c r="B13" t="str">
        <f t="shared" si="0"/>
        <v>CGMOPERACIONESA PLAZO FIJONECESIDAD DE MERCADO</v>
      </c>
      <c r="C13" t="s">
        <v>4317</v>
      </c>
      <c r="D13" t="s">
        <v>4283</v>
      </c>
      <c r="E13" t="s">
        <v>4320</v>
      </c>
      <c r="F13" t="s">
        <v>4321</v>
      </c>
      <c r="G13" t="str">
        <f t="shared" si="1"/>
        <v>('CGM','OPERACIONES','A PLAZO FIJO','NECESIDAD DE MERCADO',1),</v>
      </c>
    </row>
  </sheetData>
  <autoFilter ref="C1:F1" xr:uid="{73C61BDF-050D-4762-9EA5-CB77C865DCE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6EB7-90F4-422B-BCBD-FEEE0E7A920B}">
  <dimension ref="A1:P789"/>
  <sheetViews>
    <sheetView workbookViewId="0">
      <selection activeCell="E20" sqref="E20"/>
    </sheetView>
  </sheetViews>
  <sheetFormatPr baseColWidth="10" defaultRowHeight="15" x14ac:dyDescent="0.25"/>
  <cols>
    <col min="1" max="1" width="13.140625" style="8" bestFit="1" customWidth="1"/>
    <col min="2" max="2" width="12.5703125" bestFit="1" customWidth="1"/>
    <col min="3" max="3" width="15.28515625" bestFit="1" customWidth="1"/>
    <col min="4" max="6" width="15.28515625" customWidth="1"/>
    <col min="7" max="7" width="42.140625" bestFit="1" customWidth="1"/>
    <col min="9" max="9" width="13" style="5" bestFit="1" customWidth="1"/>
    <col min="10" max="10" width="85.85546875" bestFit="1" customWidth="1"/>
    <col min="16" max="16" width="11.42578125" style="7"/>
  </cols>
  <sheetData>
    <row r="1" spans="1:10" x14ac:dyDescent="0.25">
      <c r="A1" s="8" t="s">
        <v>6001</v>
      </c>
      <c r="B1" t="s">
        <v>4361</v>
      </c>
      <c r="C1" t="s">
        <v>6081</v>
      </c>
      <c r="D1" t="s">
        <v>8200</v>
      </c>
      <c r="E1" t="s">
        <v>8201</v>
      </c>
      <c r="F1" t="s">
        <v>8993</v>
      </c>
      <c r="G1" t="s">
        <v>1560</v>
      </c>
      <c r="H1" t="s">
        <v>4352</v>
      </c>
      <c r="I1" s="5" t="s">
        <v>6082</v>
      </c>
      <c r="J1" s="6" t="s">
        <v>6083</v>
      </c>
    </row>
    <row r="2" spans="1:10" x14ac:dyDescent="0.25">
      <c r="A2" s="8" t="s">
        <v>8216</v>
      </c>
      <c r="B2" t="s">
        <v>4362</v>
      </c>
      <c r="C2" t="s">
        <v>6002</v>
      </c>
      <c r="D2" t="s">
        <v>7523</v>
      </c>
      <c r="E2" t="s">
        <v>4340</v>
      </c>
      <c r="G2" t="s">
        <v>4974</v>
      </c>
      <c r="H2">
        <v>1</v>
      </c>
      <c r="I2" s="5" t="s">
        <v>4312</v>
      </c>
      <c r="J2" t="s">
        <v>6129</v>
      </c>
    </row>
    <row r="3" spans="1:10" x14ac:dyDescent="0.25">
      <c r="A3" s="8" t="s">
        <v>8245</v>
      </c>
      <c r="B3" t="s">
        <v>4363</v>
      </c>
      <c r="C3" t="s">
        <v>6003</v>
      </c>
      <c r="D3" t="s">
        <v>7524</v>
      </c>
      <c r="E3" t="s">
        <v>4340</v>
      </c>
      <c r="G3" t="s">
        <v>4975</v>
      </c>
      <c r="H3">
        <v>1</v>
      </c>
      <c r="I3" s="5" t="s">
        <v>4312</v>
      </c>
      <c r="J3" t="s">
        <v>6130</v>
      </c>
    </row>
    <row r="4" spans="1:10" x14ac:dyDescent="0.25">
      <c r="A4" s="8" t="s">
        <v>8280</v>
      </c>
      <c r="D4" t="s">
        <v>4340</v>
      </c>
      <c r="E4" t="s">
        <v>4340</v>
      </c>
      <c r="G4" t="s">
        <v>4976</v>
      </c>
      <c r="H4">
        <v>0</v>
      </c>
      <c r="I4" s="5">
        <v>44804</v>
      </c>
      <c r="J4" t="s">
        <v>6245</v>
      </c>
    </row>
    <row r="5" spans="1:10" x14ac:dyDescent="0.25">
      <c r="A5" s="8" t="s">
        <v>8249</v>
      </c>
      <c r="B5" t="s">
        <v>4364</v>
      </c>
      <c r="C5" t="s">
        <v>6004</v>
      </c>
      <c r="D5" t="s">
        <v>7525</v>
      </c>
      <c r="E5" t="s">
        <v>4340</v>
      </c>
      <c r="G5" t="s">
        <v>4977</v>
      </c>
      <c r="H5">
        <v>1</v>
      </c>
      <c r="I5" s="5" t="s">
        <v>4312</v>
      </c>
      <c r="J5" t="s">
        <v>6131</v>
      </c>
    </row>
    <row r="6" spans="1:10" x14ac:dyDescent="0.25">
      <c r="A6" s="8" t="s">
        <v>8527</v>
      </c>
      <c r="B6" t="s">
        <v>4365</v>
      </c>
      <c r="C6" t="s">
        <v>6005</v>
      </c>
      <c r="D6" t="s">
        <v>7526</v>
      </c>
      <c r="E6" t="s">
        <v>4340</v>
      </c>
      <c r="G6" t="s">
        <v>4978</v>
      </c>
      <c r="H6">
        <v>1</v>
      </c>
      <c r="I6" s="5" t="s">
        <v>4312</v>
      </c>
      <c r="J6" t="s">
        <v>6132</v>
      </c>
    </row>
    <row r="7" spans="1:10" x14ac:dyDescent="0.25">
      <c r="A7" s="8" t="s">
        <v>8454</v>
      </c>
      <c r="B7" t="s">
        <v>4366</v>
      </c>
      <c r="D7" t="s">
        <v>7527</v>
      </c>
      <c r="E7" t="s">
        <v>4340</v>
      </c>
      <c r="G7" t="s">
        <v>4979</v>
      </c>
      <c r="H7">
        <v>1</v>
      </c>
      <c r="I7" s="5" t="s">
        <v>4312</v>
      </c>
      <c r="J7" t="s">
        <v>6632</v>
      </c>
    </row>
    <row r="8" spans="1:10" x14ac:dyDescent="0.25">
      <c r="A8" s="8" t="s">
        <v>8401</v>
      </c>
      <c r="B8" t="s">
        <v>4367</v>
      </c>
      <c r="C8" t="s">
        <v>6006</v>
      </c>
      <c r="D8" t="s">
        <v>7528</v>
      </c>
      <c r="E8" t="s">
        <v>4340</v>
      </c>
      <c r="G8" t="s">
        <v>4980</v>
      </c>
      <c r="H8">
        <v>1</v>
      </c>
      <c r="I8" s="5" t="s">
        <v>4312</v>
      </c>
      <c r="J8" t="s">
        <v>6133</v>
      </c>
    </row>
    <row r="9" spans="1:10" x14ac:dyDescent="0.25">
      <c r="A9" s="8" t="s">
        <v>8380</v>
      </c>
      <c r="B9" t="s">
        <v>4368</v>
      </c>
      <c r="D9" t="s">
        <v>7970</v>
      </c>
      <c r="E9" t="s">
        <v>4340</v>
      </c>
      <c r="H9">
        <v>1</v>
      </c>
      <c r="I9" s="5" t="s">
        <v>4312</v>
      </c>
      <c r="J9" t="s">
        <v>6633</v>
      </c>
    </row>
    <row r="10" spans="1:10" x14ac:dyDescent="0.25">
      <c r="A10" s="8" t="s">
        <v>8229</v>
      </c>
      <c r="B10" t="s">
        <v>4369</v>
      </c>
      <c r="D10" t="s">
        <v>7529</v>
      </c>
      <c r="E10" t="s">
        <v>4340</v>
      </c>
      <c r="H10">
        <v>1</v>
      </c>
      <c r="I10" s="5" t="s">
        <v>4312</v>
      </c>
      <c r="J10" t="s">
        <v>6634</v>
      </c>
    </row>
    <row r="11" spans="1:10" x14ac:dyDescent="0.25">
      <c r="A11" s="8" t="s">
        <v>8562</v>
      </c>
      <c r="B11" t="s">
        <v>4370</v>
      </c>
      <c r="D11" t="s">
        <v>7530</v>
      </c>
      <c r="E11" t="s">
        <v>4340</v>
      </c>
      <c r="G11" t="s">
        <v>4981</v>
      </c>
      <c r="H11">
        <v>1</v>
      </c>
      <c r="I11" s="5" t="s">
        <v>4312</v>
      </c>
      <c r="J11" t="s">
        <v>6635</v>
      </c>
    </row>
    <row r="12" spans="1:10" x14ac:dyDescent="0.25">
      <c r="A12" s="8" t="s">
        <v>8348</v>
      </c>
      <c r="B12" t="s">
        <v>4371</v>
      </c>
      <c r="D12" t="s">
        <v>7531</v>
      </c>
      <c r="E12" t="s">
        <v>4340</v>
      </c>
      <c r="G12" t="s">
        <v>4982</v>
      </c>
      <c r="H12">
        <v>1</v>
      </c>
      <c r="I12" s="5" t="s">
        <v>4312</v>
      </c>
      <c r="J12" t="s">
        <v>6636</v>
      </c>
    </row>
    <row r="13" spans="1:10" x14ac:dyDescent="0.25">
      <c r="A13" s="8" t="s">
        <v>8343</v>
      </c>
      <c r="B13" t="s">
        <v>4372</v>
      </c>
      <c r="D13" t="s">
        <v>7532</v>
      </c>
      <c r="E13" t="s">
        <v>4340</v>
      </c>
      <c r="G13" t="s">
        <v>4983</v>
      </c>
      <c r="H13">
        <v>1</v>
      </c>
      <c r="I13" s="5" t="s">
        <v>4312</v>
      </c>
      <c r="J13" t="s">
        <v>6637</v>
      </c>
    </row>
    <row r="14" spans="1:10" x14ac:dyDescent="0.25">
      <c r="A14" s="8" t="s">
        <v>8468</v>
      </c>
      <c r="B14" t="s">
        <v>4373</v>
      </c>
      <c r="D14" t="s">
        <v>7533</v>
      </c>
      <c r="E14" t="s">
        <v>4340</v>
      </c>
      <c r="G14" t="s">
        <v>4984</v>
      </c>
      <c r="H14">
        <v>1</v>
      </c>
      <c r="I14" s="5" t="s">
        <v>4312</v>
      </c>
      <c r="J14" t="s">
        <v>6638</v>
      </c>
    </row>
    <row r="15" spans="1:10" x14ac:dyDescent="0.25">
      <c r="A15" s="8" t="s">
        <v>8297</v>
      </c>
      <c r="B15" t="s">
        <v>4374</v>
      </c>
      <c r="C15" t="s">
        <v>6007</v>
      </c>
      <c r="D15" t="s">
        <v>7534</v>
      </c>
      <c r="E15" t="s">
        <v>4340</v>
      </c>
      <c r="G15" t="s">
        <v>4985</v>
      </c>
      <c r="H15">
        <v>1</v>
      </c>
      <c r="I15" s="5" t="s">
        <v>4312</v>
      </c>
      <c r="J15" t="s">
        <v>6134</v>
      </c>
    </row>
    <row r="16" spans="1:10" x14ac:dyDescent="0.25">
      <c r="A16" s="8" t="s">
        <v>8319</v>
      </c>
      <c r="B16" t="s">
        <v>4375</v>
      </c>
      <c r="C16" t="s">
        <v>6008</v>
      </c>
      <c r="D16" t="s">
        <v>7535</v>
      </c>
      <c r="E16" t="s">
        <v>4340</v>
      </c>
      <c r="G16" t="s">
        <v>4986</v>
      </c>
      <c r="H16">
        <v>1</v>
      </c>
      <c r="I16" s="5" t="s">
        <v>4312</v>
      </c>
      <c r="J16" t="s">
        <v>6135</v>
      </c>
    </row>
    <row r="17" spans="1:10" x14ac:dyDescent="0.25">
      <c r="A17" s="8" t="s">
        <v>8341</v>
      </c>
      <c r="B17" t="s">
        <v>4376</v>
      </c>
      <c r="D17" t="s">
        <v>7536</v>
      </c>
      <c r="E17" t="s">
        <v>4340</v>
      </c>
      <c r="G17" t="s">
        <v>4987</v>
      </c>
      <c r="H17">
        <v>1</v>
      </c>
      <c r="I17" s="5" t="s">
        <v>4312</v>
      </c>
      <c r="J17" t="s">
        <v>6639</v>
      </c>
    </row>
    <row r="18" spans="1:10" x14ac:dyDescent="0.25">
      <c r="A18" s="8" t="s">
        <v>8243</v>
      </c>
      <c r="B18" t="s">
        <v>4377</v>
      </c>
      <c r="D18" t="s">
        <v>7537</v>
      </c>
      <c r="E18" t="s">
        <v>4340</v>
      </c>
      <c r="G18" t="s">
        <v>4988</v>
      </c>
      <c r="H18">
        <v>1</v>
      </c>
      <c r="I18" s="5" t="s">
        <v>4312</v>
      </c>
      <c r="J18" t="s">
        <v>6640</v>
      </c>
    </row>
    <row r="19" spans="1:10" x14ac:dyDescent="0.25">
      <c r="A19" s="8" t="s">
        <v>8691</v>
      </c>
      <c r="B19" t="s">
        <v>4378</v>
      </c>
      <c r="D19" t="s">
        <v>7538</v>
      </c>
      <c r="E19" t="s">
        <v>4340</v>
      </c>
      <c r="G19" t="s">
        <v>4989</v>
      </c>
      <c r="H19">
        <v>1</v>
      </c>
      <c r="I19" s="5" t="s">
        <v>4312</v>
      </c>
      <c r="J19" t="s">
        <v>6641</v>
      </c>
    </row>
    <row r="20" spans="1:10" x14ac:dyDescent="0.25">
      <c r="A20" s="8" t="s">
        <v>8328</v>
      </c>
      <c r="C20" t="s">
        <v>6009</v>
      </c>
      <c r="D20" t="s">
        <v>4340</v>
      </c>
      <c r="E20" t="s">
        <v>4340</v>
      </c>
      <c r="H20">
        <v>0</v>
      </c>
      <c r="I20" s="5">
        <v>45169</v>
      </c>
      <c r="J20" t="s">
        <v>6084</v>
      </c>
    </row>
    <row r="21" spans="1:10" x14ac:dyDescent="0.25">
      <c r="A21" s="8" t="s">
        <v>8423</v>
      </c>
      <c r="B21" t="s">
        <v>4379</v>
      </c>
      <c r="D21" t="s">
        <v>7539</v>
      </c>
      <c r="E21" t="s">
        <v>4340</v>
      </c>
      <c r="G21" t="s">
        <v>4990</v>
      </c>
      <c r="H21">
        <v>1</v>
      </c>
      <c r="I21" s="5" t="s">
        <v>4312</v>
      </c>
      <c r="J21" t="s">
        <v>6642</v>
      </c>
    </row>
    <row r="22" spans="1:10" x14ac:dyDescent="0.25">
      <c r="A22" s="8" t="s">
        <v>8362</v>
      </c>
      <c r="B22" t="s">
        <v>4380</v>
      </c>
      <c r="C22" t="s">
        <v>6010</v>
      </c>
      <c r="D22" t="s">
        <v>7540</v>
      </c>
      <c r="E22" t="s">
        <v>4340</v>
      </c>
      <c r="G22" t="s">
        <v>4991</v>
      </c>
      <c r="H22">
        <v>1</v>
      </c>
      <c r="I22" s="5" t="s">
        <v>4312</v>
      </c>
      <c r="J22" t="s">
        <v>6136</v>
      </c>
    </row>
    <row r="23" spans="1:10" x14ac:dyDescent="0.25">
      <c r="A23" s="8" t="s">
        <v>8299</v>
      </c>
      <c r="B23" t="s">
        <v>4381</v>
      </c>
      <c r="C23" t="s">
        <v>6011</v>
      </c>
      <c r="D23" t="s">
        <v>7541</v>
      </c>
      <c r="E23" t="s">
        <v>4340</v>
      </c>
      <c r="G23" t="s">
        <v>4992</v>
      </c>
      <c r="H23">
        <v>1</v>
      </c>
      <c r="I23" s="5" t="s">
        <v>4312</v>
      </c>
      <c r="J23" t="s">
        <v>6137</v>
      </c>
    </row>
    <row r="24" spans="1:10" x14ac:dyDescent="0.25">
      <c r="A24" s="8" t="s">
        <v>8432</v>
      </c>
      <c r="D24" t="s">
        <v>4340</v>
      </c>
      <c r="E24" t="s">
        <v>4340</v>
      </c>
      <c r="H24">
        <v>0</v>
      </c>
      <c r="I24" s="5">
        <v>44985</v>
      </c>
      <c r="J24" t="s">
        <v>6246</v>
      </c>
    </row>
    <row r="25" spans="1:10" x14ac:dyDescent="0.25">
      <c r="A25" s="8" t="s">
        <v>8261</v>
      </c>
      <c r="B25" t="s">
        <v>4382</v>
      </c>
      <c r="C25" t="s">
        <v>6012</v>
      </c>
      <c r="D25" t="s">
        <v>7542</v>
      </c>
      <c r="E25" t="s">
        <v>4340</v>
      </c>
      <c r="G25" t="s">
        <v>4993</v>
      </c>
      <c r="H25">
        <v>1</v>
      </c>
      <c r="I25" s="5" t="s">
        <v>4312</v>
      </c>
      <c r="J25" t="s">
        <v>6138</v>
      </c>
    </row>
    <row r="26" spans="1:10" x14ac:dyDescent="0.25">
      <c r="A26" s="8" t="s">
        <v>8227</v>
      </c>
      <c r="D26" t="s">
        <v>4340</v>
      </c>
      <c r="E26" t="s">
        <v>4340</v>
      </c>
      <c r="H26">
        <v>0</v>
      </c>
      <c r="I26" s="5">
        <v>45054</v>
      </c>
      <c r="J26" t="s">
        <v>6247</v>
      </c>
    </row>
    <row r="27" spans="1:10" x14ac:dyDescent="0.25">
      <c r="A27" s="8" t="s">
        <v>8289</v>
      </c>
      <c r="B27" t="s">
        <v>4383</v>
      </c>
      <c r="C27" t="s">
        <v>6013</v>
      </c>
      <c r="D27" t="s">
        <v>7543</v>
      </c>
      <c r="E27" t="s">
        <v>4340</v>
      </c>
      <c r="G27" t="s">
        <v>4994</v>
      </c>
      <c r="H27">
        <v>0</v>
      </c>
      <c r="I27" s="5">
        <v>45692</v>
      </c>
      <c r="J27" t="s">
        <v>6085</v>
      </c>
    </row>
    <row r="28" spans="1:10" x14ac:dyDescent="0.25">
      <c r="A28" s="8" t="s">
        <v>8921</v>
      </c>
      <c r="B28" t="s">
        <v>4384</v>
      </c>
      <c r="D28" t="s">
        <v>7544</v>
      </c>
      <c r="E28" t="s">
        <v>4340</v>
      </c>
      <c r="H28">
        <v>0</v>
      </c>
      <c r="I28" s="5">
        <v>45884</v>
      </c>
      <c r="J28" t="s">
        <v>6248</v>
      </c>
    </row>
    <row r="29" spans="1:10" x14ac:dyDescent="0.25">
      <c r="A29" s="8" t="s">
        <v>8972</v>
      </c>
      <c r="B29" t="s">
        <v>4385</v>
      </c>
      <c r="D29" t="s">
        <v>7545</v>
      </c>
      <c r="E29" t="s">
        <v>4340</v>
      </c>
      <c r="G29" t="s">
        <v>4995</v>
      </c>
      <c r="H29">
        <v>1</v>
      </c>
      <c r="I29" s="5" t="s">
        <v>4312</v>
      </c>
      <c r="J29" t="s">
        <v>6643</v>
      </c>
    </row>
    <row r="30" spans="1:10" x14ac:dyDescent="0.25">
      <c r="A30" s="8" t="s">
        <v>8359</v>
      </c>
      <c r="B30" t="s">
        <v>4386</v>
      </c>
      <c r="C30" t="s">
        <v>6014</v>
      </c>
      <c r="D30" t="s">
        <v>7546</v>
      </c>
      <c r="E30" t="s">
        <v>4340</v>
      </c>
      <c r="G30" t="s">
        <v>4996</v>
      </c>
      <c r="H30">
        <v>1</v>
      </c>
      <c r="I30" s="5" t="s">
        <v>4312</v>
      </c>
      <c r="J30" t="s">
        <v>6139</v>
      </c>
    </row>
    <row r="31" spans="1:10" x14ac:dyDescent="0.25">
      <c r="A31" s="8" t="s">
        <v>8370</v>
      </c>
      <c r="B31" t="s">
        <v>4387</v>
      </c>
      <c r="D31" t="s">
        <v>7547</v>
      </c>
      <c r="E31" t="s">
        <v>4340</v>
      </c>
      <c r="G31" t="s">
        <v>4997</v>
      </c>
      <c r="H31">
        <v>0</v>
      </c>
      <c r="I31" s="5">
        <v>45639</v>
      </c>
      <c r="J31" t="s">
        <v>6249</v>
      </c>
    </row>
    <row r="32" spans="1:10" x14ac:dyDescent="0.25">
      <c r="A32" s="8" t="s">
        <v>8320</v>
      </c>
      <c r="B32" t="s">
        <v>4388</v>
      </c>
      <c r="D32" t="s">
        <v>7548</v>
      </c>
      <c r="E32" t="s">
        <v>4340</v>
      </c>
      <c r="G32" t="s">
        <v>4998</v>
      </c>
      <c r="H32">
        <v>1</v>
      </c>
      <c r="I32" s="5" t="s">
        <v>4312</v>
      </c>
      <c r="J32" t="s">
        <v>6644</v>
      </c>
    </row>
    <row r="33" spans="1:10" x14ac:dyDescent="0.25">
      <c r="A33" s="8" t="s">
        <v>8313</v>
      </c>
      <c r="D33" t="s">
        <v>4340</v>
      </c>
      <c r="E33" t="s">
        <v>4340</v>
      </c>
      <c r="H33">
        <v>0</v>
      </c>
      <c r="I33" s="5">
        <v>45117</v>
      </c>
      <c r="J33" t="s">
        <v>6250</v>
      </c>
    </row>
    <row r="34" spans="1:10" x14ac:dyDescent="0.25">
      <c r="A34" s="8" t="s">
        <v>8386</v>
      </c>
      <c r="D34" t="s">
        <v>4340</v>
      </c>
      <c r="E34" t="s">
        <v>4340</v>
      </c>
      <c r="H34">
        <v>0</v>
      </c>
      <c r="I34" s="5">
        <v>44949</v>
      </c>
      <c r="J34" t="s">
        <v>6251</v>
      </c>
    </row>
    <row r="35" spans="1:10" x14ac:dyDescent="0.25">
      <c r="A35" s="8" t="s">
        <v>8426</v>
      </c>
      <c r="D35" t="s">
        <v>4340</v>
      </c>
      <c r="E35" t="s">
        <v>4340</v>
      </c>
      <c r="H35">
        <v>0</v>
      </c>
      <c r="I35" s="5">
        <v>44902</v>
      </c>
      <c r="J35" t="s">
        <v>6252</v>
      </c>
    </row>
    <row r="36" spans="1:10" x14ac:dyDescent="0.25">
      <c r="A36" s="8" t="s">
        <v>8283</v>
      </c>
      <c r="B36" t="s">
        <v>4389</v>
      </c>
      <c r="D36" t="s">
        <v>7549</v>
      </c>
      <c r="E36" t="s">
        <v>4340</v>
      </c>
      <c r="H36">
        <v>1</v>
      </c>
      <c r="I36" s="5" t="s">
        <v>4312</v>
      </c>
      <c r="J36" t="s">
        <v>6645</v>
      </c>
    </row>
    <row r="37" spans="1:10" x14ac:dyDescent="0.25">
      <c r="A37" s="8" t="s">
        <v>8384</v>
      </c>
      <c r="B37" t="s">
        <v>4390</v>
      </c>
      <c r="D37" t="s">
        <v>7550</v>
      </c>
      <c r="E37" t="s">
        <v>4340</v>
      </c>
      <c r="G37" t="s">
        <v>4999</v>
      </c>
      <c r="H37">
        <v>0</v>
      </c>
      <c r="I37" s="5">
        <v>45565</v>
      </c>
      <c r="J37" t="s">
        <v>6253</v>
      </c>
    </row>
    <row r="38" spans="1:10" x14ac:dyDescent="0.25">
      <c r="A38" s="8" t="s">
        <v>8480</v>
      </c>
      <c r="B38" t="s">
        <v>4391</v>
      </c>
      <c r="C38" t="s">
        <v>6015</v>
      </c>
      <c r="D38" t="s">
        <v>7551</v>
      </c>
      <c r="E38" t="s">
        <v>4340</v>
      </c>
      <c r="G38" t="s">
        <v>5000</v>
      </c>
      <c r="H38">
        <v>0</v>
      </c>
      <c r="I38" s="5">
        <v>45879</v>
      </c>
      <c r="J38" t="s">
        <v>6086</v>
      </c>
    </row>
    <row r="39" spans="1:10" x14ac:dyDescent="0.25">
      <c r="A39" s="8" t="s">
        <v>8356</v>
      </c>
      <c r="B39" t="s">
        <v>4392</v>
      </c>
      <c r="C39" t="s">
        <v>6016</v>
      </c>
      <c r="D39" t="s">
        <v>7552</v>
      </c>
      <c r="E39" t="s">
        <v>4340</v>
      </c>
      <c r="G39" t="s">
        <v>5001</v>
      </c>
      <c r="H39">
        <v>1</v>
      </c>
      <c r="I39" s="5" t="s">
        <v>4312</v>
      </c>
      <c r="J39" t="s">
        <v>6140</v>
      </c>
    </row>
    <row r="40" spans="1:10" x14ac:dyDescent="0.25">
      <c r="A40" s="8" t="s">
        <v>8403</v>
      </c>
      <c r="B40" t="s">
        <v>4393</v>
      </c>
      <c r="C40" t="s">
        <v>6017</v>
      </c>
      <c r="D40" t="s">
        <v>7553</v>
      </c>
      <c r="E40" t="s">
        <v>4340</v>
      </c>
      <c r="H40">
        <v>0</v>
      </c>
      <c r="I40" s="5">
        <v>45716</v>
      </c>
      <c r="J40" t="s">
        <v>6087</v>
      </c>
    </row>
    <row r="41" spans="1:10" x14ac:dyDescent="0.25">
      <c r="A41" s="8" t="s">
        <v>8717</v>
      </c>
      <c r="B41" t="s">
        <v>4394</v>
      </c>
      <c r="C41" t="s">
        <v>6018</v>
      </c>
      <c r="D41" t="s">
        <v>7554</v>
      </c>
      <c r="E41" t="s">
        <v>4340</v>
      </c>
      <c r="G41" t="s">
        <v>5002</v>
      </c>
      <c r="H41">
        <v>1</v>
      </c>
      <c r="I41" s="5" t="s">
        <v>4312</v>
      </c>
      <c r="J41" t="s">
        <v>6141</v>
      </c>
    </row>
    <row r="42" spans="1:10" x14ac:dyDescent="0.25">
      <c r="A42" s="8" t="s">
        <v>8361</v>
      </c>
      <c r="B42" t="s">
        <v>4395</v>
      </c>
      <c r="D42" t="s">
        <v>7555</v>
      </c>
      <c r="E42" t="s">
        <v>4340</v>
      </c>
      <c r="G42" t="s">
        <v>5003</v>
      </c>
      <c r="H42">
        <v>1</v>
      </c>
      <c r="I42" s="5" t="s">
        <v>4312</v>
      </c>
      <c r="J42" t="s">
        <v>6646</v>
      </c>
    </row>
    <row r="43" spans="1:10" x14ac:dyDescent="0.25">
      <c r="A43" s="8" t="s">
        <v>8417</v>
      </c>
      <c r="B43" t="s">
        <v>4396</v>
      </c>
      <c r="C43" t="s">
        <v>6019</v>
      </c>
      <c r="D43" t="s">
        <v>7556</v>
      </c>
      <c r="E43" t="s">
        <v>4340</v>
      </c>
      <c r="G43" t="s">
        <v>5004</v>
      </c>
      <c r="H43">
        <v>1</v>
      </c>
      <c r="I43" s="5" t="s">
        <v>4312</v>
      </c>
      <c r="J43" t="s">
        <v>6142</v>
      </c>
    </row>
    <row r="44" spans="1:10" x14ac:dyDescent="0.25">
      <c r="A44" s="8" t="s">
        <v>8377</v>
      </c>
      <c r="B44" t="s">
        <v>4397</v>
      </c>
      <c r="D44" t="s">
        <v>7557</v>
      </c>
      <c r="E44" t="s">
        <v>4340</v>
      </c>
      <c r="G44" t="s">
        <v>5005</v>
      </c>
      <c r="H44">
        <v>0</v>
      </c>
      <c r="I44" s="5">
        <v>45688</v>
      </c>
      <c r="J44" t="s">
        <v>6254</v>
      </c>
    </row>
    <row r="45" spans="1:10" x14ac:dyDescent="0.25">
      <c r="A45" s="8" t="s">
        <v>8333</v>
      </c>
      <c r="D45" t="s">
        <v>4340</v>
      </c>
      <c r="E45" t="s">
        <v>4340</v>
      </c>
      <c r="H45">
        <v>0</v>
      </c>
      <c r="I45" s="5">
        <v>44946</v>
      </c>
      <c r="J45" t="s">
        <v>6255</v>
      </c>
    </row>
    <row r="46" spans="1:10" x14ac:dyDescent="0.25">
      <c r="A46" s="8" t="s">
        <v>8232</v>
      </c>
      <c r="D46" t="s">
        <v>4340</v>
      </c>
      <c r="E46" t="s">
        <v>4340</v>
      </c>
      <c r="H46">
        <v>0</v>
      </c>
      <c r="I46" s="5">
        <v>44849</v>
      </c>
      <c r="J46" t="s">
        <v>6256</v>
      </c>
    </row>
    <row r="47" spans="1:10" x14ac:dyDescent="0.25">
      <c r="A47" s="8" t="s">
        <v>8350</v>
      </c>
      <c r="D47" t="s">
        <v>4340</v>
      </c>
      <c r="E47" t="s">
        <v>4340</v>
      </c>
      <c r="H47">
        <v>0</v>
      </c>
      <c r="I47" s="5">
        <v>44951</v>
      </c>
      <c r="J47" t="s">
        <v>6257</v>
      </c>
    </row>
    <row r="48" spans="1:10" x14ac:dyDescent="0.25">
      <c r="A48" s="8" t="s">
        <v>8305</v>
      </c>
      <c r="B48" t="s">
        <v>4398</v>
      </c>
      <c r="D48" t="s">
        <v>7558</v>
      </c>
      <c r="E48" t="s">
        <v>4340</v>
      </c>
      <c r="G48" t="s">
        <v>5006</v>
      </c>
      <c r="H48">
        <v>0</v>
      </c>
      <c r="I48" s="5">
        <v>45869</v>
      </c>
      <c r="J48" t="s">
        <v>6258</v>
      </c>
    </row>
    <row r="49" spans="1:10" x14ac:dyDescent="0.25">
      <c r="A49" s="8" t="s">
        <v>8476</v>
      </c>
      <c r="B49" t="s">
        <v>4399</v>
      </c>
      <c r="D49" t="s">
        <v>7559</v>
      </c>
      <c r="E49" t="s">
        <v>7625</v>
      </c>
      <c r="G49" t="s">
        <v>5007</v>
      </c>
      <c r="H49">
        <v>1</v>
      </c>
      <c r="I49" s="5" t="s">
        <v>4312</v>
      </c>
      <c r="J49" t="s">
        <v>6647</v>
      </c>
    </row>
    <row r="50" spans="1:10" x14ac:dyDescent="0.25">
      <c r="A50" s="8" t="s">
        <v>8398</v>
      </c>
      <c r="B50" t="s">
        <v>4400</v>
      </c>
      <c r="C50" t="s">
        <v>6020</v>
      </c>
      <c r="D50" t="s">
        <v>7560</v>
      </c>
      <c r="E50" t="s">
        <v>4340</v>
      </c>
      <c r="H50">
        <v>0</v>
      </c>
      <c r="I50" s="5">
        <v>45504</v>
      </c>
      <c r="J50" t="s">
        <v>6088</v>
      </c>
    </row>
    <row r="51" spans="1:10" x14ac:dyDescent="0.25">
      <c r="A51" s="8" t="s">
        <v>8337</v>
      </c>
      <c r="B51" t="s">
        <v>4401</v>
      </c>
      <c r="D51" t="s">
        <v>7561</v>
      </c>
      <c r="E51" t="s">
        <v>4340</v>
      </c>
      <c r="G51" t="s">
        <v>5008</v>
      </c>
      <c r="H51">
        <v>0</v>
      </c>
      <c r="I51" s="5">
        <v>45565</v>
      </c>
      <c r="J51" t="s">
        <v>6259</v>
      </c>
    </row>
    <row r="52" spans="1:10" x14ac:dyDescent="0.25">
      <c r="A52" s="8" t="s">
        <v>8425</v>
      </c>
      <c r="C52" t="s">
        <v>6021</v>
      </c>
      <c r="D52" t="s">
        <v>7562</v>
      </c>
      <c r="E52" t="s">
        <v>4340</v>
      </c>
      <c r="G52" t="s">
        <v>5009</v>
      </c>
      <c r="H52">
        <v>0</v>
      </c>
      <c r="I52" s="5">
        <v>45359</v>
      </c>
      <c r="J52" t="s">
        <v>6089</v>
      </c>
    </row>
    <row r="53" spans="1:10" x14ac:dyDescent="0.25">
      <c r="A53" s="8" t="s">
        <v>8247</v>
      </c>
      <c r="B53" t="s">
        <v>4402</v>
      </c>
      <c r="D53" t="s">
        <v>7563</v>
      </c>
      <c r="E53" t="s">
        <v>4340</v>
      </c>
      <c r="G53" t="s">
        <v>5010</v>
      </c>
      <c r="H53">
        <v>1</v>
      </c>
      <c r="I53" s="5" t="s">
        <v>4312</v>
      </c>
      <c r="J53" t="s">
        <v>6648</v>
      </c>
    </row>
    <row r="54" spans="1:10" x14ac:dyDescent="0.25">
      <c r="A54" s="8" t="s">
        <v>8251</v>
      </c>
      <c r="D54" t="s">
        <v>4340</v>
      </c>
      <c r="E54" t="s">
        <v>4340</v>
      </c>
      <c r="H54">
        <v>0</v>
      </c>
      <c r="I54" s="5">
        <v>44937</v>
      </c>
      <c r="J54" t="s">
        <v>6260</v>
      </c>
    </row>
    <row r="55" spans="1:10" x14ac:dyDescent="0.25">
      <c r="A55" s="8" t="s">
        <v>8918</v>
      </c>
      <c r="B55" t="s">
        <v>4403</v>
      </c>
      <c r="C55" t="s">
        <v>6022</v>
      </c>
      <c r="D55" t="s">
        <v>7564</v>
      </c>
      <c r="E55" t="s">
        <v>4340</v>
      </c>
      <c r="G55" t="s">
        <v>5011</v>
      </c>
      <c r="H55">
        <v>1</v>
      </c>
      <c r="I55" s="5" t="s">
        <v>4312</v>
      </c>
      <c r="J55" t="s">
        <v>6143</v>
      </c>
    </row>
    <row r="56" spans="1:10" x14ac:dyDescent="0.25">
      <c r="A56" s="8" t="s">
        <v>8291</v>
      </c>
      <c r="D56" t="s">
        <v>4340</v>
      </c>
      <c r="E56" t="s">
        <v>4340</v>
      </c>
      <c r="H56">
        <v>0</v>
      </c>
      <c r="I56" s="5">
        <v>44774</v>
      </c>
      <c r="J56" t="s">
        <v>6261</v>
      </c>
    </row>
    <row r="57" spans="1:10" x14ac:dyDescent="0.25">
      <c r="A57" s="8" t="s">
        <v>8335</v>
      </c>
      <c r="B57" t="s">
        <v>4404</v>
      </c>
      <c r="C57" t="s">
        <v>6023</v>
      </c>
      <c r="D57" t="s">
        <v>7565</v>
      </c>
      <c r="E57" t="s">
        <v>4340</v>
      </c>
      <c r="G57" t="s">
        <v>5012</v>
      </c>
      <c r="H57">
        <v>1</v>
      </c>
      <c r="I57" s="5" t="s">
        <v>4312</v>
      </c>
      <c r="J57" t="s">
        <v>6144</v>
      </c>
    </row>
    <row r="58" spans="1:10" x14ac:dyDescent="0.25">
      <c r="A58" s="8" t="s">
        <v>8241</v>
      </c>
      <c r="D58" t="s">
        <v>4340</v>
      </c>
      <c r="E58" t="s">
        <v>4340</v>
      </c>
      <c r="H58">
        <v>0</v>
      </c>
      <c r="I58" s="5">
        <v>44697</v>
      </c>
      <c r="J58" t="s">
        <v>6262</v>
      </c>
    </row>
    <row r="59" spans="1:10" x14ac:dyDescent="0.25">
      <c r="A59" s="8" t="s">
        <v>8379</v>
      </c>
      <c r="D59" t="s">
        <v>4340</v>
      </c>
      <c r="E59" t="s">
        <v>4340</v>
      </c>
      <c r="H59">
        <v>0</v>
      </c>
      <c r="I59" s="5">
        <v>45138</v>
      </c>
      <c r="J59" t="s">
        <v>6263</v>
      </c>
    </row>
    <row r="60" spans="1:10" x14ac:dyDescent="0.25">
      <c r="A60" s="8" t="s">
        <v>8214</v>
      </c>
      <c r="D60" t="s">
        <v>4340</v>
      </c>
      <c r="E60" t="s">
        <v>4340</v>
      </c>
      <c r="H60">
        <v>0</v>
      </c>
      <c r="I60" s="5">
        <v>44985</v>
      </c>
      <c r="J60" t="s">
        <v>6264</v>
      </c>
    </row>
    <row r="61" spans="1:10" x14ac:dyDescent="0.25">
      <c r="A61" s="8" t="s">
        <v>8412</v>
      </c>
      <c r="D61" t="s">
        <v>4340</v>
      </c>
      <c r="E61" t="s">
        <v>4340</v>
      </c>
      <c r="H61">
        <v>0</v>
      </c>
      <c r="I61" s="5">
        <v>45107</v>
      </c>
      <c r="J61" t="s">
        <v>6265</v>
      </c>
    </row>
    <row r="62" spans="1:10" x14ac:dyDescent="0.25">
      <c r="A62" s="8" t="s">
        <v>8364</v>
      </c>
      <c r="B62" t="s">
        <v>4406</v>
      </c>
      <c r="C62" t="s">
        <v>6024</v>
      </c>
      <c r="D62" t="s">
        <v>7566</v>
      </c>
      <c r="E62" t="s">
        <v>4340</v>
      </c>
      <c r="G62" t="s">
        <v>5013</v>
      </c>
      <c r="H62">
        <v>1</v>
      </c>
      <c r="I62" s="5" t="s">
        <v>4312</v>
      </c>
      <c r="J62" t="s">
        <v>6145</v>
      </c>
    </row>
    <row r="63" spans="1:10" x14ac:dyDescent="0.25">
      <c r="A63" s="8" t="s">
        <v>8338</v>
      </c>
      <c r="B63" t="s">
        <v>4407</v>
      </c>
      <c r="D63" t="s">
        <v>7567</v>
      </c>
      <c r="E63" t="s">
        <v>4340</v>
      </c>
      <c r="G63" t="s">
        <v>5014</v>
      </c>
      <c r="H63">
        <v>1</v>
      </c>
      <c r="I63" s="5" t="s">
        <v>4312</v>
      </c>
      <c r="J63" t="s">
        <v>6649</v>
      </c>
    </row>
    <row r="64" spans="1:10" x14ac:dyDescent="0.25">
      <c r="A64" s="8" t="s">
        <v>8588</v>
      </c>
      <c r="B64" t="s">
        <v>4408</v>
      </c>
      <c r="D64" t="s">
        <v>7568</v>
      </c>
      <c r="E64" t="s">
        <v>4340</v>
      </c>
      <c r="H64">
        <v>0</v>
      </c>
      <c r="I64" s="5">
        <v>45652</v>
      </c>
      <c r="J64" t="s">
        <v>6266</v>
      </c>
    </row>
    <row r="65" spans="1:10" x14ac:dyDescent="0.25">
      <c r="A65" s="8" t="s">
        <v>8570</v>
      </c>
      <c r="B65" t="s">
        <v>4410</v>
      </c>
      <c r="D65" t="s">
        <v>7569</v>
      </c>
      <c r="E65" t="s">
        <v>4340</v>
      </c>
      <c r="H65">
        <v>1</v>
      </c>
      <c r="I65" s="5" t="s">
        <v>4312</v>
      </c>
      <c r="J65" t="s">
        <v>6650</v>
      </c>
    </row>
    <row r="66" spans="1:10" x14ac:dyDescent="0.25">
      <c r="A66" s="8" t="s">
        <v>8487</v>
      </c>
      <c r="B66" t="s">
        <v>4411</v>
      </c>
      <c r="D66" t="s">
        <v>7570</v>
      </c>
      <c r="E66" t="s">
        <v>4340</v>
      </c>
      <c r="H66">
        <v>0</v>
      </c>
      <c r="I66" s="5">
        <v>45504</v>
      </c>
      <c r="J66" t="s">
        <v>6267</v>
      </c>
    </row>
    <row r="67" spans="1:10" x14ac:dyDescent="0.25">
      <c r="A67" s="8" t="s">
        <v>8285</v>
      </c>
      <c r="B67" t="s">
        <v>4412</v>
      </c>
      <c r="D67" t="s">
        <v>7648</v>
      </c>
      <c r="E67" t="s">
        <v>4340</v>
      </c>
      <c r="H67">
        <v>0</v>
      </c>
      <c r="I67" s="5">
        <v>45991</v>
      </c>
      <c r="J67" t="s">
        <v>6268</v>
      </c>
    </row>
    <row r="68" spans="1:10" x14ac:dyDescent="0.25">
      <c r="A68" s="8" t="s">
        <v>8259</v>
      </c>
      <c r="B68" t="s">
        <v>4413</v>
      </c>
      <c r="C68" t="s">
        <v>6025</v>
      </c>
      <c r="D68" t="s">
        <v>7571</v>
      </c>
      <c r="E68" t="s">
        <v>4340</v>
      </c>
      <c r="G68" t="s">
        <v>5015</v>
      </c>
      <c r="H68">
        <v>1</v>
      </c>
      <c r="I68" s="5" t="s">
        <v>4312</v>
      </c>
      <c r="J68" t="s">
        <v>6146</v>
      </c>
    </row>
    <row r="69" spans="1:10" x14ac:dyDescent="0.25">
      <c r="A69" s="8" t="s">
        <v>8635</v>
      </c>
      <c r="B69" t="s">
        <v>4414</v>
      </c>
      <c r="D69" t="s">
        <v>7572</v>
      </c>
      <c r="E69" t="s">
        <v>4340</v>
      </c>
      <c r="G69" t="s">
        <v>5016</v>
      </c>
      <c r="H69">
        <v>1</v>
      </c>
      <c r="I69" s="5" t="s">
        <v>4312</v>
      </c>
      <c r="J69" t="s">
        <v>6651</v>
      </c>
    </row>
    <row r="70" spans="1:10" x14ac:dyDescent="0.25">
      <c r="A70" s="8" t="s">
        <v>8388</v>
      </c>
      <c r="B70" t="s">
        <v>4415</v>
      </c>
      <c r="D70" t="s">
        <v>7573</v>
      </c>
      <c r="E70" t="s">
        <v>4340</v>
      </c>
      <c r="H70">
        <v>0</v>
      </c>
      <c r="I70" s="5">
        <v>45854</v>
      </c>
      <c r="J70" t="s">
        <v>6269</v>
      </c>
    </row>
    <row r="71" spans="1:10" x14ac:dyDescent="0.25">
      <c r="A71" s="8" t="s">
        <v>8429</v>
      </c>
      <c r="D71" t="s">
        <v>4340</v>
      </c>
      <c r="E71" t="s">
        <v>4340</v>
      </c>
      <c r="H71">
        <v>0</v>
      </c>
      <c r="I71" s="5">
        <v>44747</v>
      </c>
      <c r="J71" t="s">
        <v>6270</v>
      </c>
    </row>
    <row r="72" spans="1:10" x14ac:dyDescent="0.25">
      <c r="A72" s="8" t="s">
        <v>8422</v>
      </c>
      <c r="B72" t="s">
        <v>4416</v>
      </c>
      <c r="D72" t="s">
        <v>7574</v>
      </c>
      <c r="E72" t="s">
        <v>4340</v>
      </c>
      <c r="G72" t="s">
        <v>5017</v>
      </c>
      <c r="H72">
        <v>0</v>
      </c>
      <c r="I72" s="5">
        <v>45565</v>
      </c>
      <c r="J72" t="s">
        <v>6271</v>
      </c>
    </row>
    <row r="73" spans="1:10" x14ac:dyDescent="0.25">
      <c r="A73" s="8" t="s">
        <v>8434</v>
      </c>
      <c r="B73" t="s">
        <v>4417</v>
      </c>
      <c r="D73">
        <v>0</v>
      </c>
      <c r="E73" t="s">
        <v>7575</v>
      </c>
      <c r="H73">
        <v>1</v>
      </c>
      <c r="I73" s="5" t="s">
        <v>4312</v>
      </c>
      <c r="J73" t="s">
        <v>6652</v>
      </c>
    </row>
    <row r="74" spans="1:10" x14ac:dyDescent="0.25">
      <c r="A74" s="8" t="s">
        <v>8456</v>
      </c>
      <c r="B74" t="s">
        <v>4418</v>
      </c>
      <c r="C74" t="s">
        <v>6026</v>
      </c>
      <c r="D74" t="s">
        <v>7576</v>
      </c>
      <c r="E74" t="s">
        <v>4340</v>
      </c>
      <c r="G74" t="s">
        <v>5018</v>
      </c>
      <c r="H74">
        <v>0</v>
      </c>
      <c r="I74" s="5">
        <v>45853</v>
      </c>
      <c r="J74" t="s">
        <v>6090</v>
      </c>
    </row>
    <row r="75" spans="1:10" x14ac:dyDescent="0.25">
      <c r="A75" s="8" t="s">
        <v>8273</v>
      </c>
      <c r="B75" t="s">
        <v>4419</v>
      </c>
      <c r="D75" t="s">
        <v>7905</v>
      </c>
      <c r="E75" t="s">
        <v>4340</v>
      </c>
      <c r="H75">
        <v>1</v>
      </c>
      <c r="I75" s="5" t="s">
        <v>4312</v>
      </c>
      <c r="J75" t="s">
        <v>6653</v>
      </c>
    </row>
    <row r="76" spans="1:10" x14ac:dyDescent="0.25">
      <c r="A76" s="8" t="s">
        <v>8321</v>
      </c>
      <c r="D76" t="s">
        <v>4340</v>
      </c>
      <c r="E76" t="s">
        <v>4340</v>
      </c>
      <c r="H76">
        <v>0</v>
      </c>
      <c r="I76" s="5">
        <v>44907</v>
      </c>
      <c r="J76" t="s">
        <v>6272</v>
      </c>
    </row>
    <row r="77" spans="1:10" x14ac:dyDescent="0.25">
      <c r="A77" s="8" t="s">
        <v>8340</v>
      </c>
      <c r="B77" t="s">
        <v>4420</v>
      </c>
      <c r="D77" t="s">
        <v>7577</v>
      </c>
      <c r="E77" t="s">
        <v>4340</v>
      </c>
      <c r="G77" t="s">
        <v>5019</v>
      </c>
      <c r="H77">
        <v>1</v>
      </c>
      <c r="I77" s="5" t="s">
        <v>4312</v>
      </c>
      <c r="J77" t="s">
        <v>6654</v>
      </c>
    </row>
    <row r="78" spans="1:10" x14ac:dyDescent="0.25">
      <c r="A78" s="8" t="s">
        <v>8567</v>
      </c>
      <c r="D78" t="s">
        <v>4340</v>
      </c>
      <c r="E78" t="s">
        <v>4340</v>
      </c>
      <c r="H78">
        <v>0</v>
      </c>
      <c r="I78" s="5">
        <v>44764</v>
      </c>
      <c r="J78" t="s">
        <v>6273</v>
      </c>
    </row>
    <row r="79" spans="1:10" x14ac:dyDescent="0.25">
      <c r="A79" s="8" t="s">
        <v>8392</v>
      </c>
      <c r="B79" t="s">
        <v>4421</v>
      </c>
      <c r="C79" t="s">
        <v>6027</v>
      </c>
      <c r="D79" t="s">
        <v>7578</v>
      </c>
      <c r="E79" t="s">
        <v>4340</v>
      </c>
      <c r="G79" t="s">
        <v>5020</v>
      </c>
      <c r="H79">
        <v>1</v>
      </c>
      <c r="I79" s="5" t="s">
        <v>4312</v>
      </c>
      <c r="J79" t="s">
        <v>6147</v>
      </c>
    </row>
    <row r="80" spans="1:10" x14ac:dyDescent="0.25">
      <c r="A80" s="8" t="s">
        <v>8238</v>
      </c>
      <c r="B80" t="s">
        <v>4422</v>
      </c>
      <c r="C80" t="s">
        <v>6028</v>
      </c>
      <c r="D80" t="s">
        <v>7579</v>
      </c>
      <c r="E80" t="s">
        <v>4340</v>
      </c>
      <c r="G80" t="s">
        <v>5021</v>
      </c>
      <c r="H80">
        <v>1</v>
      </c>
      <c r="I80" s="5" t="s">
        <v>4312</v>
      </c>
      <c r="J80" t="s">
        <v>6148</v>
      </c>
    </row>
    <row r="81" spans="1:10" x14ac:dyDescent="0.25">
      <c r="A81" s="8" t="s">
        <v>8430</v>
      </c>
      <c r="D81" t="s">
        <v>4340</v>
      </c>
      <c r="E81" t="s">
        <v>4340</v>
      </c>
      <c r="H81">
        <v>0</v>
      </c>
      <c r="I81" s="5">
        <v>45199</v>
      </c>
      <c r="J81" t="s">
        <v>6274</v>
      </c>
    </row>
    <row r="82" spans="1:10" x14ac:dyDescent="0.25">
      <c r="A82" s="8" t="s">
        <v>8604</v>
      </c>
      <c r="B82" t="s">
        <v>4423</v>
      </c>
      <c r="D82" t="s">
        <v>7580</v>
      </c>
      <c r="E82" t="s">
        <v>4340</v>
      </c>
      <c r="H82">
        <v>1</v>
      </c>
      <c r="I82" s="5" t="s">
        <v>4312</v>
      </c>
      <c r="J82" t="s">
        <v>6655</v>
      </c>
    </row>
    <row r="83" spans="1:10" x14ac:dyDescent="0.25">
      <c r="A83" s="8" t="s">
        <v>8222</v>
      </c>
      <c r="B83" t="s">
        <v>4621</v>
      </c>
      <c r="D83" t="s">
        <v>8068</v>
      </c>
      <c r="E83" t="s">
        <v>7898</v>
      </c>
      <c r="H83">
        <v>1</v>
      </c>
      <c r="I83" s="5" t="s">
        <v>4312</v>
      </c>
      <c r="J83" t="s">
        <v>6656</v>
      </c>
    </row>
    <row r="84" spans="1:10" x14ac:dyDescent="0.25">
      <c r="A84" s="8" t="s">
        <v>8246</v>
      </c>
      <c r="B84" t="s">
        <v>4424</v>
      </c>
      <c r="D84" t="s">
        <v>7742</v>
      </c>
      <c r="E84" t="s">
        <v>4340</v>
      </c>
      <c r="H84">
        <v>1</v>
      </c>
      <c r="I84" s="5" t="s">
        <v>4312</v>
      </c>
      <c r="J84" t="s">
        <v>6657</v>
      </c>
    </row>
    <row r="85" spans="1:10" x14ac:dyDescent="0.25">
      <c r="A85" s="8" t="s">
        <v>8474</v>
      </c>
      <c r="D85" t="s">
        <v>4340</v>
      </c>
      <c r="E85" t="s">
        <v>4340</v>
      </c>
      <c r="H85">
        <v>0</v>
      </c>
      <c r="I85" s="5">
        <v>44773</v>
      </c>
      <c r="J85" t="s">
        <v>6275</v>
      </c>
    </row>
    <row r="86" spans="1:10" x14ac:dyDescent="0.25">
      <c r="A86" s="8" t="s">
        <v>8684</v>
      </c>
      <c r="D86" t="s">
        <v>4340</v>
      </c>
      <c r="E86" t="s">
        <v>4340</v>
      </c>
      <c r="H86">
        <v>0</v>
      </c>
      <c r="I86" s="5">
        <v>44926</v>
      </c>
      <c r="J86" t="s">
        <v>6276</v>
      </c>
    </row>
    <row r="87" spans="1:10" x14ac:dyDescent="0.25">
      <c r="A87" s="8" t="s">
        <v>8450</v>
      </c>
      <c r="B87" t="s">
        <v>4425</v>
      </c>
      <c r="D87" t="s">
        <v>7581</v>
      </c>
      <c r="E87" t="s">
        <v>4340</v>
      </c>
      <c r="G87" t="s">
        <v>5022</v>
      </c>
      <c r="H87">
        <v>1</v>
      </c>
      <c r="I87" s="5" t="s">
        <v>4312</v>
      </c>
      <c r="J87" t="s">
        <v>6658</v>
      </c>
    </row>
    <row r="88" spans="1:10" x14ac:dyDescent="0.25">
      <c r="A88" s="8" t="s">
        <v>8540</v>
      </c>
      <c r="B88" t="s">
        <v>4426</v>
      </c>
      <c r="D88" t="s">
        <v>7582</v>
      </c>
      <c r="E88" t="s">
        <v>4340</v>
      </c>
      <c r="G88" t="s">
        <v>5023</v>
      </c>
      <c r="H88">
        <v>0</v>
      </c>
      <c r="I88" s="5">
        <v>45545</v>
      </c>
      <c r="J88" t="s">
        <v>6277</v>
      </c>
    </row>
    <row r="89" spans="1:10" x14ac:dyDescent="0.25">
      <c r="A89" s="8" t="s">
        <v>8220</v>
      </c>
      <c r="B89" t="s">
        <v>4427</v>
      </c>
      <c r="D89" t="s">
        <v>7583</v>
      </c>
      <c r="E89" t="s">
        <v>4340</v>
      </c>
      <c r="H89">
        <v>0</v>
      </c>
      <c r="I89" s="5">
        <v>45422</v>
      </c>
      <c r="J89" t="s">
        <v>6278</v>
      </c>
    </row>
    <row r="90" spans="1:10" x14ac:dyDescent="0.25">
      <c r="A90" s="8" t="s">
        <v>8352</v>
      </c>
      <c r="B90" t="s">
        <v>4429</v>
      </c>
      <c r="C90" t="s">
        <v>6029</v>
      </c>
      <c r="D90" t="s">
        <v>7584</v>
      </c>
      <c r="E90" t="s">
        <v>4340</v>
      </c>
      <c r="G90" t="s">
        <v>5024</v>
      </c>
      <c r="H90">
        <v>1</v>
      </c>
      <c r="I90" s="5" t="s">
        <v>4312</v>
      </c>
      <c r="J90" t="s">
        <v>6149</v>
      </c>
    </row>
    <row r="91" spans="1:10" x14ac:dyDescent="0.25">
      <c r="A91" s="8" t="s">
        <v>8493</v>
      </c>
      <c r="D91" t="s">
        <v>4340</v>
      </c>
      <c r="E91" t="s">
        <v>4340</v>
      </c>
      <c r="H91">
        <v>0</v>
      </c>
      <c r="I91" s="5">
        <v>44742</v>
      </c>
      <c r="J91" t="s">
        <v>6279</v>
      </c>
    </row>
    <row r="92" spans="1:10" x14ac:dyDescent="0.25">
      <c r="A92" s="8" t="s">
        <v>8862</v>
      </c>
      <c r="D92" t="s">
        <v>4340</v>
      </c>
      <c r="E92" t="s">
        <v>4340</v>
      </c>
      <c r="H92">
        <v>0</v>
      </c>
      <c r="I92" s="5">
        <v>44712</v>
      </c>
      <c r="J92" t="s">
        <v>6280</v>
      </c>
    </row>
    <row r="93" spans="1:10" x14ac:dyDescent="0.25">
      <c r="A93" s="8" t="s">
        <v>8324</v>
      </c>
      <c r="B93" t="s">
        <v>4430</v>
      </c>
      <c r="D93" t="s">
        <v>7585</v>
      </c>
      <c r="E93" t="s">
        <v>4340</v>
      </c>
      <c r="H93">
        <v>0</v>
      </c>
      <c r="I93" s="5">
        <v>45657</v>
      </c>
      <c r="J93" t="s">
        <v>6281</v>
      </c>
    </row>
    <row r="94" spans="1:10" x14ac:dyDescent="0.25">
      <c r="A94" s="8" t="s">
        <v>8351</v>
      </c>
      <c r="D94" t="s">
        <v>4340</v>
      </c>
      <c r="E94" t="s">
        <v>4340</v>
      </c>
      <c r="H94">
        <v>0</v>
      </c>
      <c r="I94" s="5">
        <v>44708</v>
      </c>
      <c r="J94" t="s">
        <v>6282</v>
      </c>
    </row>
    <row r="95" spans="1:10" x14ac:dyDescent="0.25">
      <c r="A95" s="8" t="s">
        <v>8791</v>
      </c>
      <c r="B95" t="s">
        <v>4431</v>
      </c>
      <c r="D95" t="s">
        <v>7586</v>
      </c>
      <c r="E95" t="s">
        <v>4340</v>
      </c>
      <c r="G95" t="s">
        <v>5025</v>
      </c>
      <c r="H95">
        <v>1</v>
      </c>
      <c r="I95" s="5" t="s">
        <v>4312</v>
      </c>
      <c r="J95" t="s">
        <v>6659</v>
      </c>
    </row>
    <row r="96" spans="1:10" x14ac:dyDescent="0.25">
      <c r="A96" s="8" t="s">
        <v>8290</v>
      </c>
      <c r="B96" t="s">
        <v>4432</v>
      </c>
      <c r="D96" t="s">
        <v>7587</v>
      </c>
      <c r="E96" t="s">
        <v>4340</v>
      </c>
      <c r="G96" t="s">
        <v>5026</v>
      </c>
      <c r="H96">
        <v>1</v>
      </c>
      <c r="I96" s="5" t="s">
        <v>4312</v>
      </c>
      <c r="J96" t="s">
        <v>6660</v>
      </c>
    </row>
    <row r="97" spans="1:10" x14ac:dyDescent="0.25">
      <c r="A97" s="8" t="s">
        <v>8402</v>
      </c>
      <c r="B97" t="s">
        <v>4433</v>
      </c>
      <c r="D97" t="s">
        <v>7588</v>
      </c>
      <c r="E97" t="s">
        <v>4340</v>
      </c>
      <c r="H97">
        <v>1</v>
      </c>
      <c r="I97" s="5" t="s">
        <v>4312</v>
      </c>
      <c r="J97" t="s">
        <v>6661</v>
      </c>
    </row>
    <row r="98" spans="1:10" x14ac:dyDescent="0.25">
      <c r="A98" s="8" t="s">
        <v>8985</v>
      </c>
      <c r="B98" t="s">
        <v>4434</v>
      </c>
      <c r="D98" t="s">
        <v>7589</v>
      </c>
      <c r="E98" t="s">
        <v>4340</v>
      </c>
      <c r="H98">
        <v>1</v>
      </c>
      <c r="I98" s="5" t="s">
        <v>4312</v>
      </c>
      <c r="J98" t="s">
        <v>6662</v>
      </c>
    </row>
    <row r="99" spans="1:10" x14ac:dyDescent="0.25">
      <c r="A99" s="8" t="s">
        <v>8336</v>
      </c>
      <c r="B99" t="s">
        <v>4435</v>
      </c>
      <c r="D99" t="s">
        <v>7590</v>
      </c>
      <c r="E99" t="s">
        <v>4340</v>
      </c>
      <c r="H99">
        <v>1</v>
      </c>
      <c r="I99" s="5" t="s">
        <v>4312</v>
      </c>
      <c r="J99" t="s">
        <v>6663</v>
      </c>
    </row>
    <row r="100" spans="1:10" x14ac:dyDescent="0.25">
      <c r="A100" s="8" t="s">
        <v>8964</v>
      </c>
      <c r="B100" t="s">
        <v>4436</v>
      </c>
      <c r="C100" t="s">
        <v>6030</v>
      </c>
      <c r="D100" t="s">
        <v>7591</v>
      </c>
      <c r="E100" t="s">
        <v>4340</v>
      </c>
      <c r="G100" t="s">
        <v>5027</v>
      </c>
      <c r="H100">
        <v>1</v>
      </c>
      <c r="I100" s="5" t="s">
        <v>4312</v>
      </c>
      <c r="J100" t="s">
        <v>6150</v>
      </c>
    </row>
    <row r="101" spans="1:10" x14ac:dyDescent="0.25">
      <c r="A101" s="8" t="s">
        <v>8477</v>
      </c>
      <c r="B101" t="s">
        <v>4437</v>
      </c>
      <c r="D101" t="s">
        <v>7592</v>
      </c>
      <c r="E101" t="s">
        <v>4340</v>
      </c>
      <c r="H101">
        <v>0</v>
      </c>
      <c r="I101" s="5">
        <v>45429</v>
      </c>
      <c r="J101" t="s">
        <v>6283</v>
      </c>
    </row>
    <row r="102" spans="1:10" x14ac:dyDescent="0.25">
      <c r="A102" s="8" t="s">
        <v>8526</v>
      </c>
      <c r="B102" t="s">
        <v>4438</v>
      </c>
      <c r="C102" t="s">
        <v>6031</v>
      </c>
      <c r="D102" t="s">
        <v>7593</v>
      </c>
      <c r="E102" t="s">
        <v>4340</v>
      </c>
      <c r="G102" t="s">
        <v>5028</v>
      </c>
      <c r="H102">
        <v>1</v>
      </c>
      <c r="I102" s="5" t="s">
        <v>4312</v>
      </c>
      <c r="J102" t="s">
        <v>6151</v>
      </c>
    </row>
    <row r="103" spans="1:10" x14ac:dyDescent="0.25">
      <c r="A103" s="8" t="s">
        <v>8306</v>
      </c>
      <c r="D103" t="s">
        <v>4340</v>
      </c>
      <c r="E103" t="s">
        <v>4340</v>
      </c>
      <c r="H103">
        <v>0</v>
      </c>
      <c r="I103" s="5">
        <v>45023</v>
      </c>
      <c r="J103" t="s">
        <v>6284</v>
      </c>
    </row>
    <row r="104" spans="1:10" x14ac:dyDescent="0.25">
      <c r="A104" s="8" t="s">
        <v>8330</v>
      </c>
      <c r="D104" t="s">
        <v>4340</v>
      </c>
      <c r="E104" t="s">
        <v>4340</v>
      </c>
      <c r="H104">
        <v>0</v>
      </c>
      <c r="I104" s="5">
        <v>44742</v>
      </c>
      <c r="J104" t="s">
        <v>6285</v>
      </c>
    </row>
    <row r="105" spans="1:10" x14ac:dyDescent="0.25">
      <c r="A105" s="8" t="s">
        <v>8239</v>
      </c>
      <c r="D105" t="s">
        <v>7726</v>
      </c>
      <c r="E105" t="s">
        <v>4340</v>
      </c>
      <c r="H105">
        <v>0</v>
      </c>
      <c r="I105" s="5">
        <v>45243</v>
      </c>
      <c r="J105" t="s">
        <v>6286</v>
      </c>
    </row>
    <row r="106" spans="1:10" x14ac:dyDescent="0.25">
      <c r="A106" s="8" t="s">
        <v>8697</v>
      </c>
      <c r="B106" t="s">
        <v>4439</v>
      </c>
      <c r="C106" t="s">
        <v>6032</v>
      </c>
      <c r="D106" t="s">
        <v>7594</v>
      </c>
      <c r="E106" t="s">
        <v>4340</v>
      </c>
      <c r="G106" t="s">
        <v>5029</v>
      </c>
      <c r="H106">
        <v>1</v>
      </c>
      <c r="I106" s="5" t="s">
        <v>4312</v>
      </c>
      <c r="J106" t="s">
        <v>6152</v>
      </c>
    </row>
    <row r="107" spans="1:10" x14ac:dyDescent="0.25">
      <c r="A107" s="8" t="s">
        <v>8462</v>
      </c>
      <c r="B107" t="s">
        <v>4440</v>
      </c>
      <c r="C107" t="s">
        <v>6033</v>
      </c>
      <c r="D107" t="s">
        <v>8127</v>
      </c>
      <c r="E107" t="s">
        <v>4340</v>
      </c>
      <c r="G107" t="s">
        <v>5030</v>
      </c>
      <c r="H107">
        <v>1</v>
      </c>
      <c r="I107" s="5" t="s">
        <v>4312</v>
      </c>
      <c r="J107" t="s">
        <v>6153</v>
      </c>
    </row>
    <row r="108" spans="1:10" x14ac:dyDescent="0.25">
      <c r="A108" s="8" t="s">
        <v>8255</v>
      </c>
      <c r="B108" t="s">
        <v>4441</v>
      </c>
      <c r="D108" t="s">
        <v>7595</v>
      </c>
      <c r="E108" t="s">
        <v>4340</v>
      </c>
      <c r="G108" t="s">
        <v>5031</v>
      </c>
      <c r="H108">
        <v>1</v>
      </c>
      <c r="I108" s="5" t="s">
        <v>4312</v>
      </c>
      <c r="J108" t="s">
        <v>6664</v>
      </c>
    </row>
    <row r="109" spans="1:10" x14ac:dyDescent="0.25">
      <c r="A109" s="8" t="s">
        <v>8344</v>
      </c>
      <c r="B109" t="s">
        <v>4443</v>
      </c>
      <c r="D109" t="s">
        <v>7596</v>
      </c>
      <c r="E109" t="s">
        <v>4340</v>
      </c>
      <c r="H109">
        <v>1</v>
      </c>
      <c r="I109" s="5" t="s">
        <v>4312</v>
      </c>
      <c r="J109" t="s">
        <v>6665</v>
      </c>
    </row>
    <row r="110" spans="1:10" x14ac:dyDescent="0.25">
      <c r="A110" s="8" t="s">
        <v>8382</v>
      </c>
      <c r="B110" t="s">
        <v>4444</v>
      </c>
      <c r="D110" t="s">
        <v>7597</v>
      </c>
      <c r="E110" t="s">
        <v>4340</v>
      </c>
      <c r="H110">
        <v>1</v>
      </c>
      <c r="I110" s="5" t="s">
        <v>4312</v>
      </c>
      <c r="J110" t="s">
        <v>6666</v>
      </c>
    </row>
    <row r="111" spans="1:10" x14ac:dyDescent="0.25">
      <c r="A111" s="8" t="s">
        <v>8446</v>
      </c>
      <c r="D111" t="s">
        <v>4340</v>
      </c>
      <c r="E111" t="s">
        <v>4340</v>
      </c>
      <c r="H111">
        <v>0</v>
      </c>
      <c r="I111" s="5">
        <v>45090</v>
      </c>
      <c r="J111" t="s">
        <v>6287</v>
      </c>
    </row>
    <row r="112" spans="1:10" x14ac:dyDescent="0.25">
      <c r="A112" s="8" t="s">
        <v>8226</v>
      </c>
      <c r="B112" t="s">
        <v>4445</v>
      </c>
      <c r="D112" t="s">
        <v>8033</v>
      </c>
      <c r="E112" t="s">
        <v>7598</v>
      </c>
      <c r="H112">
        <v>1</v>
      </c>
      <c r="I112" s="5" t="s">
        <v>4312</v>
      </c>
      <c r="J112" t="s">
        <v>6667</v>
      </c>
    </row>
    <row r="113" spans="1:10" x14ac:dyDescent="0.25">
      <c r="A113" s="8" t="s">
        <v>8371</v>
      </c>
      <c r="D113" t="s">
        <v>4340</v>
      </c>
      <c r="E113" t="s">
        <v>4340</v>
      </c>
      <c r="H113">
        <v>0</v>
      </c>
      <c r="I113" s="5">
        <v>44687</v>
      </c>
      <c r="J113" t="s">
        <v>6288</v>
      </c>
    </row>
    <row r="114" spans="1:10" x14ac:dyDescent="0.25">
      <c r="A114" s="8" t="s">
        <v>8677</v>
      </c>
      <c r="D114" t="s">
        <v>4340</v>
      </c>
      <c r="E114" t="s">
        <v>4340</v>
      </c>
      <c r="H114">
        <v>0</v>
      </c>
      <c r="I114" s="5">
        <v>44757</v>
      </c>
      <c r="J114" t="s">
        <v>6289</v>
      </c>
    </row>
    <row r="115" spans="1:10" x14ac:dyDescent="0.25">
      <c r="A115" s="8" t="s">
        <v>8373</v>
      </c>
      <c r="D115" t="s">
        <v>7599</v>
      </c>
      <c r="E115" t="s">
        <v>4340</v>
      </c>
      <c r="H115">
        <v>0</v>
      </c>
      <c r="I115" s="5">
        <v>45291</v>
      </c>
      <c r="J115" t="s">
        <v>6290</v>
      </c>
    </row>
    <row r="116" spans="1:10" x14ac:dyDescent="0.25">
      <c r="A116" s="8" t="s">
        <v>8978</v>
      </c>
      <c r="B116" t="s">
        <v>4446</v>
      </c>
      <c r="C116" t="s">
        <v>6034</v>
      </c>
      <c r="D116" t="s">
        <v>7600</v>
      </c>
      <c r="E116" t="s">
        <v>4340</v>
      </c>
      <c r="G116" t="s">
        <v>5032</v>
      </c>
      <c r="H116">
        <v>1</v>
      </c>
      <c r="I116" s="5" t="s">
        <v>4312</v>
      </c>
      <c r="J116" t="s">
        <v>6154</v>
      </c>
    </row>
    <row r="117" spans="1:10" x14ac:dyDescent="0.25">
      <c r="A117" s="8" t="s">
        <v>8355</v>
      </c>
      <c r="D117" t="s">
        <v>4340</v>
      </c>
      <c r="E117" t="s">
        <v>4340</v>
      </c>
      <c r="H117">
        <v>0</v>
      </c>
      <c r="I117" s="5">
        <v>44675</v>
      </c>
      <c r="J117" t="s">
        <v>6291</v>
      </c>
    </row>
    <row r="118" spans="1:10" x14ac:dyDescent="0.25">
      <c r="A118" s="8" t="s">
        <v>8701</v>
      </c>
      <c r="D118" t="s">
        <v>4340</v>
      </c>
      <c r="E118" t="s">
        <v>4340</v>
      </c>
      <c r="H118">
        <v>0</v>
      </c>
      <c r="I118" s="5">
        <v>44985</v>
      </c>
      <c r="J118" t="s">
        <v>6292</v>
      </c>
    </row>
    <row r="119" spans="1:10" x14ac:dyDescent="0.25">
      <c r="A119" s="8" t="s">
        <v>8763</v>
      </c>
      <c r="B119" t="s">
        <v>4447</v>
      </c>
      <c r="D119" t="s">
        <v>7944</v>
      </c>
      <c r="E119" t="s">
        <v>7601</v>
      </c>
      <c r="H119">
        <v>1</v>
      </c>
      <c r="I119" s="5" t="s">
        <v>4312</v>
      </c>
      <c r="J119" t="s">
        <v>6668</v>
      </c>
    </row>
    <row r="120" spans="1:10" x14ac:dyDescent="0.25">
      <c r="A120" s="8" t="s">
        <v>8764</v>
      </c>
      <c r="B120" t="s">
        <v>4448</v>
      </c>
      <c r="D120" t="s">
        <v>7602</v>
      </c>
      <c r="E120" t="s">
        <v>4340</v>
      </c>
      <c r="H120">
        <v>0</v>
      </c>
      <c r="I120" s="5">
        <v>45672</v>
      </c>
      <c r="J120" t="s">
        <v>6293</v>
      </c>
    </row>
    <row r="121" spans="1:10" x14ac:dyDescent="0.25">
      <c r="A121" s="8" t="s">
        <v>8578</v>
      </c>
      <c r="B121" t="s">
        <v>4449</v>
      </c>
      <c r="D121" t="s">
        <v>7603</v>
      </c>
      <c r="E121" t="s">
        <v>4340</v>
      </c>
      <c r="H121">
        <v>0</v>
      </c>
      <c r="I121" s="5">
        <v>45869</v>
      </c>
      <c r="J121" t="s">
        <v>6294</v>
      </c>
    </row>
    <row r="122" spans="1:10" x14ac:dyDescent="0.25">
      <c r="A122" s="8" t="s">
        <v>8207</v>
      </c>
      <c r="B122" t="s">
        <v>4450</v>
      </c>
      <c r="D122">
        <v>0</v>
      </c>
      <c r="E122" t="s">
        <v>7707</v>
      </c>
      <c r="H122">
        <v>0</v>
      </c>
      <c r="I122" s="5">
        <v>45592</v>
      </c>
      <c r="J122" t="s">
        <v>6295</v>
      </c>
    </row>
    <row r="123" spans="1:10" x14ac:dyDescent="0.25">
      <c r="A123" s="8" t="s">
        <v>8854</v>
      </c>
      <c r="B123" t="s">
        <v>4451</v>
      </c>
      <c r="D123">
        <v>0</v>
      </c>
      <c r="E123" t="s">
        <v>7693</v>
      </c>
      <c r="H123">
        <v>0</v>
      </c>
      <c r="I123" s="5">
        <v>45776</v>
      </c>
      <c r="J123" t="s">
        <v>6296</v>
      </c>
    </row>
    <row r="124" spans="1:10" x14ac:dyDescent="0.25">
      <c r="A124" s="8" t="s">
        <v>8459</v>
      </c>
      <c r="D124" t="s">
        <v>7604</v>
      </c>
      <c r="E124" t="s">
        <v>4340</v>
      </c>
      <c r="H124">
        <v>0</v>
      </c>
      <c r="I124" s="5">
        <v>45260</v>
      </c>
      <c r="J124" t="s">
        <v>6297</v>
      </c>
    </row>
    <row r="125" spans="1:10" x14ac:dyDescent="0.25">
      <c r="A125" s="8" t="s">
        <v>8264</v>
      </c>
      <c r="D125" t="s">
        <v>4340</v>
      </c>
      <c r="E125" t="s">
        <v>4340</v>
      </c>
      <c r="H125">
        <v>0</v>
      </c>
      <c r="I125" s="5">
        <v>45139</v>
      </c>
      <c r="J125" t="s">
        <v>6298</v>
      </c>
    </row>
    <row r="126" spans="1:10" x14ac:dyDescent="0.25">
      <c r="A126" s="8" t="s">
        <v>8568</v>
      </c>
      <c r="B126" t="s">
        <v>4453</v>
      </c>
      <c r="D126" t="s">
        <v>7605</v>
      </c>
      <c r="E126" t="s">
        <v>4340</v>
      </c>
      <c r="H126">
        <v>1</v>
      </c>
      <c r="I126" s="5" t="s">
        <v>4312</v>
      </c>
      <c r="J126" t="s">
        <v>6669</v>
      </c>
    </row>
    <row r="127" spans="1:10" x14ac:dyDescent="0.25">
      <c r="A127" s="8" t="s">
        <v>8472</v>
      </c>
      <c r="D127" t="s">
        <v>4340</v>
      </c>
      <c r="E127" t="s">
        <v>4340</v>
      </c>
      <c r="H127">
        <v>0</v>
      </c>
      <c r="I127" s="5">
        <v>45079</v>
      </c>
      <c r="J127" t="s">
        <v>6299</v>
      </c>
    </row>
    <row r="128" spans="1:10" x14ac:dyDescent="0.25">
      <c r="A128" s="8" t="s">
        <v>8719</v>
      </c>
      <c r="B128" t="s">
        <v>4454</v>
      </c>
      <c r="D128" t="s">
        <v>7743</v>
      </c>
      <c r="E128" t="s">
        <v>4340</v>
      </c>
      <c r="H128">
        <v>0</v>
      </c>
      <c r="I128" s="5">
        <v>45565</v>
      </c>
      <c r="J128" t="s">
        <v>6300</v>
      </c>
    </row>
    <row r="129" spans="1:10" x14ac:dyDescent="0.25">
      <c r="A129" s="8" t="s">
        <v>8977</v>
      </c>
      <c r="B129" t="s">
        <v>4455</v>
      </c>
      <c r="D129" t="s">
        <v>7606</v>
      </c>
      <c r="E129" t="s">
        <v>4340</v>
      </c>
      <c r="H129">
        <v>1</v>
      </c>
      <c r="I129" s="5" t="s">
        <v>4312</v>
      </c>
      <c r="J129" t="s">
        <v>6670</v>
      </c>
    </row>
    <row r="130" spans="1:10" x14ac:dyDescent="0.25">
      <c r="A130" s="8" t="s">
        <v>8867</v>
      </c>
      <c r="B130" t="s">
        <v>4456</v>
      </c>
      <c r="D130" t="s">
        <v>7987</v>
      </c>
      <c r="E130" t="s">
        <v>7607</v>
      </c>
      <c r="H130">
        <v>1</v>
      </c>
      <c r="I130" s="5" t="s">
        <v>4312</v>
      </c>
      <c r="J130" t="s">
        <v>6671</v>
      </c>
    </row>
    <row r="131" spans="1:10" x14ac:dyDescent="0.25">
      <c r="A131" s="8" t="s">
        <v>8736</v>
      </c>
      <c r="B131" t="s">
        <v>4457</v>
      </c>
      <c r="D131" t="s">
        <v>7608</v>
      </c>
      <c r="E131" t="s">
        <v>4340</v>
      </c>
      <c r="H131">
        <v>1</v>
      </c>
      <c r="I131" s="5" t="s">
        <v>4312</v>
      </c>
      <c r="J131" t="s">
        <v>6672</v>
      </c>
    </row>
    <row r="132" spans="1:10" x14ac:dyDescent="0.25">
      <c r="A132" s="8" t="s">
        <v>8404</v>
      </c>
      <c r="B132" t="s">
        <v>4458</v>
      </c>
      <c r="C132" t="s">
        <v>6035</v>
      </c>
      <c r="D132" t="s">
        <v>7609</v>
      </c>
      <c r="E132" t="s">
        <v>4340</v>
      </c>
      <c r="G132" t="s">
        <v>5033</v>
      </c>
      <c r="H132">
        <v>1</v>
      </c>
      <c r="I132" s="5" t="s">
        <v>4312</v>
      </c>
      <c r="J132" t="s">
        <v>6155</v>
      </c>
    </row>
    <row r="133" spans="1:10" x14ac:dyDescent="0.25">
      <c r="A133" s="8" t="s">
        <v>8808</v>
      </c>
      <c r="D133" t="s">
        <v>4340</v>
      </c>
      <c r="E133" t="s">
        <v>4340</v>
      </c>
      <c r="H133">
        <v>0</v>
      </c>
      <c r="I133" s="5">
        <v>44773</v>
      </c>
      <c r="J133" t="s">
        <v>6301</v>
      </c>
    </row>
    <row r="134" spans="1:10" x14ac:dyDescent="0.25">
      <c r="A134" s="8" t="s">
        <v>8946</v>
      </c>
      <c r="B134" t="s">
        <v>4459</v>
      </c>
      <c r="D134" t="s">
        <v>7721</v>
      </c>
      <c r="E134" t="s">
        <v>4340</v>
      </c>
      <c r="H134">
        <v>0</v>
      </c>
      <c r="I134" s="5">
        <v>45107</v>
      </c>
      <c r="J134" t="s">
        <v>6302</v>
      </c>
    </row>
    <row r="135" spans="1:10" x14ac:dyDescent="0.25">
      <c r="A135" s="8" t="s">
        <v>8595</v>
      </c>
      <c r="D135" t="s">
        <v>4340</v>
      </c>
      <c r="E135" t="s">
        <v>4340</v>
      </c>
      <c r="H135">
        <v>0</v>
      </c>
      <c r="I135" s="5">
        <v>44773</v>
      </c>
      <c r="J135" t="s">
        <v>6303</v>
      </c>
    </row>
    <row r="136" spans="1:10" x14ac:dyDescent="0.25">
      <c r="A136" s="8" t="s">
        <v>8270</v>
      </c>
      <c r="B136" t="s">
        <v>4460</v>
      </c>
      <c r="D136" t="s">
        <v>7610</v>
      </c>
      <c r="E136" t="s">
        <v>4340</v>
      </c>
      <c r="G136" t="s">
        <v>5034</v>
      </c>
      <c r="H136">
        <v>1</v>
      </c>
      <c r="I136" s="5" t="s">
        <v>4312</v>
      </c>
      <c r="J136" t="s">
        <v>6673</v>
      </c>
    </row>
    <row r="137" spans="1:10" x14ac:dyDescent="0.25">
      <c r="A137" s="8" t="s">
        <v>8267</v>
      </c>
      <c r="B137" t="s">
        <v>4461</v>
      </c>
      <c r="D137" t="s">
        <v>7611</v>
      </c>
      <c r="E137" t="s">
        <v>4340</v>
      </c>
      <c r="H137">
        <v>1</v>
      </c>
      <c r="I137" s="5" t="s">
        <v>4312</v>
      </c>
      <c r="J137" t="s">
        <v>6674</v>
      </c>
    </row>
    <row r="138" spans="1:10" x14ac:dyDescent="0.25">
      <c r="A138" s="8" t="s">
        <v>8924</v>
      </c>
      <c r="D138" t="s">
        <v>4340</v>
      </c>
      <c r="E138" t="s">
        <v>4340</v>
      </c>
      <c r="H138">
        <v>0</v>
      </c>
      <c r="I138" s="5">
        <v>45162</v>
      </c>
      <c r="J138" t="s">
        <v>6304</v>
      </c>
    </row>
    <row r="139" spans="1:10" x14ac:dyDescent="0.25">
      <c r="A139" s="8" t="s">
        <v>8276</v>
      </c>
      <c r="B139" t="s">
        <v>4405</v>
      </c>
      <c r="D139" t="s">
        <v>7741</v>
      </c>
      <c r="E139" t="s">
        <v>4340</v>
      </c>
      <c r="H139">
        <v>1</v>
      </c>
      <c r="I139" s="5" t="s">
        <v>4312</v>
      </c>
      <c r="J139" t="s">
        <v>6675</v>
      </c>
    </row>
    <row r="140" spans="1:10" x14ac:dyDescent="0.25">
      <c r="A140" s="8" t="s">
        <v>8559</v>
      </c>
      <c r="B140" t="s">
        <v>4462</v>
      </c>
      <c r="C140" t="s">
        <v>6036</v>
      </c>
      <c r="D140" t="s">
        <v>7612</v>
      </c>
      <c r="E140" t="s">
        <v>4340</v>
      </c>
      <c r="G140" t="s">
        <v>5035</v>
      </c>
      <c r="H140">
        <v>1</v>
      </c>
      <c r="I140" s="5" t="s">
        <v>4312</v>
      </c>
      <c r="J140" t="s">
        <v>6156</v>
      </c>
    </row>
    <row r="141" spans="1:10" x14ac:dyDescent="0.25">
      <c r="A141" s="8" t="s">
        <v>8932</v>
      </c>
      <c r="B141" t="s">
        <v>4463</v>
      </c>
      <c r="D141" t="s">
        <v>7667</v>
      </c>
      <c r="E141" t="s">
        <v>4340</v>
      </c>
      <c r="G141" t="s">
        <v>5057</v>
      </c>
      <c r="H141">
        <v>0</v>
      </c>
      <c r="I141" s="5">
        <v>45199</v>
      </c>
      <c r="J141" t="s">
        <v>6305</v>
      </c>
    </row>
    <row r="142" spans="1:10" x14ac:dyDescent="0.25">
      <c r="A142" s="8" t="s">
        <v>8961</v>
      </c>
      <c r="D142" t="s">
        <v>4340</v>
      </c>
      <c r="E142" t="s">
        <v>4340</v>
      </c>
      <c r="H142">
        <v>0</v>
      </c>
      <c r="I142" s="5">
        <v>45107</v>
      </c>
      <c r="J142" t="s">
        <v>6306</v>
      </c>
    </row>
    <row r="143" spans="1:10" x14ac:dyDescent="0.25">
      <c r="A143" s="8" t="s">
        <v>8773</v>
      </c>
      <c r="D143" t="s">
        <v>4340</v>
      </c>
      <c r="E143" t="s">
        <v>4340</v>
      </c>
      <c r="H143">
        <v>0</v>
      </c>
      <c r="I143" s="5">
        <v>44742</v>
      </c>
      <c r="J143" t="s">
        <v>6307</v>
      </c>
    </row>
    <row r="144" spans="1:10" x14ac:dyDescent="0.25">
      <c r="A144" s="8" t="s">
        <v>8492</v>
      </c>
      <c r="B144" t="s">
        <v>4464</v>
      </c>
      <c r="D144" t="s">
        <v>7613</v>
      </c>
      <c r="E144" t="s">
        <v>4340</v>
      </c>
      <c r="G144" t="s">
        <v>5036</v>
      </c>
      <c r="H144">
        <v>0</v>
      </c>
      <c r="I144" s="5">
        <v>45832</v>
      </c>
      <c r="J144" t="s">
        <v>6308</v>
      </c>
    </row>
    <row r="145" spans="1:10" x14ac:dyDescent="0.25">
      <c r="A145" s="8" t="s">
        <v>8721</v>
      </c>
      <c r="D145" t="s">
        <v>4340</v>
      </c>
      <c r="E145" t="s">
        <v>4340</v>
      </c>
      <c r="H145">
        <v>0</v>
      </c>
      <c r="I145" s="5">
        <v>44905</v>
      </c>
      <c r="J145" t="s">
        <v>6309</v>
      </c>
    </row>
    <row r="146" spans="1:10" x14ac:dyDescent="0.25">
      <c r="A146" s="8" t="s">
        <v>8376</v>
      </c>
      <c r="D146" t="s">
        <v>4340</v>
      </c>
      <c r="E146" t="s">
        <v>4340</v>
      </c>
      <c r="H146">
        <v>0</v>
      </c>
      <c r="I146" s="5">
        <v>44858</v>
      </c>
      <c r="J146" t="s">
        <v>6310</v>
      </c>
    </row>
    <row r="147" spans="1:10" x14ac:dyDescent="0.25">
      <c r="A147" s="8" t="s">
        <v>8832</v>
      </c>
      <c r="B147" t="s">
        <v>4465</v>
      </c>
      <c r="D147">
        <v>0</v>
      </c>
      <c r="E147" t="s">
        <v>7614</v>
      </c>
      <c r="H147">
        <v>1</v>
      </c>
      <c r="I147" s="5" t="s">
        <v>4312</v>
      </c>
      <c r="J147" t="s">
        <v>6676</v>
      </c>
    </row>
    <row r="148" spans="1:10" x14ac:dyDescent="0.25">
      <c r="A148" s="8" t="s">
        <v>8393</v>
      </c>
      <c r="B148" t="s">
        <v>4428</v>
      </c>
      <c r="D148" t="s">
        <v>7918</v>
      </c>
      <c r="E148" t="s">
        <v>4340</v>
      </c>
      <c r="H148">
        <v>1</v>
      </c>
      <c r="I148" s="5" t="s">
        <v>4312</v>
      </c>
      <c r="J148" t="s">
        <v>6677</v>
      </c>
    </row>
    <row r="149" spans="1:10" x14ac:dyDescent="0.25">
      <c r="A149" s="8" t="s">
        <v>8445</v>
      </c>
      <c r="C149" t="s">
        <v>4340</v>
      </c>
      <c r="D149" t="s">
        <v>7705</v>
      </c>
      <c r="E149" t="s">
        <v>4340</v>
      </c>
      <c r="H149">
        <v>0</v>
      </c>
      <c r="I149" s="5">
        <v>45351</v>
      </c>
      <c r="J149" t="s">
        <v>6091</v>
      </c>
    </row>
    <row r="150" spans="1:10" x14ac:dyDescent="0.25">
      <c r="A150" s="8" t="s">
        <v>8877</v>
      </c>
      <c r="D150" t="s">
        <v>4340</v>
      </c>
      <c r="E150" t="s">
        <v>4340</v>
      </c>
      <c r="H150">
        <v>0</v>
      </c>
      <c r="I150" s="5">
        <v>45093</v>
      </c>
      <c r="J150" t="s">
        <v>6311</v>
      </c>
    </row>
    <row r="151" spans="1:10" x14ac:dyDescent="0.25">
      <c r="A151" s="8" t="s">
        <v>8594</v>
      </c>
      <c r="B151" t="s">
        <v>4467</v>
      </c>
      <c r="D151" t="s">
        <v>7756</v>
      </c>
      <c r="E151" t="s">
        <v>4340</v>
      </c>
      <c r="H151">
        <v>1</v>
      </c>
      <c r="I151" s="5" t="s">
        <v>4312</v>
      </c>
      <c r="J151" t="s">
        <v>6678</v>
      </c>
    </row>
    <row r="152" spans="1:10" x14ac:dyDescent="0.25">
      <c r="A152" s="8" t="s">
        <v>8561</v>
      </c>
      <c r="D152" t="s">
        <v>4340</v>
      </c>
      <c r="E152" t="s">
        <v>4340</v>
      </c>
      <c r="H152">
        <v>0</v>
      </c>
      <c r="I152" s="5">
        <v>44764</v>
      </c>
      <c r="J152" t="s">
        <v>6312</v>
      </c>
    </row>
    <row r="153" spans="1:10" x14ac:dyDescent="0.25">
      <c r="A153" s="8" t="s">
        <v>8390</v>
      </c>
      <c r="B153" t="s">
        <v>4468</v>
      </c>
      <c r="D153" t="s">
        <v>7615</v>
      </c>
      <c r="E153" t="s">
        <v>4340</v>
      </c>
      <c r="H153">
        <v>1</v>
      </c>
      <c r="I153" s="5" t="s">
        <v>4312</v>
      </c>
      <c r="J153" t="s">
        <v>6679</v>
      </c>
    </row>
    <row r="154" spans="1:10" x14ac:dyDescent="0.25">
      <c r="A154" s="8" t="s">
        <v>8829</v>
      </c>
      <c r="D154" t="s">
        <v>4340</v>
      </c>
      <c r="E154" t="s">
        <v>4340</v>
      </c>
      <c r="H154">
        <v>0</v>
      </c>
      <c r="I154" s="5">
        <v>45077</v>
      </c>
      <c r="J154" t="s">
        <v>6313</v>
      </c>
    </row>
    <row r="155" spans="1:10" x14ac:dyDescent="0.25">
      <c r="A155" s="8" t="s">
        <v>8315</v>
      </c>
      <c r="B155" t="s">
        <v>4469</v>
      </c>
      <c r="D155" t="s">
        <v>7616</v>
      </c>
      <c r="E155" t="s">
        <v>4340</v>
      </c>
      <c r="H155">
        <v>1</v>
      </c>
      <c r="I155" s="5" t="s">
        <v>4312</v>
      </c>
      <c r="J155" t="s">
        <v>6680</v>
      </c>
    </row>
    <row r="156" spans="1:10" x14ac:dyDescent="0.25">
      <c r="A156" s="8" t="s">
        <v>8922</v>
      </c>
      <c r="D156" t="s">
        <v>7767</v>
      </c>
      <c r="E156" t="s">
        <v>4340</v>
      </c>
      <c r="H156">
        <v>0</v>
      </c>
      <c r="I156" s="5">
        <v>45204</v>
      </c>
      <c r="J156" t="s">
        <v>6314</v>
      </c>
    </row>
    <row r="157" spans="1:10" x14ac:dyDescent="0.25">
      <c r="A157" s="8" t="s">
        <v>8703</v>
      </c>
      <c r="D157" t="s">
        <v>4340</v>
      </c>
      <c r="E157" t="s">
        <v>4340</v>
      </c>
      <c r="H157">
        <v>0</v>
      </c>
      <c r="I157" s="5">
        <v>44742</v>
      </c>
      <c r="J157" t="s">
        <v>6315</v>
      </c>
    </row>
    <row r="158" spans="1:10" x14ac:dyDescent="0.25">
      <c r="A158" s="8" t="s">
        <v>8405</v>
      </c>
      <c r="B158" t="s">
        <v>4442</v>
      </c>
      <c r="D158" t="s">
        <v>7748</v>
      </c>
      <c r="E158" t="s">
        <v>4340</v>
      </c>
      <c r="H158">
        <v>1</v>
      </c>
      <c r="I158" s="5" t="s">
        <v>4312</v>
      </c>
      <c r="J158" t="s">
        <v>6681</v>
      </c>
    </row>
    <row r="159" spans="1:10" x14ac:dyDescent="0.25">
      <c r="A159" s="8" t="s">
        <v>8949</v>
      </c>
      <c r="D159" t="s">
        <v>7617</v>
      </c>
      <c r="E159" t="s">
        <v>4340</v>
      </c>
      <c r="H159">
        <v>0</v>
      </c>
      <c r="I159" s="5">
        <v>45212</v>
      </c>
      <c r="J159" t="s">
        <v>6316</v>
      </c>
    </row>
    <row r="160" spans="1:10" x14ac:dyDescent="0.25">
      <c r="A160" s="8" t="s">
        <v>8882</v>
      </c>
      <c r="B160" t="s">
        <v>4471</v>
      </c>
      <c r="C160" t="s">
        <v>6037</v>
      </c>
      <c r="D160" t="s">
        <v>7855</v>
      </c>
      <c r="E160" t="s">
        <v>4340</v>
      </c>
      <c r="G160" t="s">
        <v>5037</v>
      </c>
      <c r="H160">
        <v>0</v>
      </c>
      <c r="I160" s="5">
        <v>45434</v>
      </c>
      <c r="J160" t="s">
        <v>6092</v>
      </c>
    </row>
    <row r="161" spans="1:10" x14ac:dyDescent="0.25">
      <c r="A161" s="8" t="s">
        <v>8986</v>
      </c>
      <c r="B161" t="s">
        <v>4472</v>
      </c>
      <c r="D161" t="s">
        <v>7618</v>
      </c>
      <c r="E161" t="s">
        <v>4340</v>
      </c>
      <c r="G161" t="s">
        <v>5038</v>
      </c>
      <c r="H161">
        <v>1</v>
      </c>
      <c r="I161" s="5" t="s">
        <v>4312</v>
      </c>
      <c r="J161" t="s">
        <v>6682</v>
      </c>
    </row>
    <row r="162" spans="1:10" x14ac:dyDescent="0.25">
      <c r="A162" s="8" t="s">
        <v>8934</v>
      </c>
      <c r="B162" t="s">
        <v>4473</v>
      </c>
      <c r="C162" t="s">
        <v>6038</v>
      </c>
      <c r="D162" t="s">
        <v>7619</v>
      </c>
      <c r="E162" t="s">
        <v>4340</v>
      </c>
      <c r="G162" t="s">
        <v>5039</v>
      </c>
      <c r="H162">
        <v>1</v>
      </c>
      <c r="I162" s="5" t="s">
        <v>4312</v>
      </c>
      <c r="J162" t="s">
        <v>6157</v>
      </c>
    </row>
    <row r="163" spans="1:10" x14ac:dyDescent="0.25">
      <c r="A163" s="8" t="s">
        <v>8508</v>
      </c>
      <c r="D163" t="s">
        <v>4340</v>
      </c>
      <c r="E163" t="s">
        <v>4340</v>
      </c>
      <c r="H163">
        <v>0</v>
      </c>
      <c r="I163" s="5">
        <v>44834</v>
      </c>
      <c r="J163" t="s">
        <v>6317</v>
      </c>
    </row>
    <row r="164" spans="1:10" x14ac:dyDescent="0.25">
      <c r="A164" s="8" t="s">
        <v>8689</v>
      </c>
      <c r="B164" t="s">
        <v>4474</v>
      </c>
      <c r="D164" t="s">
        <v>7839</v>
      </c>
      <c r="E164" t="s">
        <v>4340</v>
      </c>
      <c r="G164" t="s">
        <v>5040</v>
      </c>
      <c r="H164">
        <v>1</v>
      </c>
      <c r="I164" s="5" t="s">
        <v>4312</v>
      </c>
      <c r="J164" t="s">
        <v>6683</v>
      </c>
    </row>
    <row r="165" spans="1:10" x14ac:dyDescent="0.25">
      <c r="A165" s="8" t="s">
        <v>8786</v>
      </c>
      <c r="C165" t="s">
        <v>6039</v>
      </c>
      <c r="D165" t="s">
        <v>7620</v>
      </c>
      <c r="E165" t="s">
        <v>4340</v>
      </c>
      <c r="H165">
        <v>0</v>
      </c>
      <c r="I165" s="5">
        <v>45322</v>
      </c>
      <c r="J165" t="s">
        <v>6093</v>
      </c>
    </row>
    <row r="166" spans="1:10" x14ac:dyDescent="0.25">
      <c r="A166" s="8" t="s">
        <v>8503</v>
      </c>
      <c r="D166" t="s">
        <v>4340</v>
      </c>
      <c r="E166" t="s">
        <v>4340</v>
      </c>
      <c r="H166">
        <v>0</v>
      </c>
      <c r="I166" s="5">
        <v>44895</v>
      </c>
      <c r="J166" t="s">
        <v>6318</v>
      </c>
    </row>
    <row r="167" spans="1:10" x14ac:dyDescent="0.25">
      <c r="A167" s="8" t="s">
        <v>8984</v>
      </c>
      <c r="D167" t="s">
        <v>4340</v>
      </c>
      <c r="E167" t="s">
        <v>4340</v>
      </c>
      <c r="H167">
        <v>0</v>
      </c>
      <c r="I167" s="5">
        <v>45240</v>
      </c>
      <c r="J167" t="s">
        <v>6319</v>
      </c>
    </row>
    <row r="168" spans="1:10" x14ac:dyDescent="0.25">
      <c r="A168" s="8" t="s">
        <v>8690</v>
      </c>
      <c r="D168" t="s">
        <v>4340</v>
      </c>
      <c r="E168" t="s">
        <v>4340</v>
      </c>
      <c r="H168">
        <v>0</v>
      </c>
      <c r="I168" s="5">
        <v>44758</v>
      </c>
      <c r="J168" t="s">
        <v>6320</v>
      </c>
    </row>
    <row r="169" spans="1:10" x14ac:dyDescent="0.25">
      <c r="A169" s="8" t="s">
        <v>8954</v>
      </c>
      <c r="D169" t="s">
        <v>4340</v>
      </c>
      <c r="E169" t="s">
        <v>4340</v>
      </c>
      <c r="H169">
        <v>0</v>
      </c>
      <c r="I169" s="5">
        <v>44844</v>
      </c>
      <c r="J169" t="s">
        <v>6321</v>
      </c>
    </row>
    <row r="170" spans="1:10" x14ac:dyDescent="0.25">
      <c r="A170" s="8" t="s">
        <v>8855</v>
      </c>
      <c r="B170" t="s">
        <v>4475</v>
      </c>
      <c r="C170" t="s">
        <v>6040</v>
      </c>
      <c r="D170" t="s">
        <v>7621</v>
      </c>
      <c r="E170" t="s">
        <v>4340</v>
      </c>
      <c r="H170">
        <v>0</v>
      </c>
      <c r="I170" s="5">
        <v>45443</v>
      </c>
      <c r="J170" t="s">
        <v>6094</v>
      </c>
    </row>
    <row r="171" spans="1:10" x14ac:dyDescent="0.25">
      <c r="A171" s="8" t="s">
        <v>8973</v>
      </c>
      <c r="D171" t="s">
        <v>4340</v>
      </c>
      <c r="E171" t="s">
        <v>4340</v>
      </c>
      <c r="H171">
        <v>0</v>
      </c>
      <c r="I171" s="5">
        <v>44865</v>
      </c>
      <c r="J171" t="s">
        <v>6322</v>
      </c>
    </row>
    <row r="172" spans="1:10" x14ac:dyDescent="0.25">
      <c r="A172" s="8" t="s">
        <v>8753</v>
      </c>
      <c r="B172" t="s">
        <v>4476</v>
      </c>
      <c r="D172" t="s">
        <v>7622</v>
      </c>
      <c r="E172" t="s">
        <v>4340</v>
      </c>
      <c r="H172">
        <v>1</v>
      </c>
      <c r="I172" s="5" t="s">
        <v>4312</v>
      </c>
      <c r="J172" t="s">
        <v>6684</v>
      </c>
    </row>
    <row r="173" spans="1:10" x14ac:dyDescent="0.25">
      <c r="A173" s="8" t="s">
        <v>8686</v>
      </c>
      <c r="B173" t="s">
        <v>4477</v>
      </c>
      <c r="C173" t="s">
        <v>6041</v>
      </c>
      <c r="D173" t="s">
        <v>7623</v>
      </c>
      <c r="E173" t="s">
        <v>4340</v>
      </c>
      <c r="G173" t="s">
        <v>5041</v>
      </c>
      <c r="H173">
        <v>0</v>
      </c>
      <c r="I173" s="5">
        <v>45758</v>
      </c>
      <c r="J173" t="s">
        <v>6095</v>
      </c>
    </row>
    <row r="174" spans="1:10" x14ac:dyDescent="0.25">
      <c r="A174" s="8" t="s">
        <v>8514</v>
      </c>
      <c r="B174" t="s">
        <v>4478</v>
      </c>
      <c r="D174" t="s">
        <v>8051</v>
      </c>
      <c r="E174" t="s">
        <v>4340</v>
      </c>
      <c r="H174">
        <v>1</v>
      </c>
      <c r="I174" s="5" t="s">
        <v>4312</v>
      </c>
      <c r="J174" t="s">
        <v>6685</v>
      </c>
    </row>
    <row r="175" spans="1:10" x14ac:dyDescent="0.25">
      <c r="A175" s="8" t="s">
        <v>8893</v>
      </c>
      <c r="B175" t="s">
        <v>4479</v>
      </c>
      <c r="D175" t="s">
        <v>7989</v>
      </c>
      <c r="E175" t="s">
        <v>7624</v>
      </c>
      <c r="H175">
        <v>0</v>
      </c>
      <c r="I175" s="5">
        <v>45688</v>
      </c>
      <c r="J175" t="s">
        <v>6323</v>
      </c>
    </row>
    <row r="176" spans="1:10" x14ac:dyDescent="0.25">
      <c r="A176" s="8" t="s">
        <v>8498</v>
      </c>
      <c r="B176" t="s">
        <v>4480</v>
      </c>
      <c r="D176" t="s">
        <v>7626</v>
      </c>
      <c r="E176" t="s">
        <v>4340</v>
      </c>
      <c r="G176" t="s">
        <v>5042</v>
      </c>
      <c r="H176">
        <v>1</v>
      </c>
      <c r="I176" s="5" t="s">
        <v>4312</v>
      </c>
      <c r="J176" t="s">
        <v>6686</v>
      </c>
    </row>
    <row r="177" spans="1:10" x14ac:dyDescent="0.25">
      <c r="A177" s="8" t="s">
        <v>8485</v>
      </c>
      <c r="D177" t="s">
        <v>4340</v>
      </c>
      <c r="E177" t="s">
        <v>4340</v>
      </c>
      <c r="H177">
        <v>0</v>
      </c>
      <c r="I177" s="5">
        <v>44675</v>
      </c>
      <c r="J177" t="s">
        <v>6324</v>
      </c>
    </row>
    <row r="178" spans="1:10" x14ac:dyDescent="0.25">
      <c r="A178" s="8" t="s">
        <v>8916</v>
      </c>
      <c r="B178" t="s">
        <v>4481</v>
      </c>
      <c r="C178" t="s">
        <v>6068</v>
      </c>
      <c r="D178" t="s">
        <v>7754</v>
      </c>
      <c r="E178" t="s">
        <v>4340</v>
      </c>
      <c r="G178" t="s">
        <v>5087</v>
      </c>
      <c r="H178">
        <v>0</v>
      </c>
      <c r="I178" s="5">
        <v>45199</v>
      </c>
      <c r="J178" t="s">
        <v>6096</v>
      </c>
    </row>
    <row r="179" spans="1:10" x14ac:dyDescent="0.25">
      <c r="A179" s="8" t="s">
        <v>8317</v>
      </c>
      <c r="D179" t="s">
        <v>4340</v>
      </c>
      <c r="E179" t="s">
        <v>4340</v>
      </c>
      <c r="H179">
        <v>0</v>
      </c>
      <c r="I179" s="5">
        <v>44668</v>
      </c>
      <c r="J179" t="s">
        <v>6325</v>
      </c>
    </row>
    <row r="180" spans="1:10" x14ac:dyDescent="0.25">
      <c r="A180" s="8" t="s">
        <v>8501</v>
      </c>
      <c r="C180" t="s">
        <v>6066</v>
      </c>
      <c r="D180" t="s">
        <v>7745</v>
      </c>
      <c r="E180" t="s">
        <v>4340</v>
      </c>
      <c r="H180">
        <v>0</v>
      </c>
      <c r="I180" s="5">
        <v>45210</v>
      </c>
      <c r="J180" t="s">
        <v>6097</v>
      </c>
    </row>
    <row r="181" spans="1:10" x14ac:dyDescent="0.25">
      <c r="A181" s="8" t="s">
        <v>8817</v>
      </c>
      <c r="D181" t="s">
        <v>4340</v>
      </c>
      <c r="E181" t="s">
        <v>4340</v>
      </c>
      <c r="H181">
        <v>0</v>
      </c>
      <c r="I181" s="5">
        <v>44806</v>
      </c>
      <c r="J181" t="s">
        <v>6326</v>
      </c>
    </row>
    <row r="182" spans="1:10" x14ac:dyDescent="0.25">
      <c r="A182" s="8" t="s">
        <v>8636</v>
      </c>
      <c r="D182" t="s">
        <v>4340</v>
      </c>
      <c r="E182" t="s">
        <v>4340</v>
      </c>
      <c r="H182">
        <v>0</v>
      </c>
      <c r="I182" s="5">
        <v>44749</v>
      </c>
      <c r="J182" t="s">
        <v>6327</v>
      </c>
    </row>
    <row r="183" spans="1:10" x14ac:dyDescent="0.25">
      <c r="A183" s="8" t="s">
        <v>8589</v>
      </c>
      <c r="D183" t="s">
        <v>4340</v>
      </c>
      <c r="E183" t="s">
        <v>4340</v>
      </c>
      <c r="H183">
        <v>0</v>
      </c>
      <c r="I183" s="5">
        <v>45046</v>
      </c>
      <c r="J183" t="s">
        <v>6328</v>
      </c>
    </row>
    <row r="184" spans="1:10" x14ac:dyDescent="0.25">
      <c r="A184" s="8" t="s">
        <v>8645</v>
      </c>
      <c r="B184" t="s">
        <v>4482</v>
      </c>
      <c r="C184" t="s">
        <v>6042</v>
      </c>
      <c r="D184" t="s">
        <v>7627</v>
      </c>
      <c r="E184" t="s">
        <v>4340</v>
      </c>
      <c r="H184">
        <v>0</v>
      </c>
      <c r="I184" s="5">
        <v>45393</v>
      </c>
      <c r="J184" t="s">
        <v>6098</v>
      </c>
    </row>
    <row r="185" spans="1:10" x14ac:dyDescent="0.25">
      <c r="A185" s="8" t="s">
        <v>8580</v>
      </c>
      <c r="D185" t="s">
        <v>4340</v>
      </c>
      <c r="E185" t="s">
        <v>4340</v>
      </c>
      <c r="H185">
        <v>0</v>
      </c>
      <c r="I185" s="5">
        <v>45169</v>
      </c>
      <c r="J185" t="s">
        <v>6329</v>
      </c>
    </row>
    <row r="186" spans="1:10" x14ac:dyDescent="0.25">
      <c r="A186" s="8" t="s">
        <v>8698</v>
      </c>
      <c r="D186" t="s">
        <v>4340</v>
      </c>
      <c r="E186" t="s">
        <v>4340</v>
      </c>
      <c r="H186">
        <v>0</v>
      </c>
      <c r="I186" s="5">
        <v>44785</v>
      </c>
      <c r="J186" t="s">
        <v>6330</v>
      </c>
    </row>
    <row r="187" spans="1:10" x14ac:dyDescent="0.25">
      <c r="A187" s="8" t="s">
        <v>8552</v>
      </c>
      <c r="D187" t="s">
        <v>4340</v>
      </c>
      <c r="E187" t="s">
        <v>4340</v>
      </c>
      <c r="H187">
        <v>0</v>
      </c>
      <c r="I187" s="5">
        <v>44895</v>
      </c>
      <c r="J187" t="s">
        <v>6331</v>
      </c>
    </row>
    <row r="188" spans="1:10" x14ac:dyDescent="0.25">
      <c r="A188" s="8" t="s">
        <v>8898</v>
      </c>
      <c r="B188" t="s">
        <v>4484</v>
      </c>
      <c r="D188" t="s">
        <v>7628</v>
      </c>
      <c r="E188" t="s">
        <v>4340</v>
      </c>
      <c r="G188" t="s">
        <v>5044</v>
      </c>
      <c r="H188">
        <v>1</v>
      </c>
      <c r="I188" s="5" t="s">
        <v>4312</v>
      </c>
      <c r="J188" t="s">
        <v>6687</v>
      </c>
    </row>
    <row r="189" spans="1:10" x14ac:dyDescent="0.25">
      <c r="A189" s="8" t="s">
        <v>8541</v>
      </c>
      <c r="D189" t="s">
        <v>4340</v>
      </c>
      <c r="E189" t="s">
        <v>4340</v>
      </c>
      <c r="H189">
        <v>0</v>
      </c>
      <c r="I189" s="5">
        <v>44921</v>
      </c>
      <c r="J189" t="s">
        <v>6332</v>
      </c>
    </row>
    <row r="190" spans="1:10" x14ac:dyDescent="0.25">
      <c r="A190" s="8" t="s">
        <v>8778</v>
      </c>
      <c r="D190" t="s">
        <v>4340</v>
      </c>
      <c r="E190" t="s">
        <v>4340</v>
      </c>
      <c r="H190">
        <v>0</v>
      </c>
      <c r="I190" s="5">
        <v>44764</v>
      </c>
      <c r="J190" t="s">
        <v>6333</v>
      </c>
    </row>
    <row r="191" spans="1:10" x14ac:dyDescent="0.25">
      <c r="A191" s="8" t="s">
        <v>8646</v>
      </c>
      <c r="D191" t="s">
        <v>4340</v>
      </c>
      <c r="E191" t="s">
        <v>4340</v>
      </c>
      <c r="H191">
        <v>0</v>
      </c>
      <c r="I191" s="5">
        <v>44980</v>
      </c>
      <c r="J191" t="s">
        <v>6334</v>
      </c>
    </row>
    <row r="192" spans="1:10" x14ac:dyDescent="0.25">
      <c r="A192" s="8" t="s">
        <v>8394</v>
      </c>
      <c r="B192" t="s">
        <v>4485</v>
      </c>
      <c r="D192" t="s">
        <v>7629</v>
      </c>
      <c r="E192" t="s">
        <v>4340</v>
      </c>
      <c r="G192" t="s">
        <v>5167</v>
      </c>
      <c r="H192">
        <v>0</v>
      </c>
      <c r="I192" s="5">
        <v>45808</v>
      </c>
      <c r="J192" t="s">
        <v>6335</v>
      </c>
    </row>
    <row r="193" spans="1:10" x14ac:dyDescent="0.25">
      <c r="A193" s="8" t="s">
        <v>8312</v>
      </c>
      <c r="B193" t="s">
        <v>4486</v>
      </c>
      <c r="D193" t="s">
        <v>7630</v>
      </c>
      <c r="E193" t="s">
        <v>4340</v>
      </c>
      <c r="H193">
        <v>1</v>
      </c>
      <c r="I193" s="5" t="s">
        <v>4312</v>
      </c>
      <c r="J193" t="s">
        <v>6688</v>
      </c>
    </row>
    <row r="194" spans="1:10" x14ac:dyDescent="0.25">
      <c r="A194" s="8" t="s">
        <v>8409</v>
      </c>
      <c r="B194" t="s">
        <v>4452</v>
      </c>
      <c r="D194" t="s">
        <v>7894</v>
      </c>
      <c r="E194" t="s">
        <v>4340</v>
      </c>
      <c r="H194">
        <v>1</v>
      </c>
      <c r="I194" s="5" t="s">
        <v>4312</v>
      </c>
      <c r="J194" t="s">
        <v>6689</v>
      </c>
    </row>
    <row r="195" spans="1:10" x14ac:dyDescent="0.25">
      <c r="A195" s="8" t="s">
        <v>8642</v>
      </c>
      <c r="D195" t="s">
        <v>4340</v>
      </c>
      <c r="E195" t="s">
        <v>4340</v>
      </c>
      <c r="H195">
        <v>0</v>
      </c>
      <c r="I195" s="5">
        <v>44773</v>
      </c>
      <c r="J195" t="s">
        <v>6336</v>
      </c>
    </row>
    <row r="196" spans="1:10" x14ac:dyDescent="0.25">
      <c r="A196" s="8" t="s">
        <v>8818</v>
      </c>
      <c r="B196" t="s">
        <v>4488</v>
      </c>
      <c r="D196" t="s">
        <v>7631</v>
      </c>
      <c r="E196" t="s">
        <v>4340</v>
      </c>
      <c r="H196">
        <v>1</v>
      </c>
      <c r="I196" s="5" t="s">
        <v>4312</v>
      </c>
      <c r="J196" t="s">
        <v>6690</v>
      </c>
    </row>
    <row r="197" spans="1:10" x14ac:dyDescent="0.25">
      <c r="A197" s="8" t="s">
        <v>8316</v>
      </c>
      <c r="D197" t="s">
        <v>7632</v>
      </c>
      <c r="E197" t="s">
        <v>4340</v>
      </c>
      <c r="H197">
        <v>0</v>
      </c>
      <c r="I197" s="5">
        <v>45245</v>
      </c>
      <c r="J197" t="s">
        <v>6337</v>
      </c>
    </row>
    <row r="198" spans="1:10" x14ac:dyDescent="0.25">
      <c r="A198" s="8" t="s">
        <v>8253</v>
      </c>
      <c r="B198" t="s">
        <v>4489</v>
      </c>
      <c r="D198" t="s">
        <v>7633</v>
      </c>
      <c r="E198" t="s">
        <v>4340</v>
      </c>
      <c r="H198">
        <v>1</v>
      </c>
      <c r="I198" s="5" t="s">
        <v>4312</v>
      </c>
      <c r="J198" t="s">
        <v>6691</v>
      </c>
    </row>
    <row r="199" spans="1:10" x14ac:dyDescent="0.25">
      <c r="A199" s="8" t="s">
        <v>8923</v>
      </c>
      <c r="B199" t="s">
        <v>4490</v>
      </c>
      <c r="C199" t="s">
        <v>6043</v>
      </c>
      <c r="D199" t="s">
        <v>7634</v>
      </c>
      <c r="E199" t="s">
        <v>4340</v>
      </c>
      <c r="H199">
        <v>0</v>
      </c>
      <c r="I199" s="5">
        <v>45504</v>
      </c>
      <c r="J199" t="s">
        <v>6099</v>
      </c>
    </row>
    <row r="200" spans="1:10" x14ac:dyDescent="0.25">
      <c r="A200" s="8" t="s">
        <v>8400</v>
      </c>
      <c r="B200" t="s">
        <v>4491</v>
      </c>
      <c r="D200" t="s">
        <v>7793</v>
      </c>
      <c r="E200" t="s">
        <v>4340</v>
      </c>
      <c r="H200">
        <v>1</v>
      </c>
      <c r="I200" s="5" t="s">
        <v>4312</v>
      </c>
      <c r="J200" t="s">
        <v>6692</v>
      </c>
    </row>
    <row r="201" spans="1:10" x14ac:dyDescent="0.25">
      <c r="A201" s="8" t="s">
        <v>8205</v>
      </c>
      <c r="B201" t="s">
        <v>4492</v>
      </c>
      <c r="C201" t="s">
        <v>6044</v>
      </c>
      <c r="D201" t="s">
        <v>7635</v>
      </c>
      <c r="E201" t="s">
        <v>4340</v>
      </c>
      <c r="G201" t="s">
        <v>5045</v>
      </c>
      <c r="H201">
        <v>1</v>
      </c>
      <c r="I201" s="5" t="s">
        <v>4312</v>
      </c>
      <c r="J201" t="s">
        <v>6158</v>
      </c>
    </row>
    <row r="202" spans="1:10" x14ac:dyDescent="0.25">
      <c r="A202" s="8" t="s">
        <v>8248</v>
      </c>
      <c r="D202" t="s">
        <v>4340</v>
      </c>
      <c r="E202" t="s">
        <v>4340</v>
      </c>
      <c r="H202">
        <v>0</v>
      </c>
      <c r="I202" s="5">
        <v>45335</v>
      </c>
      <c r="J202" t="s">
        <v>6338</v>
      </c>
    </row>
    <row r="203" spans="1:10" x14ac:dyDescent="0.25">
      <c r="A203" s="8" t="s">
        <v>8287</v>
      </c>
      <c r="D203" t="s">
        <v>4340</v>
      </c>
      <c r="E203" t="s">
        <v>4340</v>
      </c>
      <c r="H203">
        <v>0</v>
      </c>
      <c r="I203" s="5">
        <v>44865</v>
      </c>
      <c r="J203" t="s">
        <v>6339</v>
      </c>
    </row>
    <row r="204" spans="1:10" x14ac:dyDescent="0.25">
      <c r="A204" s="8" t="s">
        <v>8236</v>
      </c>
      <c r="D204" t="s">
        <v>4340</v>
      </c>
      <c r="E204" t="s">
        <v>4340</v>
      </c>
      <c r="H204">
        <v>0</v>
      </c>
      <c r="I204" s="5">
        <v>44757</v>
      </c>
      <c r="J204" t="s">
        <v>6340</v>
      </c>
    </row>
    <row r="205" spans="1:10" x14ac:dyDescent="0.25">
      <c r="A205" s="8" t="s">
        <v>8367</v>
      </c>
      <c r="D205" t="s">
        <v>7636</v>
      </c>
      <c r="E205" t="s">
        <v>4340</v>
      </c>
      <c r="H205">
        <v>0</v>
      </c>
      <c r="I205" s="5">
        <v>45260</v>
      </c>
      <c r="J205" t="s">
        <v>6341</v>
      </c>
    </row>
    <row r="206" spans="1:10" x14ac:dyDescent="0.25">
      <c r="A206" s="8" t="s">
        <v>8772</v>
      </c>
      <c r="B206" t="s">
        <v>4493</v>
      </c>
      <c r="D206" t="s">
        <v>7637</v>
      </c>
      <c r="E206" t="s">
        <v>4340</v>
      </c>
      <c r="H206">
        <v>0</v>
      </c>
      <c r="I206" s="5">
        <v>45808</v>
      </c>
      <c r="J206" t="s">
        <v>6342</v>
      </c>
    </row>
    <row r="207" spans="1:10" x14ac:dyDescent="0.25">
      <c r="A207" s="8" t="s">
        <v>8810</v>
      </c>
      <c r="D207" t="s">
        <v>4340</v>
      </c>
      <c r="E207" t="s">
        <v>4340</v>
      </c>
      <c r="H207">
        <v>0</v>
      </c>
      <c r="I207" s="5">
        <v>44804</v>
      </c>
      <c r="J207" t="s">
        <v>6343</v>
      </c>
    </row>
    <row r="208" spans="1:10" x14ac:dyDescent="0.25">
      <c r="A208" s="8" t="s">
        <v>8881</v>
      </c>
      <c r="B208" t="s">
        <v>4494</v>
      </c>
      <c r="D208" t="s">
        <v>7638</v>
      </c>
      <c r="E208" t="s">
        <v>4340</v>
      </c>
      <c r="H208">
        <v>1</v>
      </c>
      <c r="I208" s="5" t="s">
        <v>4312</v>
      </c>
      <c r="J208" t="s">
        <v>6693</v>
      </c>
    </row>
    <row r="209" spans="1:10" x14ac:dyDescent="0.25">
      <c r="A209" s="8" t="s">
        <v>8974</v>
      </c>
      <c r="B209" t="s">
        <v>4495</v>
      </c>
      <c r="D209" t="s">
        <v>7639</v>
      </c>
      <c r="E209" t="s">
        <v>4340</v>
      </c>
      <c r="H209">
        <v>1</v>
      </c>
      <c r="I209" s="5" t="s">
        <v>4312</v>
      </c>
      <c r="J209" t="s">
        <v>6694</v>
      </c>
    </row>
    <row r="210" spans="1:10" x14ac:dyDescent="0.25">
      <c r="A210" s="8" t="s">
        <v>8983</v>
      </c>
      <c r="D210" t="s">
        <v>4340</v>
      </c>
      <c r="E210" t="s">
        <v>4340</v>
      </c>
      <c r="H210">
        <v>0</v>
      </c>
      <c r="I210" s="5">
        <v>44773</v>
      </c>
      <c r="J210" t="s">
        <v>6344</v>
      </c>
    </row>
    <row r="211" spans="1:10" x14ac:dyDescent="0.25">
      <c r="A211" s="8" t="s">
        <v>8511</v>
      </c>
      <c r="D211" t="s">
        <v>4340</v>
      </c>
      <c r="E211" t="s">
        <v>4340</v>
      </c>
      <c r="H211">
        <v>0</v>
      </c>
      <c r="I211" s="5">
        <v>44806</v>
      </c>
      <c r="J211" t="s">
        <v>6345</v>
      </c>
    </row>
    <row r="212" spans="1:10" x14ac:dyDescent="0.25">
      <c r="A212" s="8" t="s">
        <v>8550</v>
      </c>
      <c r="D212" t="s">
        <v>4340</v>
      </c>
      <c r="E212" t="s">
        <v>4340</v>
      </c>
      <c r="H212">
        <v>0</v>
      </c>
      <c r="I212" s="5">
        <v>44804</v>
      </c>
      <c r="J212" t="s">
        <v>6346</v>
      </c>
    </row>
    <row r="213" spans="1:10" x14ac:dyDescent="0.25">
      <c r="A213" s="8" t="s">
        <v>8900</v>
      </c>
      <c r="B213" t="s">
        <v>4496</v>
      </c>
      <c r="C213" t="s">
        <v>4340</v>
      </c>
      <c r="D213" t="s">
        <v>7640</v>
      </c>
      <c r="E213" t="s">
        <v>4340</v>
      </c>
      <c r="G213" t="s">
        <v>5046</v>
      </c>
      <c r="H213">
        <v>1</v>
      </c>
      <c r="I213" s="5" t="s">
        <v>4312</v>
      </c>
      <c r="J213" t="s">
        <v>6159</v>
      </c>
    </row>
    <row r="214" spans="1:10" x14ac:dyDescent="0.25">
      <c r="A214" s="8" t="s">
        <v>8670</v>
      </c>
      <c r="B214" t="s">
        <v>4497</v>
      </c>
      <c r="C214" t="s">
        <v>6045</v>
      </c>
      <c r="D214" t="s">
        <v>7641</v>
      </c>
      <c r="E214" t="s">
        <v>4340</v>
      </c>
      <c r="G214" t="s">
        <v>5047</v>
      </c>
      <c r="H214">
        <v>1</v>
      </c>
      <c r="I214" s="5" t="s">
        <v>4312</v>
      </c>
      <c r="J214" t="s">
        <v>6160</v>
      </c>
    </row>
    <row r="215" spans="1:10" x14ac:dyDescent="0.25">
      <c r="A215" s="8" t="s">
        <v>8718</v>
      </c>
      <c r="B215" t="s">
        <v>4498</v>
      </c>
      <c r="D215" t="s">
        <v>7642</v>
      </c>
      <c r="E215" t="s">
        <v>4340</v>
      </c>
      <c r="G215" t="s">
        <v>5048</v>
      </c>
      <c r="H215">
        <v>0</v>
      </c>
      <c r="I215" s="5">
        <v>45907</v>
      </c>
      <c r="J215" t="s">
        <v>6347</v>
      </c>
    </row>
    <row r="216" spans="1:10" x14ac:dyDescent="0.25">
      <c r="A216" s="8" t="s">
        <v>8794</v>
      </c>
      <c r="D216" t="s">
        <v>4340</v>
      </c>
      <c r="E216" t="s">
        <v>4340</v>
      </c>
      <c r="H216">
        <v>0</v>
      </c>
      <c r="I216" s="5">
        <v>44896</v>
      </c>
      <c r="J216" t="s">
        <v>6348</v>
      </c>
    </row>
    <row r="217" spans="1:10" x14ac:dyDescent="0.25">
      <c r="A217" s="8" t="s">
        <v>8849</v>
      </c>
      <c r="B217" t="s">
        <v>4499</v>
      </c>
      <c r="D217" t="s">
        <v>7643</v>
      </c>
      <c r="E217" t="s">
        <v>4340</v>
      </c>
      <c r="H217">
        <v>1</v>
      </c>
      <c r="I217" s="5" t="s">
        <v>4312</v>
      </c>
      <c r="J217" t="s">
        <v>6695</v>
      </c>
    </row>
    <row r="218" spans="1:10" x14ac:dyDescent="0.25">
      <c r="A218" s="8" t="s">
        <v>8437</v>
      </c>
      <c r="B218" t="s">
        <v>4483</v>
      </c>
      <c r="C218" t="s">
        <v>4340</v>
      </c>
      <c r="D218" t="s">
        <v>8111</v>
      </c>
      <c r="E218" t="s">
        <v>4340</v>
      </c>
      <c r="G218" t="s">
        <v>5043</v>
      </c>
      <c r="H218">
        <v>1</v>
      </c>
      <c r="I218" s="5" t="s">
        <v>4312</v>
      </c>
      <c r="J218" t="s">
        <v>6161</v>
      </c>
    </row>
    <row r="219" spans="1:10" x14ac:dyDescent="0.25">
      <c r="A219" s="8" t="s">
        <v>8823</v>
      </c>
      <c r="D219" t="s">
        <v>4340</v>
      </c>
      <c r="E219" t="s">
        <v>4340</v>
      </c>
      <c r="H219">
        <v>0</v>
      </c>
      <c r="I219" s="5">
        <v>45077</v>
      </c>
      <c r="J219" t="s">
        <v>6349</v>
      </c>
    </row>
    <row r="220" spans="1:10" x14ac:dyDescent="0.25">
      <c r="A220" s="8" t="s">
        <v>8769</v>
      </c>
      <c r="D220" t="s">
        <v>4340</v>
      </c>
      <c r="E220" t="s">
        <v>4340</v>
      </c>
      <c r="H220">
        <v>0</v>
      </c>
      <c r="I220" s="5">
        <v>45051</v>
      </c>
      <c r="J220" t="s">
        <v>6350</v>
      </c>
    </row>
    <row r="221" spans="1:10" x14ac:dyDescent="0.25">
      <c r="A221" s="8" t="s">
        <v>8375</v>
      </c>
      <c r="D221" t="s">
        <v>4340</v>
      </c>
      <c r="E221" t="s">
        <v>4340</v>
      </c>
      <c r="H221">
        <v>0</v>
      </c>
      <c r="I221" s="5">
        <v>45016</v>
      </c>
      <c r="J221" t="s">
        <v>6351</v>
      </c>
    </row>
    <row r="222" spans="1:10" x14ac:dyDescent="0.25">
      <c r="A222" s="8" t="s">
        <v>8265</v>
      </c>
      <c r="B222" t="s">
        <v>4501</v>
      </c>
      <c r="D222" t="s">
        <v>7645</v>
      </c>
      <c r="E222" t="s">
        <v>4340</v>
      </c>
      <c r="H222">
        <v>0</v>
      </c>
      <c r="I222" s="5">
        <v>45722</v>
      </c>
      <c r="J222" t="s">
        <v>6352</v>
      </c>
    </row>
    <row r="223" spans="1:10" x14ac:dyDescent="0.25">
      <c r="A223" s="8" t="s">
        <v>8288</v>
      </c>
      <c r="B223" t="s">
        <v>4502</v>
      </c>
      <c r="D223" t="s">
        <v>7889</v>
      </c>
      <c r="E223" t="s">
        <v>7646</v>
      </c>
      <c r="H223">
        <v>1</v>
      </c>
      <c r="I223" s="5" t="s">
        <v>4312</v>
      </c>
      <c r="J223" t="s">
        <v>6696</v>
      </c>
    </row>
    <row r="224" spans="1:10" x14ac:dyDescent="0.25">
      <c r="A224" s="8" t="s">
        <v>8584</v>
      </c>
      <c r="B224" t="s">
        <v>4503</v>
      </c>
      <c r="C224" t="s">
        <v>6071</v>
      </c>
      <c r="D224" t="s">
        <v>7647</v>
      </c>
      <c r="E224" t="s">
        <v>4340</v>
      </c>
      <c r="G224" t="s">
        <v>5100</v>
      </c>
      <c r="H224">
        <v>1</v>
      </c>
      <c r="I224" s="5" t="s">
        <v>4312</v>
      </c>
      <c r="J224" t="s">
        <v>6162</v>
      </c>
    </row>
    <row r="225" spans="1:10" x14ac:dyDescent="0.25">
      <c r="A225" s="8" t="s">
        <v>8491</v>
      </c>
      <c r="B225" t="s">
        <v>4506</v>
      </c>
      <c r="D225" t="s">
        <v>7650</v>
      </c>
      <c r="E225" t="s">
        <v>4340</v>
      </c>
      <c r="H225">
        <v>0</v>
      </c>
      <c r="I225" s="5">
        <v>45669</v>
      </c>
      <c r="J225" t="s">
        <v>6353</v>
      </c>
    </row>
    <row r="226" spans="1:10" x14ac:dyDescent="0.25">
      <c r="A226" s="8" t="s">
        <v>8495</v>
      </c>
      <c r="B226" t="s">
        <v>4409</v>
      </c>
      <c r="D226" t="s">
        <v>7649</v>
      </c>
      <c r="E226" t="s">
        <v>4340</v>
      </c>
      <c r="H226">
        <v>1</v>
      </c>
      <c r="I226" s="5" t="s">
        <v>4312</v>
      </c>
      <c r="J226" t="s">
        <v>6697</v>
      </c>
    </row>
    <row r="227" spans="1:10" x14ac:dyDescent="0.25">
      <c r="A227" s="8" t="s">
        <v>8469</v>
      </c>
      <c r="B227" t="s">
        <v>4504</v>
      </c>
      <c r="D227" t="s">
        <v>7840</v>
      </c>
      <c r="E227" t="s">
        <v>4340</v>
      </c>
      <c r="G227" t="s">
        <v>5049</v>
      </c>
      <c r="H227">
        <v>1</v>
      </c>
      <c r="I227" s="5" t="s">
        <v>4312</v>
      </c>
      <c r="J227" t="s">
        <v>6698</v>
      </c>
    </row>
    <row r="228" spans="1:10" x14ac:dyDescent="0.25">
      <c r="A228" s="8" t="s">
        <v>8841</v>
      </c>
      <c r="D228" t="s">
        <v>4340</v>
      </c>
      <c r="E228" t="s">
        <v>4340</v>
      </c>
      <c r="H228">
        <v>0</v>
      </c>
      <c r="I228" s="5">
        <v>45201</v>
      </c>
      <c r="J228" t="s">
        <v>6354</v>
      </c>
    </row>
    <row r="229" spans="1:10" x14ac:dyDescent="0.25">
      <c r="A229" s="8" t="s">
        <v>8806</v>
      </c>
      <c r="B229" t="s">
        <v>4505</v>
      </c>
      <c r="D229" t="s">
        <v>7699</v>
      </c>
      <c r="E229" t="s">
        <v>4340</v>
      </c>
      <c r="G229" t="s">
        <v>5070</v>
      </c>
      <c r="H229">
        <v>0</v>
      </c>
      <c r="I229" s="5">
        <v>45473</v>
      </c>
      <c r="J229" t="s">
        <v>6355</v>
      </c>
    </row>
    <row r="230" spans="1:10" x14ac:dyDescent="0.25">
      <c r="A230" s="8" t="s">
        <v>8713</v>
      </c>
      <c r="D230" t="s">
        <v>4340</v>
      </c>
      <c r="E230" t="s">
        <v>4340</v>
      </c>
      <c r="H230">
        <v>0</v>
      </c>
      <c r="I230" s="5">
        <v>44985</v>
      </c>
      <c r="J230" t="s">
        <v>6356</v>
      </c>
    </row>
    <row r="231" spans="1:10" x14ac:dyDescent="0.25">
      <c r="A231" s="8" t="s">
        <v>8665</v>
      </c>
      <c r="D231" t="s">
        <v>4340</v>
      </c>
      <c r="E231" t="s">
        <v>4340</v>
      </c>
      <c r="H231">
        <v>0</v>
      </c>
      <c r="I231" s="5">
        <v>44839</v>
      </c>
      <c r="J231" t="s">
        <v>6357</v>
      </c>
    </row>
    <row r="232" spans="1:10" x14ac:dyDescent="0.25">
      <c r="A232" s="8" t="s">
        <v>8342</v>
      </c>
      <c r="D232" t="s">
        <v>4340</v>
      </c>
      <c r="E232" t="s">
        <v>4340</v>
      </c>
      <c r="H232">
        <v>0</v>
      </c>
      <c r="I232" s="5">
        <v>44825</v>
      </c>
      <c r="J232" t="s">
        <v>6358</v>
      </c>
    </row>
    <row r="233" spans="1:10" x14ac:dyDescent="0.25">
      <c r="A233" s="8" t="s">
        <v>8523</v>
      </c>
      <c r="B233" t="s">
        <v>4470</v>
      </c>
      <c r="D233" t="s">
        <v>7703</v>
      </c>
      <c r="E233" t="s">
        <v>4340</v>
      </c>
      <c r="G233" t="s">
        <v>5072</v>
      </c>
      <c r="H233">
        <v>0</v>
      </c>
      <c r="I233" s="5">
        <v>45565</v>
      </c>
      <c r="J233" t="s">
        <v>6359</v>
      </c>
    </row>
    <row r="234" spans="1:10" x14ac:dyDescent="0.25">
      <c r="A234" s="8" t="s">
        <v>8591</v>
      </c>
      <c r="D234" t="s">
        <v>4340</v>
      </c>
      <c r="E234" t="s">
        <v>4340</v>
      </c>
      <c r="H234">
        <v>0</v>
      </c>
      <c r="I234" s="5">
        <v>44992</v>
      </c>
      <c r="J234" t="s">
        <v>6360</v>
      </c>
    </row>
    <row r="235" spans="1:10" x14ac:dyDescent="0.25">
      <c r="A235" s="8" t="s">
        <v>8657</v>
      </c>
      <c r="B235" t="s">
        <v>4521</v>
      </c>
      <c r="D235" t="s">
        <v>8077</v>
      </c>
      <c r="E235" t="s">
        <v>7660</v>
      </c>
      <c r="H235">
        <v>1</v>
      </c>
      <c r="I235" s="5" t="s">
        <v>4312</v>
      </c>
      <c r="J235" t="s">
        <v>6699</v>
      </c>
    </row>
    <row r="236" spans="1:10" x14ac:dyDescent="0.25">
      <c r="A236" s="8" t="s">
        <v>8347</v>
      </c>
      <c r="B236" t="s">
        <v>4508</v>
      </c>
      <c r="D236" t="s">
        <v>7921</v>
      </c>
      <c r="E236" t="s">
        <v>4340</v>
      </c>
      <c r="H236">
        <v>0</v>
      </c>
      <c r="I236" s="5">
        <v>45747</v>
      </c>
      <c r="J236" t="s">
        <v>6361</v>
      </c>
    </row>
    <row r="237" spans="1:10" x14ac:dyDescent="0.25">
      <c r="A237" s="8" t="s">
        <v>8257</v>
      </c>
      <c r="D237" t="s">
        <v>4340</v>
      </c>
      <c r="E237" t="s">
        <v>4340</v>
      </c>
      <c r="H237">
        <v>0</v>
      </c>
      <c r="I237" s="5">
        <v>44862</v>
      </c>
      <c r="J237" t="s">
        <v>6362</v>
      </c>
    </row>
    <row r="238" spans="1:10" x14ac:dyDescent="0.25">
      <c r="A238" s="8" t="s">
        <v>8807</v>
      </c>
      <c r="D238" t="s">
        <v>4340</v>
      </c>
      <c r="E238" t="s">
        <v>4340</v>
      </c>
      <c r="H238">
        <v>0</v>
      </c>
      <c r="I238" s="5">
        <v>45121</v>
      </c>
      <c r="J238" t="s">
        <v>6363</v>
      </c>
    </row>
    <row r="239" spans="1:10" x14ac:dyDescent="0.25">
      <c r="A239" s="8" t="s">
        <v>8661</v>
      </c>
      <c r="B239" t="s">
        <v>4678</v>
      </c>
      <c r="D239" t="s">
        <v>8074</v>
      </c>
      <c r="E239" t="s">
        <v>4340</v>
      </c>
      <c r="H239">
        <v>1</v>
      </c>
      <c r="I239" s="5" t="s">
        <v>4312</v>
      </c>
      <c r="J239" t="s">
        <v>6700</v>
      </c>
    </row>
    <row r="240" spans="1:10" x14ac:dyDescent="0.25">
      <c r="A240" s="8" t="s">
        <v>8662</v>
      </c>
      <c r="D240" t="s">
        <v>7668</v>
      </c>
      <c r="E240" t="s">
        <v>4340</v>
      </c>
      <c r="H240">
        <v>0</v>
      </c>
      <c r="I240" s="5">
        <v>45240</v>
      </c>
      <c r="J240" t="s">
        <v>6364</v>
      </c>
    </row>
    <row r="241" spans="1:10" x14ac:dyDescent="0.25">
      <c r="A241" s="8" t="s">
        <v>8383</v>
      </c>
      <c r="B241" t="s">
        <v>4509</v>
      </c>
      <c r="C241" t="s">
        <v>6047</v>
      </c>
      <c r="D241" t="s">
        <v>7653</v>
      </c>
      <c r="E241" t="s">
        <v>4340</v>
      </c>
      <c r="G241" t="s">
        <v>5050</v>
      </c>
      <c r="H241">
        <v>0</v>
      </c>
      <c r="I241" s="5">
        <v>45744</v>
      </c>
      <c r="J241" t="s">
        <v>6100</v>
      </c>
    </row>
    <row r="242" spans="1:10" x14ac:dyDescent="0.25">
      <c r="A242" s="8" t="s">
        <v>8947</v>
      </c>
      <c r="B242" t="s">
        <v>4510</v>
      </c>
      <c r="D242" t="s">
        <v>7986</v>
      </c>
      <c r="E242" t="s">
        <v>7654</v>
      </c>
      <c r="H242">
        <v>0</v>
      </c>
      <c r="I242" s="5">
        <v>45688</v>
      </c>
      <c r="J242" t="s">
        <v>6365</v>
      </c>
    </row>
    <row r="243" spans="1:10" x14ac:dyDescent="0.25">
      <c r="A243" s="8" t="s">
        <v>8415</v>
      </c>
      <c r="B243" t="s">
        <v>4511</v>
      </c>
      <c r="D243">
        <v>0</v>
      </c>
      <c r="E243" t="s">
        <v>7655</v>
      </c>
      <c r="H243">
        <v>0</v>
      </c>
      <c r="I243" s="5">
        <v>45535</v>
      </c>
      <c r="J243" t="s">
        <v>6366</v>
      </c>
    </row>
    <row r="244" spans="1:10" x14ac:dyDescent="0.25">
      <c r="A244" s="8" t="s">
        <v>8507</v>
      </c>
      <c r="D244" t="s">
        <v>4340</v>
      </c>
      <c r="E244" t="s">
        <v>4340</v>
      </c>
      <c r="H244">
        <v>0</v>
      </c>
      <c r="I244" s="5">
        <v>44926</v>
      </c>
      <c r="J244" t="s">
        <v>6367</v>
      </c>
    </row>
    <row r="245" spans="1:10" x14ac:dyDescent="0.25">
      <c r="A245" s="8" t="s">
        <v>8637</v>
      </c>
      <c r="B245" t="s">
        <v>4512</v>
      </c>
      <c r="D245" t="s">
        <v>7656</v>
      </c>
      <c r="E245" t="s">
        <v>4340</v>
      </c>
      <c r="G245" t="s">
        <v>5051</v>
      </c>
      <c r="H245">
        <v>1</v>
      </c>
      <c r="I245" s="5" t="s">
        <v>4312</v>
      </c>
      <c r="J245" t="s">
        <v>6701</v>
      </c>
    </row>
    <row r="246" spans="1:10" x14ac:dyDescent="0.25">
      <c r="A246" s="8" t="s">
        <v>8481</v>
      </c>
      <c r="B246" t="s">
        <v>4513</v>
      </c>
      <c r="D246" t="s">
        <v>7816</v>
      </c>
      <c r="E246" t="s">
        <v>4340</v>
      </c>
      <c r="H246">
        <v>0</v>
      </c>
      <c r="I246" s="5">
        <v>45784</v>
      </c>
      <c r="J246" t="s">
        <v>6368</v>
      </c>
    </row>
    <row r="247" spans="1:10" x14ac:dyDescent="0.25">
      <c r="A247" s="8" t="s">
        <v>8399</v>
      </c>
      <c r="D247" t="s">
        <v>4340</v>
      </c>
      <c r="E247" t="s">
        <v>4340</v>
      </c>
      <c r="H247">
        <v>0</v>
      </c>
      <c r="I247" s="5">
        <v>44926</v>
      </c>
      <c r="J247" t="s">
        <v>6369</v>
      </c>
    </row>
    <row r="248" spans="1:10" x14ac:dyDescent="0.25">
      <c r="A248" s="8" t="s">
        <v>8711</v>
      </c>
      <c r="B248" t="s">
        <v>4514</v>
      </c>
      <c r="C248" t="s">
        <v>6048</v>
      </c>
      <c r="D248" t="s">
        <v>7760</v>
      </c>
      <c r="E248" t="s">
        <v>4340</v>
      </c>
      <c r="G248" t="s">
        <v>5052</v>
      </c>
      <c r="H248">
        <v>0</v>
      </c>
      <c r="I248" s="5">
        <v>45452</v>
      </c>
      <c r="J248" t="s">
        <v>6101</v>
      </c>
    </row>
    <row r="249" spans="1:10" x14ac:dyDescent="0.25">
      <c r="A249" s="8" t="s">
        <v>8747</v>
      </c>
      <c r="B249" t="s">
        <v>4515</v>
      </c>
      <c r="C249" t="s">
        <v>6059</v>
      </c>
      <c r="D249" t="s">
        <v>7686</v>
      </c>
      <c r="E249" t="s">
        <v>4340</v>
      </c>
      <c r="H249">
        <v>0</v>
      </c>
      <c r="I249" s="5">
        <v>45688</v>
      </c>
      <c r="J249" t="s">
        <v>6102</v>
      </c>
    </row>
    <row r="250" spans="1:10" x14ac:dyDescent="0.25">
      <c r="A250" s="8" t="s">
        <v>8664</v>
      </c>
      <c r="B250" t="s">
        <v>4487</v>
      </c>
      <c r="C250" t="s">
        <v>6052</v>
      </c>
      <c r="D250" t="s">
        <v>7664</v>
      </c>
      <c r="E250" t="s">
        <v>4340</v>
      </c>
      <c r="H250">
        <v>0</v>
      </c>
      <c r="I250" s="5">
        <v>45592</v>
      </c>
      <c r="J250" t="s">
        <v>6103</v>
      </c>
    </row>
    <row r="251" spans="1:10" x14ac:dyDescent="0.25">
      <c r="A251" s="8" t="s">
        <v>8242</v>
      </c>
      <c r="B251" t="s">
        <v>4516</v>
      </c>
      <c r="D251" t="s">
        <v>8079</v>
      </c>
      <c r="E251" t="s">
        <v>7657</v>
      </c>
      <c r="H251">
        <v>1</v>
      </c>
      <c r="I251" s="5" t="s">
        <v>4312</v>
      </c>
      <c r="J251" t="s">
        <v>6702</v>
      </c>
    </row>
    <row r="252" spans="1:10" x14ac:dyDescent="0.25">
      <c r="A252" s="8" t="s">
        <v>8919</v>
      </c>
      <c r="C252" t="s">
        <v>6064</v>
      </c>
      <c r="D252" t="s">
        <v>7724</v>
      </c>
      <c r="E252" t="s">
        <v>4340</v>
      </c>
      <c r="G252" t="s">
        <v>5078</v>
      </c>
      <c r="H252">
        <v>0</v>
      </c>
      <c r="I252" s="5">
        <v>45077</v>
      </c>
      <c r="J252" t="s">
        <v>6104</v>
      </c>
    </row>
    <row r="253" spans="1:10" x14ac:dyDescent="0.25">
      <c r="A253" s="8" t="s">
        <v>8813</v>
      </c>
      <c r="B253" t="s">
        <v>4517</v>
      </c>
      <c r="D253" t="s">
        <v>7658</v>
      </c>
      <c r="E253" t="s">
        <v>4340</v>
      </c>
      <c r="H253">
        <v>1</v>
      </c>
      <c r="I253" s="5" t="s">
        <v>4312</v>
      </c>
      <c r="J253" t="s">
        <v>6703</v>
      </c>
    </row>
    <row r="254" spans="1:10" x14ac:dyDescent="0.25">
      <c r="A254" s="8" t="s">
        <v>8746</v>
      </c>
      <c r="D254" t="s">
        <v>4340</v>
      </c>
      <c r="E254" t="s">
        <v>4340</v>
      </c>
      <c r="H254">
        <v>0</v>
      </c>
      <c r="I254" s="5">
        <v>45093</v>
      </c>
      <c r="J254" t="s">
        <v>6370</v>
      </c>
    </row>
    <row r="255" spans="1:10" x14ac:dyDescent="0.25">
      <c r="A255" s="8" t="s">
        <v>8892</v>
      </c>
      <c r="B255" t="s">
        <v>4518</v>
      </c>
      <c r="C255" t="s">
        <v>6049</v>
      </c>
      <c r="D255" t="s">
        <v>7755</v>
      </c>
      <c r="E255" t="s">
        <v>4340</v>
      </c>
      <c r="G255" t="s">
        <v>5053</v>
      </c>
      <c r="H255">
        <v>0</v>
      </c>
      <c r="I255" s="5">
        <v>45199</v>
      </c>
      <c r="J255" t="s">
        <v>6105</v>
      </c>
    </row>
    <row r="256" spans="1:10" x14ac:dyDescent="0.25">
      <c r="A256" s="8" t="s">
        <v>8911</v>
      </c>
      <c r="D256" t="s">
        <v>4340</v>
      </c>
      <c r="E256" t="s">
        <v>4340</v>
      </c>
      <c r="H256">
        <v>0</v>
      </c>
      <c r="I256" s="5">
        <v>44923</v>
      </c>
      <c r="J256" t="s">
        <v>6371</v>
      </c>
    </row>
    <row r="257" spans="1:10" x14ac:dyDescent="0.25">
      <c r="A257" s="8" t="s">
        <v>8529</v>
      </c>
      <c r="D257" t="s">
        <v>4340</v>
      </c>
      <c r="E257" t="s">
        <v>4340</v>
      </c>
      <c r="H257">
        <v>0</v>
      </c>
      <c r="I257" s="5">
        <v>44932</v>
      </c>
      <c r="J257" t="s">
        <v>6372</v>
      </c>
    </row>
    <row r="258" spans="1:10" x14ac:dyDescent="0.25">
      <c r="A258" s="8" t="s">
        <v>8729</v>
      </c>
      <c r="D258" t="s">
        <v>4340</v>
      </c>
      <c r="E258" t="s">
        <v>4340</v>
      </c>
      <c r="H258">
        <v>0</v>
      </c>
      <c r="I258" s="5">
        <v>45055</v>
      </c>
      <c r="J258" t="s">
        <v>6373</v>
      </c>
    </row>
    <row r="259" spans="1:10" x14ac:dyDescent="0.25">
      <c r="A259" s="8" t="s">
        <v>8834</v>
      </c>
      <c r="B259" t="s">
        <v>4519</v>
      </c>
      <c r="D259" t="s">
        <v>7659</v>
      </c>
      <c r="E259" t="s">
        <v>4340</v>
      </c>
      <c r="H259">
        <v>1</v>
      </c>
      <c r="I259" s="5" t="s">
        <v>4312</v>
      </c>
      <c r="J259" t="s">
        <v>6704</v>
      </c>
    </row>
    <row r="260" spans="1:10" x14ac:dyDescent="0.25">
      <c r="A260" s="8" t="s">
        <v>8904</v>
      </c>
      <c r="D260" t="s">
        <v>4340</v>
      </c>
      <c r="E260" t="s">
        <v>4340</v>
      </c>
      <c r="H260">
        <v>0</v>
      </c>
      <c r="I260" s="5">
        <v>45077</v>
      </c>
      <c r="J260" t="s">
        <v>6374</v>
      </c>
    </row>
    <row r="261" spans="1:10" x14ac:dyDescent="0.25">
      <c r="A261" s="8" t="s">
        <v>8715</v>
      </c>
      <c r="C261" t="s">
        <v>6046</v>
      </c>
      <c r="D261" t="s">
        <v>7652</v>
      </c>
      <c r="E261" t="s">
        <v>4340</v>
      </c>
      <c r="H261">
        <v>0</v>
      </c>
      <c r="I261" s="5">
        <v>45240</v>
      </c>
      <c r="J261" t="s">
        <v>6106</v>
      </c>
    </row>
    <row r="262" spans="1:10" x14ac:dyDescent="0.25">
      <c r="A262" s="8" t="s">
        <v>8740</v>
      </c>
      <c r="D262" t="s">
        <v>4340</v>
      </c>
      <c r="E262" t="s">
        <v>4340</v>
      </c>
      <c r="H262">
        <v>0</v>
      </c>
      <c r="I262" s="5">
        <v>45121</v>
      </c>
      <c r="J262" t="s">
        <v>6375</v>
      </c>
    </row>
    <row r="263" spans="1:10" x14ac:dyDescent="0.25">
      <c r="A263" s="8" t="s">
        <v>8958</v>
      </c>
      <c r="D263" t="s">
        <v>4340</v>
      </c>
      <c r="E263" t="s">
        <v>4340</v>
      </c>
      <c r="H263">
        <v>0</v>
      </c>
      <c r="I263" s="5">
        <v>44945</v>
      </c>
      <c r="J263" t="s">
        <v>6376</v>
      </c>
    </row>
    <row r="264" spans="1:10" x14ac:dyDescent="0.25">
      <c r="A264" s="8" t="s">
        <v>8777</v>
      </c>
      <c r="B264" t="s">
        <v>4522</v>
      </c>
      <c r="C264" t="s">
        <v>6050</v>
      </c>
      <c r="D264" t="s">
        <v>7661</v>
      </c>
      <c r="E264" t="s">
        <v>4340</v>
      </c>
      <c r="G264" t="s">
        <v>5054</v>
      </c>
      <c r="H264">
        <v>0</v>
      </c>
      <c r="I264" s="5">
        <v>45869</v>
      </c>
      <c r="J264" t="s">
        <v>6107</v>
      </c>
    </row>
    <row r="265" spans="1:10" x14ac:dyDescent="0.25">
      <c r="A265" s="8" t="s">
        <v>8681</v>
      </c>
      <c r="B265" t="s">
        <v>4523</v>
      </c>
      <c r="D265" t="s">
        <v>7662</v>
      </c>
      <c r="E265" t="s">
        <v>4340</v>
      </c>
      <c r="G265" t="s">
        <v>5055</v>
      </c>
      <c r="H265">
        <v>1</v>
      </c>
      <c r="I265" s="5" t="s">
        <v>4312</v>
      </c>
      <c r="J265" t="s">
        <v>6705</v>
      </c>
    </row>
    <row r="266" spans="1:10" x14ac:dyDescent="0.25">
      <c r="A266" s="8" t="s">
        <v>8354</v>
      </c>
      <c r="D266" t="s">
        <v>4340</v>
      </c>
      <c r="E266" t="s">
        <v>4340</v>
      </c>
      <c r="H266">
        <v>0</v>
      </c>
      <c r="I266" s="5">
        <v>44890</v>
      </c>
      <c r="J266" t="s">
        <v>6377</v>
      </c>
    </row>
    <row r="267" spans="1:10" x14ac:dyDescent="0.25">
      <c r="A267" s="8" t="s">
        <v>8593</v>
      </c>
      <c r="B267" t="s">
        <v>4524</v>
      </c>
      <c r="C267" t="s">
        <v>6051</v>
      </c>
      <c r="D267" t="s">
        <v>7663</v>
      </c>
      <c r="E267" t="s">
        <v>4340</v>
      </c>
      <c r="H267">
        <v>0</v>
      </c>
      <c r="I267" s="5">
        <v>45565</v>
      </c>
      <c r="J267" t="s">
        <v>6108</v>
      </c>
    </row>
    <row r="268" spans="1:10" x14ac:dyDescent="0.25">
      <c r="A268" s="8" t="s">
        <v>8906</v>
      </c>
      <c r="D268" t="s">
        <v>4340</v>
      </c>
      <c r="E268" t="s">
        <v>4340</v>
      </c>
      <c r="H268">
        <v>0</v>
      </c>
      <c r="I268" s="5">
        <v>45169</v>
      </c>
      <c r="J268" t="s">
        <v>6378</v>
      </c>
    </row>
    <row r="269" spans="1:10" x14ac:dyDescent="0.25">
      <c r="A269" s="8" t="s">
        <v>8327</v>
      </c>
      <c r="B269" t="s">
        <v>4525</v>
      </c>
      <c r="D269" t="s">
        <v>7744</v>
      </c>
      <c r="E269" t="s">
        <v>4340</v>
      </c>
      <c r="H269">
        <v>0</v>
      </c>
      <c r="I269" s="5">
        <v>45869</v>
      </c>
      <c r="J269" t="s">
        <v>6379</v>
      </c>
    </row>
    <row r="270" spans="1:10" x14ac:dyDescent="0.25">
      <c r="A270" s="8" t="s">
        <v>8407</v>
      </c>
      <c r="B270" t="s">
        <v>4526</v>
      </c>
      <c r="C270" t="s">
        <v>6053</v>
      </c>
      <c r="D270" t="s">
        <v>7665</v>
      </c>
      <c r="E270" t="s">
        <v>4340</v>
      </c>
      <c r="G270" t="s">
        <v>5056</v>
      </c>
      <c r="H270">
        <v>0</v>
      </c>
      <c r="I270" s="5">
        <v>45808</v>
      </c>
      <c r="J270" t="s">
        <v>6109</v>
      </c>
    </row>
    <row r="271" spans="1:10" x14ac:dyDescent="0.25">
      <c r="A271" s="8" t="s">
        <v>8444</v>
      </c>
      <c r="B271" t="s">
        <v>4527</v>
      </c>
      <c r="C271" t="s">
        <v>6054</v>
      </c>
      <c r="D271" t="s">
        <v>7666</v>
      </c>
      <c r="E271" t="s">
        <v>4340</v>
      </c>
      <c r="H271">
        <v>0</v>
      </c>
      <c r="I271" s="5">
        <v>45590</v>
      </c>
      <c r="J271" t="s">
        <v>6110</v>
      </c>
    </row>
    <row r="272" spans="1:10" x14ac:dyDescent="0.25">
      <c r="A272" s="8" t="s">
        <v>8622</v>
      </c>
      <c r="D272" t="s">
        <v>4340</v>
      </c>
      <c r="E272" t="s">
        <v>4340</v>
      </c>
      <c r="H272">
        <v>0</v>
      </c>
      <c r="I272" s="5">
        <v>45200</v>
      </c>
      <c r="J272" t="s">
        <v>6380</v>
      </c>
    </row>
    <row r="273" spans="1:10" x14ac:dyDescent="0.25">
      <c r="A273" s="8" t="s">
        <v>8539</v>
      </c>
      <c r="B273" t="s">
        <v>4528</v>
      </c>
      <c r="D273" t="s">
        <v>7976</v>
      </c>
      <c r="E273" t="s">
        <v>4340</v>
      </c>
      <c r="G273" t="s">
        <v>5160</v>
      </c>
      <c r="H273">
        <v>1</v>
      </c>
      <c r="I273" s="5" t="s">
        <v>4312</v>
      </c>
      <c r="J273" t="s">
        <v>6706</v>
      </c>
    </row>
    <row r="274" spans="1:10" x14ac:dyDescent="0.25">
      <c r="A274" s="8" t="s">
        <v>8208</v>
      </c>
      <c r="D274" t="s">
        <v>4340</v>
      </c>
      <c r="E274" t="s">
        <v>4340</v>
      </c>
      <c r="H274">
        <v>0</v>
      </c>
      <c r="I274" s="5">
        <v>45071</v>
      </c>
      <c r="J274" t="s">
        <v>6381</v>
      </c>
    </row>
    <row r="275" spans="1:10" x14ac:dyDescent="0.25">
      <c r="A275" s="8" t="s">
        <v>8626</v>
      </c>
      <c r="D275" t="s">
        <v>4340</v>
      </c>
      <c r="E275" t="s">
        <v>4340</v>
      </c>
      <c r="H275">
        <v>0</v>
      </c>
      <c r="I275" s="5">
        <v>45030</v>
      </c>
      <c r="J275" t="s">
        <v>6382</v>
      </c>
    </row>
    <row r="276" spans="1:10" x14ac:dyDescent="0.25">
      <c r="A276" s="8" t="s">
        <v>8218</v>
      </c>
      <c r="D276" t="s">
        <v>4340</v>
      </c>
      <c r="E276" t="s">
        <v>4340</v>
      </c>
      <c r="H276">
        <v>0</v>
      </c>
      <c r="I276" s="5">
        <v>45107</v>
      </c>
      <c r="J276" t="s">
        <v>6383</v>
      </c>
    </row>
    <row r="277" spans="1:10" x14ac:dyDescent="0.25">
      <c r="A277" s="8" t="s">
        <v>8235</v>
      </c>
      <c r="D277" t="s">
        <v>4340</v>
      </c>
      <c r="E277" t="s">
        <v>4340</v>
      </c>
      <c r="H277">
        <v>0</v>
      </c>
      <c r="I277" s="5">
        <v>45049</v>
      </c>
      <c r="J277" t="s">
        <v>6384</v>
      </c>
    </row>
    <row r="278" spans="1:10" x14ac:dyDescent="0.25">
      <c r="A278" s="8" t="s">
        <v>8463</v>
      </c>
      <c r="B278" t="s">
        <v>4529</v>
      </c>
      <c r="D278" t="s">
        <v>7669</v>
      </c>
      <c r="E278" t="s">
        <v>4340</v>
      </c>
      <c r="G278" t="s">
        <v>5058</v>
      </c>
      <c r="H278">
        <v>1</v>
      </c>
      <c r="I278" s="5" t="s">
        <v>4312</v>
      </c>
      <c r="J278" t="s">
        <v>6707</v>
      </c>
    </row>
    <row r="279" spans="1:10" x14ac:dyDescent="0.25">
      <c r="A279" s="8" t="s">
        <v>8653</v>
      </c>
      <c r="D279" t="s">
        <v>4340</v>
      </c>
      <c r="E279" t="s">
        <v>4340</v>
      </c>
      <c r="H279">
        <v>0</v>
      </c>
      <c r="I279" s="5">
        <v>44946</v>
      </c>
      <c r="J279" t="s">
        <v>6385</v>
      </c>
    </row>
    <row r="280" spans="1:10" x14ac:dyDescent="0.25">
      <c r="A280" s="8" t="s">
        <v>8310</v>
      </c>
      <c r="B280" t="s">
        <v>4530</v>
      </c>
      <c r="D280" t="s">
        <v>7888</v>
      </c>
      <c r="E280" t="s">
        <v>7670</v>
      </c>
      <c r="H280">
        <v>1</v>
      </c>
      <c r="I280" s="5" t="s">
        <v>4312</v>
      </c>
      <c r="J280" t="s">
        <v>6708</v>
      </c>
    </row>
    <row r="281" spans="1:10" x14ac:dyDescent="0.25">
      <c r="A281" s="8" t="s">
        <v>8957</v>
      </c>
      <c r="B281" t="s">
        <v>4531</v>
      </c>
      <c r="C281" t="s">
        <v>6055</v>
      </c>
      <c r="D281" t="s">
        <v>7671</v>
      </c>
      <c r="E281" t="s">
        <v>4340</v>
      </c>
      <c r="G281" t="s">
        <v>5059</v>
      </c>
      <c r="H281">
        <v>1</v>
      </c>
      <c r="I281" s="5" t="s">
        <v>4312</v>
      </c>
      <c r="J281" t="s">
        <v>6163</v>
      </c>
    </row>
    <row r="282" spans="1:10" x14ac:dyDescent="0.25">
      <c r="A282" s="8" t="s">
        <v>8706</v>
      </c>
      <c r="D282" t="s">
        <v>4340</v>
      </c>
      <c r="E282" t="s">
        <v>4340</v>
      </c>
      <c r="H282">
        <v>0</v>
      </c>
      <c r="I282" s="5">
        <v>44967</v>
      </c>
      <c r="J282" t="s">
        <v>6386</v>
      </c>
    </row>
    <row r="283" spans="1:10" x14ac:dyDescent="0.25">
      <c r="A283" s="8" t="s">
        <v>8599</v>
      </c>
      <c r="B283" t="s">
        <v>4532</v>
      </c>
      <c r="D283" t="s">
        <v>7892</v>
      </c>
      <c r="E283" t="s">
        <v>7672</v>
      </c>
      <c r="G283" t="s">
        <v>5128</v>
      </c>
      <c r="H283">
        <v>1</v>
      </c>
      <c r="I283" s="5" t="s">
        <v>4312</v>
      </c>
      <c r="J283" t="s">
        <v>6709</v>
      </c>
    </row>
    <row r="284" spans="1:10" x14ac:dyDescent="0.25">
      <c r="A284" s="8" t="s">
        <v>8745</v>
      </c>
      <c r="D284" t="s">
        <v>4340</v>
      </c>
      <c r="E284" t="s">
        <v>4340</v>
      </c>
      <c r="H284">
        <v>0</v>
      </c>
      <c r="I284" s="5">
        <v>45199</v>
      </c>
      <c r="J284" t="s">
        <v>6387</v>
      </c>
    </row>
    <row r="285" spans="1:10" x14ac:dyDescent="0.25">
      <c r="A285" s="8" t="s">
        <v>8749</v>
      </c>
      <c r="D285" t="s">
        <v>7673</v>
      </c>
      <c r="E285" t="s">
        <v>4340</v>
      </c>
      <c r="G285" t="s">
        <v>5060</v>
      </c>
      <c r="H285">
        <v>0</v>
      </c>
      <c r="I285" s="5">
        <v>45397</v>
      </c>
      <c r="J285" t="s">
        <v>6388</v>
      </c>
    </row>
    <row r="286" spans="1:10" x14ac:dyDescent="0.25">
      <c r="A286" s="8" t="s">
        <v>8391</v>
      </c>
      <c r="B286" t="s">
        <v>4533</v>
      </c>
      <c r="D286" t="s">
        <v>7675</v>
      </c>
      <c r="E286" t="s">
        <v>4340</v>
      </c>
      <c r="H286">
        <v>0</v>
      </c>
      <c r="I286" s="5">
        <v>45933</v>
      </c>
      <c r="J286" t="s">
        <v>6389</v>
      </c>
    </row>
    <row r="287" spans="1:10" x14ac:dyDescent="0.25">
      <c r="A287" s="8" t="s">
        <v>8574</v>
      </c>
      <c r="D287" t="s">
        <v>4340</v>
      </c>
      <c r="E287" t="s">
        <v>4340</v>
      </c>
      <c r="H287">
        <v>0</v>
      </c>
      <c r="I287" s="5">
        <v>44985</v>
      </c>
      <c r="J287" t="s">
        <v>6390</v>
      </c>
    </row>
    <row r="288" spans="1:10" x14ac:dyDescent="0.25">
      <c r="A288" s="8" t="s">
        <v>8596</v>
      </c>
      <c r="B288" t="s">
        <v>4534</v>
      </c>
      <c r="D288" t="s">
        <v>8078</v>
      </c>
      <c r="E288" t="s">
        <v>4340</v>
      </c>
      <c r="G288" t="s">
        <v>5185</v>
      </c>
      <c r="H288">
        <v>1</v>
      </c>
      <c r="I288" s="5" t="s">
        <v>4312</v>
      </c>
      <c r="J288" t="s">
        <v>6710</v>
      </c>
    </row>
    <row r="289" spans="1:10" x14ac:dyDescent="0.25">
      <c r="A289" s="8" t="s">
        <v>8506</v>
      </c>
      <c r="B289" t="s">
        <v>4535</v>
      </c>
      <c r="D289" t="s">
        <v>7676</v>
      </c>
      <c r="E289" t="s">
        <v>4340</v>
      </c>
      <c r="G289" t="s">
        <v>5061</v>
      </c>
      <c r="H289">
        <v>1</v>
      </c>
      <c r="I289" s="5" t="s">
        <v>4312</v>
      </c>
      <c r="J289" t="s">
        <v>6711</v>
      </c>
    </row>
    <row r="290" spans="1:10" x14ac:dyDescent="0.25">
      <c r="A290" s="8" t="s">
        <v>8442</v>
      </c>
      <c r="B290" t="s">
        <v>4536</v>
      </c>
      <c r="C290" t="s">
        <v>6056</v>
      </c>
      <c r="D290" t="s">
        <v>7677</v>
      </c>
      <c r="E290" t="s">
        <v>4340</v>
      </c>
      <c r="H290">
        <v>0</v>
      </c>
      <c r="I290" s="5">
        <v>45415</v>
      </c>
      <c r="J290" t="s">
        <v>6111</v>
      </c>
    </row>
    <row r="291" spans="1:10" x14ac:dyDescent="0.25">
      <c r="A291" s="8" t="s">
        <v>8331</v>
      </c>
      <c r="B291" t="s">
        <v>4537</v>
      </c>
      <c r="C291" t="s">
        <v>4340</v>
      </c>
      <c r="D291" t="s">
        <v>8178</v>
      </c>
      <c r="E291" t="s">
        <v>4340</v>
      </c>
      <c r="H291">
        <v>1</v>
      </c>
      <c r="I291" s="5" t="s">
        <v>4312</v>
      </c>
      <c r="J291" t="s">
        <v>6164</v>
      </c>
    </row>
    <row r="292" spans="1:10" x14ac:dyDescent="0.25">
      <c r="A292" s="8" t="s">
        <v>8309</v>
      </c>
      <c r="B292" t="s">
        <v>4538</v>
      </c>
      <c r="D292" t="s">
        <v>7758</v>
      </c>
      <c r="E292" t="s">
        <v>4340</v>
      </c>
      <c r="H292">
        <v>0</v>
      </c>
      <c r="I292" s="5">
        <v>45726</v>
      </c>
      <c r="J292" t="s">
        <v>6391</v>
      </c>
    </row>
    <row r="293" spans="1:10" x14ac:dyDescent="0.25">
      <c r="A293" s="8" t="s">
        <v>8471</v>
      </c>
      <c r="B293" t="s">
        <v>4539</v>
      </c>
      <c r="D293" t="s">
        <v>7678</v>
      </c>
      <c r="E293" t="s">
        <v>4340</v>
      </c>
      <c r="H293">
        <v>1</v>
      </c>
      <c r="I293" s="5" t="s">
        <v>4312</v>
      </c>
      <c r="J293" t="s">
        <v>6712</v>
      </c>
    </row>
    <row r="294" spans="1:10" x14ac:dyDescent="0.25">
      <c r="A294" s="8" t="s">
        <v>8443</v>
      </c>
      <c r="D294" t="s">
        <v>4340</v>
      </c>
      <c r="E294" t="s">
        <v>4340</v>
      </c>
      <c r="H294">
        <v>0</v>
      </c>
      <c r="I294" s="5">
        <v>45077</v>
      </c>
      <c r="J294" t="s">
        <v>6392</v>
      </c>
    </row>
    <row r="295" spans="1:10" x14ac:dyDescent="0.25">
      <c r="A295" s="8" t="s">
        <v>8366</v>
      </c>
      <c r="D295" t="s">
        <v>4340</v>
      </c>
      <c r="E295" t="s">
        <v>4340</v>
      </c>
      <c r="H295">
        <v>0</v>
      </c>
      <c r="I295" s="5">
        <v>45079</v>
      </c>
      <c r="J295" t="s">
        <v>6393</v>
      </c>
    </row>
    <row r="296" spans="1:10" x14ac:dyDescent="0.25">
      <c r="A296" s="8" t="s">
        <v>8479</v>
      </c>
      <c r="B296" t="s">
        <v>4540</v>
      </c>
      <c r="D296" t="s">
        <v>7985</v>
      </c>
      <c r="E296" t="s">
        <v>7679</v>
      </c>
      <c r="H296">
        <v>0</v>
      </c>
      <c r="I296" s="5">
        <v>45961</v>
      </c>
      <c r="J296" t="s">
        <v>6394</v>
      </c>
    </row>
    <row r="297" spans="1:10" x14ac:dyDescent="0.25">
      <c r="A297" s="8" t="s">
        <v>8603</v>
      </c>
      <c r="B297" t="s">
        <v>4541</v>
      </c>
      <c r="D297">
        <v>0</v>
      </c>
      <c r="E297" t="s">
        <v>7680</v>
      </c>
      <c r="H297">
        <v>0</v>
      </c>
      <c r="I297" s="5">
        <v>45488</v>
      </c>
      <c r="J297" t="s">
        <v>6395</v>
      </c>
    </row>
    <row r="298" spans="1:10" x14ac:dyDescent="0.25">
      <c r="A298" s="8" t="s">
        <v>8884</v>
      </c>
      <c r="D298" t="s">
        <v>7681</v>
      </c>
      <c r="E298" t="s">
        <v>4340</v>
      </c>
      <c r="G298" t="s">
        <v>5062</v>
      </c>
      <c r="H298">
        <v>0</v>
      </c>
      <c r="I298" s="5">
        <v>45320</v>
      </c>
      <c r="J298" t="s">
        <v>6396</v>
      </c>
    </row>
    <row r="299" spans="1:10" x14ac:dyDescent="0.25">
      <c r="A299" s="8" t="s">
        <v>8935</v>
      </c>
      <c r="B299" t="s">
        <v>4542</v>
      </c>
      <c r="D299">
        <v>0</v>
      </c>
      <c r="E299" t="s">
        <v>7682</v>
      </c>
      <c r="H299">
        <v>0</v>
      </c>
      <c r="I299" s="5">
        <v>45443</v>
      </c>
      <c r="J299" t="s">
        <v>6397</v>
      </c>
    </row>
    <row r="300" spans="1:10" x14ac:dyDescent="0.25">
      <c r="A300" s="8" t="s">
        <v>8795</v>
      </c>
      <c r="B300" t="s">
        <v>4543</v>
      </c>
      <c r="C300" t="s">
        <v>6057</v>
      </c>
      <c r="D300" t="s">
        <v>7683</v>
      </c>
      <c r="E300" t="s">
        <v>4340</v>
      </c>
      <c r="G300" t="s">
        <v>5063</v>
      </c>
      <c r="H300">
        <v>1</v>
      </c>
      <c r="I300" s="5" t="s">
        <v>4312</v>
      </c>
      <c r="J300" t="s">
        <v>6165</v>
      </c>
    </row>
    <row r="301" spans="1:10" x14ac:dyDescent="0.25">
      <c r="A301" s="8" t="s">
        <v>8887</v>
      </c>
      <c r="B301" t="s">
        <v>4544</v>
      </c>
      <c r="D301" t="s">
        <v>7684</v>
      </c>
      <c r="E301" t="s">
        <v>4340</v>
      </c>
      <c r="G301" t="s">
        <v>5064</v>
      </c>
      <c r="H301">
        <v>1</v>
      </c>
      <c r="I301" s="5" t="s">
        <v>4312</v>
      </c>
      <c r="J301" t="s">
        <v>6713</v>
      </c>
    </row>
    <row r="302" spans="1:10" x14ac:dyDescent="0.25">
      <c r="A302" s="8" t="s">
        <v>8641</v>
      </c>
      <c r="D302" t="s">
        <v>4340</v>
      </c>
      <c r="E302" t="s">
        <v>4340</v>
      </c>
      <c r="H302">
        <v>0</v>
      </c>
      <c r="I302" s="5">
        <v>45173</v>
      </c>
      <c r="J302" t="s">
        <v>6398</v>
      </c>
    </row>
    <row r="303" spans="1:10" x14ac:dyDescent="0.25">
      <c r="A303" s="8" t="s">
        <v>8962</v>
      </c>
      <c r="D303" t="s">
        <v>4340</v>
      </c>
      <c r="E303" t="s">
        <v>4340</v>
      </c>
      <c r="H303">
        <v>0</v>
      </c>
      <c r="I303" s="5">
        <v>45086</v>
      </c>
      <c r="J303" t="s">
        <v>6399</v>
      </c>
    </row>
    <row r="304" spans="1:10" x14ac:dyDescent="0.25">
      <c r="A304" s="8" t="s">
        <v>8971</v>
      </c>
      <c r="B304" t="s">
        <v>4545</v>
      </c>
      <c r="D304" t="s">
        <v>7685</v>
      </c>
      <c r="E304" t="s">
        <v>4340</v>
      </c>
      <c r="G304" t="s">
        <v>5065</v>
      </c>
      <c r="H304">
        <v>0</v>
      </c>
      <c r="I304" s="5">
        <v>45930</v>
      </c>
      <c r="J304" t="s">
        <v>6400</v>
      </c>
    </row>
    <row r="305" spans="1:10" x14ac:dyDescent="0.25">
      <c r="A305" s="8" t="s">
        <v>8266</v>
      </c>
      <c r="C305" t="s">
        <v>6058</v>
      </c>
      <c r="D305" t="s">
        <v>4340</v>
      </c>
      <c r="E305" t="s">
        <v>4340</v>
      </c>
      <c r="H305">
        <v>0</v>
      </c>
      <c r="I305" s="5">
        <v>45199</v>
      </c>
      <c r="J305" t="s">
        <v>6112</v>
      </c>
    </row>
    <row r="306" spans="1:10" x14ac:dyDescent="0.25">
      <c r="A306" s="8" t="s">
        <v>8420</v>
      </c>
      <c r="B306" t="s">
        <v>4546</v>
      </c>
      <c r="D306" t="s">
        <v>7687</v>
      </c>
      <c r="E306" t="s">
        <v>4340</v>
      </c>
      <c r="H306">
        <v>1</v>
      </c>
      <c r="I306" s="5" t="s">
        <v>4312</v>
      </c>
      <c r="J306" t="s">
        <v>6714</v>
      </c>
    </row>
    <row r="307" spans="1:10" x14ac:dyDescent="0.25">
      <c r="A307" s="8" t="s">
        <v>8231</v>
      </c>
      <c r="D307" t="s">
        <v>4340</v>
      </c>
      <c r="E307" t="s">
        <v>4340</v>
      </c>
      <c r="H307">
        <v>0</v>
      </c>
      <c r="I307" s="5">
        <v>45016</v>
      </c>
      <c r="J307" t="s">
        <v>6401</v>
      </c>
    </row>
    <row r="308" spans="1:10" x14ac:dyDescent="0.25">
      <c r="A308" s="8" t="s">
        <v>8602</v>
      </c>
      <c r="D308" t="s">
        <v>4340</v>
      </c>
      <c r="E308" t="s">
        <v>4340</v>
      </c>
      <c r="H308">
        <v>0</v>
      </c>
      <c r="I308" s="5">
        <v>45013</v>
      </c>
      <c r="J308" t="s">
        <v>6402</v>
      </c>
    </row>
    <row r="309" spans="1:10" x14ac:dyDescent="0.25">
      <c r="A309" s="8" t="s">
        <v>8979</v>
      </c>
      <c r="D309" t="s">
        <v>4340</v>
      </c>
      <c r="E309" t="s">
        <v>4340</v>
      </c>
      <c r="H309">
        <v>0</v>
      </c>
      <c r="I309" s="5">
        <v>45065</v>
      </c>
      <c r="J309" t="s">
        <v>6403</v>
      </c>
    </row>
    <row r="310" spans="1:10" x14ac:dyDescent="0.25">
      <c r="A310" s="8" t="s">
        <v>8349</v>
      </c>
      <c r="B310" t="s">
        <v>4547</v>
      </c>
      <c r="D310" t="s">
        <v>7688</v>
      </c>
      <c r="E310" t="s">
        <v>4340</v>
      </c>
      <c r="G310" t="s">
        <v>5066</v>
      </c>
      <c r="H310">
        <v>1</v>
      </c>
      <c r="I310" s="5" t="s">
        <v>4312</v>
      </c>
      <c r="J310" t="s">
        <v>6715</v>
      </c>
    </row>
    <row r="311" spans="1:10" x14ac:dyDescent="0.25">
      <c r="A311" s="8" t="s">
        <v>8563</v>
      </c>
      <c r="B311" t="s">
        <v>4548</v>
      </c>
      <c r="D311" t="s">
        <v>7689</v>
      </c>
      <c r="E311" t="s">
        <v>4340</v>
      </c>
      <c r="G311" t="s">
        <v>5067</v>
      </c>
      <c r="H311">
        <v>0</v>
      </c>
      <c r="I311" s="5">
        <v>45900</v>
      </c>
      <c r="J311" t="s">
        <v>6404</v>
      </c>
    </row>
    <row r="312" spans="1:10" x14ac:dyDescent="0.25">
      <c r="A312" s="8" t="s">
        <v>8683</v>
      </c>
      <c r="B312" t="s">
        <v>4549</v>
      </c>
      <c r="D312" t="s">
        <v>4340</v>
      </c>
      <c r="E312" t="s">
        <v>4340</v>
      </c>
      <c r="H312">
        <v>0</v>
      </c>
      <c r="I312" s="5">
        <v>45605</v>
      </c>
      <c r="J312" t="s">
        <v>6405</v>
      </c>
    </row>
    <row r="313" spans="1:10" x14ac:dyDescent="0.25">
      <c r="A313" s="8" t="s">
        <v>8976</v>
      </c>
      <c r="D313" t="s">
        <v>7759</v>
      </c>
      <c r="E313" t="s">
        <v>4340</v>
      </c>
      <c r="H313">
        <v>0</v>
      </c>
      <c r="I313" s="5">
        <v>45199</v>
      </c>
      <c r="J313" t="s">
        <v>6406</v>
      </c>
    </row>
    <row r="314" spans="1:10" x14ac:dyDescent="0.25">
      <c r="A314" s="8" t="s">
        <v>8521</v>
      </c>
      <c r="B314" t="s">
        <v>4550</v>
      </c>
      <c r="C314" t="s">
        <v>6063</v>
      </c>
      <c r="D314" t="s">
        <v>7720</v>
      </c>
      <c r="E314" t="s">
        <v>4340</v>
      </c>
      <c r="G314" t="s">
        <v>5077</v>
      </c>
      <c r="H314">
        <v>0</v>
      </c>
      <c r="I314" s="5">
        <v>45504</v>
      </c>
      <c r="J314" t="s">
        <v>6113</v>
      </c>
    </row>
    <row r="315" spans="1:10" x14ac:dyDescent="0.25">
      <c r="A315" s="8" t="s">
        <v>8785</v>
      </c>
      <c r="B315" t="s">
        <v>4551</v>
      </c>
      <c r="D315" t="s">
        <v>7690</v>
      </c>
      <c r="E315" t="s">
        <v>4340</v>
      </c>
      <c r="G315" t="s">
        <v>5068</v>
      </c>
      <c r="H315">
        <v>1</v>
      </c>
      <c r="I315" s="5" t="s">
        <v>4312</v>
      </c>
      <c r="J315" t="s">
        <v>6716</v>
      </c>
    </row>
    <row r="316" spans="1:10" x14ac:dyDescent="0.25">
      <c r="A316" s="8" t="s">
        <v>8211</v>
      </c>
      <c r="B316" t="s">
        <v>4552</v>
      </c>
      <c r="D316">
        <v>0</v>
      </c>
      <c r="E316" t="s">
        <v>7691</v>
      </c>
      <c r="H316">
        <v>1</v>
      </c>
      <c r="I316" s="5" t="s">
        <v>4312</v>
      </c>
      <c r="J316" t="s">
        <v>6717</v>
      </c>
    </row>
    <row r="317" spans="1:10" x14ac:dyDescent="0.25">
      <c r="A317" s="8" t="s">
        <v>8728</v>
      </c>
      <c r="D317" t="s">
        <v>4340</v>
      </c>
      <c r="E317" t="s">
        <v>4340</v>
      </c>
      <c r="H317">
        <v>0</v>
      </c>
      <c r="I317" s="5">
        <v>45077</v>
      </c>
      <c r="J317" t="s">
        <v>6407</v>
      </c>
    </row>
    <row r="318" spans="1:10" x14ac:dyDescent="0.25">
      <c r="A318" s="8" t="s">
        <v>8385</v>
      </c>
      <c r="B318" t="s">
        <v>4553</v>
      </c>
      <c r="D318" t="s">
        <v>7692</v>
      </c>
      <c r="E318" t="s">
        <v>4340</v>
      </c>
      <c r="H318">
        <v>0</v>
      </c>
      <c r="I318" s="5">
        <v>45900</v>
      </c>
      <c r="J318" t="s">
        <v>6408</v>
      </c>
    </row>
    <row r="319" spans="1:10" x14ac:dyDescent="0.25">
      <c r="A319" s="8" t="s">
        <v>8579</v>
      </c>
      <c r="D319" t="s">
        <v>4340</v>
      </c>
      <c r="E319" t="s">
        <v>4340</v>
      </c>
      <c r="H319">
        <v>0</v>
      </c>
      <c r="I319" s="5">
        <v>45093</v>
      </c>
      <c r="J319" t="s">
        <v>6409</v>
      </c>
    </row>
    <row r="320" spans="1:10" x14ac:dyDescent="0.25">
      <c r="A320" s="8" t="s">
        <v>8457</v>
      </c>
      <c r="D320" t="s">
        <v>4340</v>
      </c>
      <c r="E320" t="s">
        <v>4340</v>
      </c>
      <c r="H320">
        <v>0</v>
      </c>
      <c r="I320" s="5">
        <v>45116</v>
      </c>
      <c r="J320" t="s">
        <v>6410</v>
      </c>
    </row>
    <row r="321" spans="1:10" x14ac:dyDescent="0.25">
      <c r="A321" s="8" t="s">
        <v>8522</v>
      </c>
      <c r="D321" t="s">
        <v>4340</v>
      </c>
      <c r="E321" t="s">
        <v>4340</v>
      </c>
      <c r="H321">
        <v>0</v>
      </c>
      <c r="I321" s="5">
        <v>45044</v>
      </c>
      <c r="J321" t="s">
        <v>6411</v>
      </c>
    </row>
    <row r="322" spans="1:10" x14ac:dyDescent="0.25">
      <c r="A322" s="8" t="s">
        <v>8610</v>
      </c>
      <c r="B322" t="s">
        <v>4554</v>
      </c>
      <c r="D322" t="s">
        <v>7694</v>
      </c>
      <c r="E322" t="s">
        <v>4340</v>
      </c>
      <c r="H322">
        <v>1</v>
      </c>
      <c r="I322" s="5" t="s">
        <v>4312</v>
      </c>
      <c r="J322" t="s">
        <v>6718</v>
      </c>
    </row>
    <row r="323" spans="1:10" x14ac:dyDescent="0.25">
      <c r="A323" s="8" t="s">
        <v>8606</v>
      </c>
      <c r="B323" t="s">
        <v>4555</v>
      </c>
      <c r="D323" t="s">
        <v>7695</v>
      </c>
      <c r="E323" t="s">
        <v>4340</v>
      </c>
      <c r="H323">
        <v>1</v>
      </c>
      <c r="I323" s="5" t="s">
        <v>4312</v>
      </c>
      <c r="J323" t="s">
        <v>6719</v>
      </c>
    </row>
    <row r="324" spans="1:10" x14ac:dyDescent="0.25">
      <c r="A324" s="8" t="s">
        <v>8965</v>
      </c>
      <c r="B324" t="s">
        <v>4556</v>
      </c>
      <c r="D324">
        <v>0</v>
      </c>
      <c r="E324" t="s">
        <v>7696</v>
      </c>
      <c r="H324">
        <v>0</v>
      </c>
      <c r="I324" s="5">
        <v>45487</v>
      </c>
      <c r="J324" t="s">
        <v>6412</v>
      </c>
    </row>
    <row r="325" spans="1:10" x14ac:dyDescent="0.25">
      <c r="A325" s="8" t="s">
        <v>8896</v>
      </c>
      <c r="D325" t="s">
        <v>4340</v>
      </c>
      <c r="E325" t="s">
        <v>4340</v>
      </c>
      <c r="H325">
        <v>0</v>
      </c>
      <c r="I325" s="5">
        <v>45199</v>
      </c>
      <c r="J325" t="s">
        <v>6413</v>
      </c>
    </row>
    <row r="326" spans="1:10" x14ac:dyDescent="0.25">
      <c r="A326" s="8" t="s">
        <v>8607</v>
      </c>
      <c r="B326" t="s">
        <v>4557</v>
      </c>
      <c r="D326" t="s">
        <v>7697</v>
      </c>
      <c r="E326" t="s">
        <v>4340</v>
      </c>
      <c r="G326" t="s">
        <v>5069</v>
      </c>
      <c r="H326">
        <v>1</v>
      </c>
      <c r="I326" s="5" t="s">
        <v>4312</v>
      </c>
      <c r="J326" t="s">
        <v>6720</v>
      </c>
    </row>
    <row r="327" spans="1:10" x14ac:dyDescent="0.25">
      <c r="A327" s="8" t="s">
        <v>8894</v>
      </c>
      <c r="B327" t="s">
        <v>4558</v>
      </c>
      <c r="D327" t="s">
        <v>7698</v>
      </c>
      <c r="E327" t="s">
        <v>4340</v>
      </c>
      <c r="H327">
        <v>0</v>
      </c>
      <c r="I327" s="5">
        <v>45565</v>
      </c>
      <c r="J327" t="s">
        <v>6414</v>
      </c>
    </row>
    <row r="328" spans="1:10" x14ac:dyDescent="0.25">
      <c r="A328" s="8" t="s">
        <v>8695</v>
      </c>
      <c r="B328" t="s">
        <v>4559</v>
      </c>
      <c r="D328" t="s">
        <v>8076</v>
      </c>
      <c r="E328" t="s">
        <v>4340</v>
      </c>
      <c r="H328">
        <v>1</v>
      </c>
      <c r="I328" s="5" t="s">
        <v>4312</v>
      </c>
      <c r="J328" t="s">
        <v>6721</v>
      </c>
    </row>
    <row r="329" spans="1:10" x14ac:dyDescent="0.25">
      <c r="A329" s="8" t="s">
        <v>8933</v>
      </c>
      <c r="C329" t="s">
        <v>6060</v>
      </c>
      <c r="D329" t="s">
        <v>7700</v>
      </c>
      <c r="E329" t="s">
        <v>4340</v>
      </c>
      <c r="H329">
        <v>0</v>
      </c>
      <c r="I329" s="5">
        <v>45322</v>
      </c>
      <c r="J329" t="s">
        <v>6114</v>
      </c>
    </row>
    <row r="330" spans="1:10" x14ac:dyDescent="0.25">
      <c r="A330" s="8" t="s">
        <v>8269</v>
      </c>
      <c r="B330" t="s">
        <v>4560</v>
      </c>
      <c r="D330" t="s">
        <v>7701</v>
      </c>
      <c r="E330" t="s">
        <v>4340</v>
      </c>
      <c r="H330">
        <v>0</v>
      </c>
      <c r="I330" s="5">
        <v>45534</v>
      </c>
      <c r="J330" t="s">
        <v>6415</v>
      </c>
    </row>
    <row r="331" spans="1:10" x14ac:dyDescent="0.25">
      <c r="A331" s="8" t="s">
        <v>8864</v>
      </c>
      <c r="B331" t="s">
        <v>4561</v>
      </c>
      <c r="C331" t="s">
        <v>6061</v>
      </c>
      <c r="D331" t="s">
        <v>7702</v>
      </c>
      <c r="E331" t="s">
        <v>4340</v>
      </c>
      <c r="G331" t="s">
        <v>5071</v>
      </c>
      <c r="H331">
        <v>1</v>
      </c>
      <c r="I331" s="5" t="s">
        <v>4312</v>
      </c>
      <c r="J331" t="s">
        <v>6166</v>
      </c>
    </row>
    <row r="332" spans="1:10" x14ac:dyDescent="0.25">
      <c r="A332" s="8" t="s">
        <v>8968</v>
      </c>
      <c r="D332" t="s">
        <v>4340</v>
      </c>
      <c r="E332" t="s">
        <v>4340</v>
      </c>
      <c r="H332">
        <v>0</v>
      </c>
      <c r="I332" s="5">
        <v>45205</v>
      </c>
      <c r="J332" t="s">
        <v>6416</v>
      </c>
    </row>
    <row r="333" spans="1:10" x14ac:dyDescent="0.25">
      <c r="A333" s="8" t="s">
        <v>8675</v>
      </c>
      <c r="B333" t="s">
        <v>4562</v>
      </c>
      <c r="C333" t="s">
        <v>6062</v>
      </c>
      <c r="D333" t="s">
        <v>7704</v>
      </c>
      <c r="E333" t="s">
        <v>4340</v>
      </c>
      <c r="G333" t="s">
        <v>5073</v>
      </c>
      <c r="H333">
        <v>0</v>
      </c>
      <c r="I333" s="5">
        <v>45991</v>
      </c>
      <c r="J333" t="s">
        <v>6115</v>
      </c>
    </row>
    <row r="334" spans="1:10" x14ac:dyDescent="0.25">
      <c r="A334" s="8" t="s">
        <v>8840</v>
      </c>
      <c r="D334" t="s">
        <v>4340</v>
      </c>
      <c r="E334" t="s">
        <v>4340</v>
      </c>
      <c r="H334">
        <v>0</v>
      </c>
      <c r="I334" s="5">
        <v>45107</v>
      </c>
      <c r="J334" t="s">
        <v>6417</v>
      </c>
    </row>
    <row r="335" spans="1:10" x14ac:dyDescent="0.25">
      <c r="A335" s="8" t="s">
        <v>8908</v>
      </c>
      <c r="D335" t="s">
        <v>7706</v>
      </c>
      <c r="E335" t="s">
        <v>4340</v>
      </c>
      <c r="H335">
        <v>0</v>
      </c>
      <c r="I335" s="5">
        <v>45219</v>
      </c>
      <c r="J335" t="s">
        <v>6418</v>
      </c>
    </row>
    <row r="336" spans="1:10" x14ac:dyDescent="0.25">
      <c r="A336" s="8" t="s">
        <v>8643</v>
      </c>
      <c r="D336" t="s">
        <v>4340</v>
      </c>
      <c r="E336" t="s">
        <v>4340</v>
      </c>
      <c r="H336">
        <v>0</v>
      </c>
      <c r="I336" s="5">
        <v>45107</v>
      </c>
      <c r="J336" t="s">
        <v>6419</v>
      </c>
    </row>
    <row r="337" spans="1:10" x14ac:dyDescent="0.25">
      <c r="A337" s="8" t="s">
        <v>8592</v>
      </c>
      <c r="D337" t="s">
        <v>7708</v>
      </c>
      <c r="E337" t="s">
        <v>4340</v>
      </c>
      <c r="H337">
        <v>0</v>
      </c>
      <c r="I337" s="5">
        <v>45337</v>
      </c>
      <c r="J337" t="s">
        <v>6420</v>
      </c>
    </row>
    <row r="338" spans="1:10" x14ac:dyDescent="0.25">
      <c r="A338" s="8" t="s">
        <v>8518</v>
      </c>
      <c r="D338" t="s">
        <v>7709</v>
      </c>
      <c r="E338" t="s">
        <v>4340</v>
      </c>
      <c r="H338">
        <v>0</v>
      </c>
      <c r="I338" s="5">
        <v>45321</v>
      </c>
      <c r="J338" t="s">
        <v>6421</v>
      </c>
    </row>
    <row r="339" spans="1:10" x14ac:dyDescent="0.25">
      <c r="A339" s="8" t="s">
        <v>8676</v>
      </c>
      <c r="B339" t="s">
        <v>4563</v>
      </c>
      <c r="C339" t="s">
        <v>4340</v>
      </c>
      <c r="D339" t="s">
        <v>7710</v>
      </c>
      <c r="E339" t="s">
        <v>4340</v>
      </c>
      <c r="G339" t="s">
        <v>5074</v>
      </c>
      <c r="H339">
        <v>1</v>
      </c>
      <c r="I339" s="5" t="s">
        <v>4312</v>
      </c>
      <c r="J339" t="s">
        <v>6167</v>
      </c>
    </row>
    <row r="340" spans="1:10" x14ac:dyDescent="0.25">
      <c r="A340" s="8" t="s">
        <v>8659</v>
      </c>
      <c r="B340" t="s">
        <v>4564</v>
      </c>
      <c r="D340" t="s">
        <v>7711</v>
      </c>
      <c r="E340" t="s">
        <v>4340</v>
      </c>
      <c r="H340">
        <v>0</v>
      </c>
      <c r="I340" s="5">
        <v>45930</v>
      </c>
      <c r="J340" t="s">
        <v>6422</v>
      </c>
    </row>
    <row r="341" spans="1:10" x14ac:dyDescent="0.25">
      <c r="A341" s="8" t="s">
        <v>8323</v>
      </c>
      <c r="B341" t="s">
        <v>4565</v>
      </c>
      <c r="D341" t="s">
        <v>7712</v>
      </c>
      <c r="E341" t="s">
        <v>4340</v>
      </c>
      <c r="H341">
        <v>1</v>
      </c>
      <c r="I341" s="5" t="s">
        <v>4312</v>
      </c>
      <c r="J341" t="s">
        <v>6722</v>
      </c>
    </row>
    <row r="342" spans="1:10" x14ac:dyDescent="0.25">
      <c r="A342" s="8" t="s">
        <v>8714</v>
      </c>
      <c r="B342" t="s">
        <v>4566</v>
      </c>
      <c r="D342" t="s">
        <v>7713</v>
      </c>
      <c r="E342" t="s">
        <v>4340</v>
      </c>
      <c r="H342">
        <v>0</v>
      </c>
      <c r="I342" s="5">
        <v>45747</v>
      </c>
      <c r="J342" t="s">
        <v>6423</v>
      </c>
    </row>
    <row r="343" spans="1:10" x14ac:dyDescent="0.25">
      <c r="A343" s="8" t="s">
        <v>8465</v>
      </c>
      <c r="B343" t="s">
        <v>4567</v>
      </c>
      <c r="D343">
        <v>0</v>
      </c>
      <c r="E343" t="s">
        <v>7714</v>
      </c>
      <c r="H343">
        <v>0</v>
      </c>
      <c r="I343" s="5">
        <v>45477</v>
      </c>
      <c r="J343" t="s">
        <v>6424</v>
      </c>
    </row>
    <row r="344" spans="1:10" x14ac:dyDescent="0.25">
      <c r="A344" s="8" t="s">
        <v>8458</v>
      </c>
      <c r="B344" t="s">
        <v>4568</v>
      </c>
      <c r="D344" t="s">
        <v>7715</v>
      </c>
      <c r="E344" t="s">
        <v>4340</v>
      </c>
      <c r="H344">
        <v>0</v>
      </c>
      <c r="I344" s="5">
        <v>45792</v>
      </c>
      <c r="J344" t="s">
        <v>6425</v>
      </c>
    </row>
    <row r="345" spans="1:10" x14ac:dyDescent="0.25">
      <c r="A345" s="8" t="s">
        <v>8760</v>
      </c>
      <c r="D345" t="s">
        <v>4340</v>
      </c>
      <c r="E345" t="s">
        <v>4340</v>
      </c>
      <c r="H345">
        <v>0</v>
      </c>
      <c r="I345" s="5">
        <v>45139</v>
      </c>
      <c r="J345" t="s">
        <v>6426</v>
      </c>
    </row>
    <row r="346" spans="1:10" x14ac:dyDescent="0.25">
      <c r="A346" s="8" t="s">
        <v>8612</v>
      </c>
      <c r="B346" t="s">
        <v>4569</v>
      </c>
      <c r="D346" t="s">
        <v>7716</v>
      </c>
      <c r="E346" t="s">
        <v>4340</v>
      </c>
      <c r="H346">
        <v>0</v>
      </c>
      <c r="I346" s="5">
        <v>45448</v>
      </c>
      <c r="J346" t="s">
        <v>6427</v>
      </c>
    </row>
    <row r="347" spans="1:10" x14ac:dyDescent="0.25">
      <c r="A347" s="8" t="s">
        <v>8907</v>
      </c>
      <c r="B347" t="s">
        <v>4570</v>
      </c>
      <c r="D347" t="s">
        <v>7717</v>
      </c>
      <c r="E347" t="s">
        <v>4340</v>
      </c>
      <c r="G347" t="s">
        <v>5075</v>
      </c>
      <c r="H347">
        <v>1</v>
      </c>
      <c r="I347" s="5" t="s">
        <v>4312</v>
      </c>
      <c r="J347" t="s">
        <v>6723</v>
      </c>
    </row>
    <row r="348" spans="1:10" x14ac:dyDescent="0.25">
      <c r="A348" s="8" t="s">
        <v>8789</v>
      </c>
      <c r="D348" t="s">
        <v>4340</v>
      </c>
      <c r="E348" t="s">
        <v>4340</v>
      </c>
      <c r="G348" t="s">
        <v>5076</v>
      </c>
      <c r="H348">
        <v>0</v>
      </c>
      <c r="I348" s="5">
        <v>45159</v>
      </c>
      <c r="J348" t="s">
        <v>6428</v>
      </c>
    </row>
    <row r="349" spans="1:10" x14ac:dyDescent="0.25">
      <c r="A349" s="8" t="s">
        <v>8981</v>
      </c>
      <c r="B349" t="s">
        <v>4571</v>
      </c>
      <c r="D349">
        <v>0</v>
      </c>
      <c r="E349" t="s">
        <v>7718</v>
      </c>
      <c r="H349">
        <v>0</v>
      </c>
      <c r="I349" s="5">
        <v>45440</v>
      </c>
      <c r="J349" t="s">
        <v>6429</v>
      </c>
    </row>
    <row r="350" spans="1:10" x14ac:dyDescent="0.25">
      <c r="A350" s="8" t="s">
        <v>8551</v>
      </c>
      <c r="D350" t="s">
        <v>4340</v>
      </c>
      <c r="E350" t="s">
        <v>4340</v>
      </c>
      <c r="H350">
        <v>0</v>
      </c>
      <c r="I350" s="5">
        <v>45272</v>
      </c>
      <c r="J350" t="s">
        <v>6430</v>
      </c>
    </row>
    <row r="351" spans="1:10" x14ac:dyDescent="0.25">
      <c r="A351" s="8" t="s">
        <v>8952</v>
      </c>
      <c r="D351" t="s">
        <v>4340</v>
      </c>
      <c r="E351" t="s">
        <v>4340</v>
      </c>
      <c r="H351">
        <v>0</v>
      </c>
      <c r="I351" s="5">
        <v>45103</v>
      </c>
      <c r="J351" t="s">
        <v>6431</v>
      </c>
    </row>
    <row r="352" spans="1:10" x14ac:dyDescent="0.25">
      <c r="A352" s="8" t="s">
        <v>8244</v>
      </c>
      <c r="B352" t="s">
        <v>4572</v>
      </c>
      <c r="D352" t="s">
        <v>7719</v>
      </c>
      <c r="E352" t="s">
        <v>4340</v>
      </c>
      <c r="H352">
        <v>0</v>
      </c>
      <c r="I352" s="5">
        <v>45838</v>
      </c>
      <c r="J352" t="s">
        <v>6432</v>
      </c>
    </row>
    <row r="353" spans="1:10" x14ac:dyDescent="0.25">
      <c r="A353" s="8" t="s">
        <v>8378</v>
      </c>
      <c r="D353" t="s">
        <v>4340</v>
      </c>
      <c r="E353" t="s">
        <v>4340</v>
      </c>
      <c r="H353">
        <v>0</v>
      </c>
      <c r="I353" s="5">
        <v>45140</v>
      </c>
      <c r="J353" t="s">
        <v>6433</v>
      </c>
    </row>
    <row r="354" spans="1:10" x14ac:dyDescent="0.25">
      <c r="A354" s="8" t="s">
        <v>8369</v>
      </c>
      <c r="B354" t="s">
        <v>4573</v>
      </c>
      <c r="D354" t="s">
        <v>7722</v>
      </c>
      <c r="E354" t="s">
        <v>4340</v>
      </c>
      <c r="H354">
        <v>1</v>
      </c>
      <c r="I354" s="5" t="s">
        <v>4312</v>
      </c>
      <c r="J354" t="s">
        <v>6724</v>
      </c>
    </row>
    <row r="355" spans="1:10" x14ac:dyDescent="0.25">
      <c r="A355" s="8" t="s">
        <v>8278</v>
      </c>
      <c r="B355" t="s">
        <v>4574</v>
      </c>
      <c r="D355" t="s">
        <v>7723</v>
      </c>
      <c r="E355" t="s">
        <v>4340</v>
      </c>
      <c r="H355">
        <v>0</v>
      </c>
      <c r="I355" s="5">
        <v>45777</v>
      </c>
      <c r="J355" t="s">
        <v>6434</v>
      </c>
    </row>
    <row r="356" spans="1:10" x14ac:dyDescent="0.25">
      <c r="A356" s="8" t="s">
        <v>8497</v>
      </c>
      <c r="D356" t="s">
        <v>4340</v>
      </c>
      <c r="E356" t="s">
        <v>4340</v>
      </c>
      <c r="H356">
        <v>0</v>
      </c>
      <c r="I356" s="5">
        <v>45125</v>
      </c>
      <c r="J356" t="s">
        <v>6435</v>
      </c>
    </row>
    <row r="357" spans="1:10" x14ac:dyDescent="0.25">
      <c r="A357" s="8" t="s">
        <v>8275</v>
      </c>
      <c r="D357" t="s">
        <v>7725</v>
      </c>
      <c r="E357" t="s">
        <v>4340</v>
      </c>
      <c r="H357">
        <v>0</v>
      </c>
      <c r="I357" s="5">
        <v>45245</v>
      </c>
      <c r="J357" t="s">
        <v>6436</v>
      </c>
    </row>
    <row r="358" spans="1:10" x14ac:dyDescent="0.25">
      <c r="A358" s="8" t="s">
        <v>8775</v>
      </c>
      <c r="B358" t="s">
        <v>4466</v>
      </c>
      <c r="D358" t="s">
        <v>7644</v>
      </c>
      <c r="E358" t="s">
        <v>4340</v>
      </c>
      <c r="H358">
        <v>1</v>
      </c>
      <c r="I358" s="5" t="s">
        <v>4312</v>
      </c>
      <c r="J358" t="s">
        <v>6725</v>
      </c>
    </row>
    <row r="359" spans="1:10" x14ac:dyDescent="0.25">
      <c r="A359" s="8" t="s">
        <v>8582</v>
      </c>
      <c r="B359" t="s">
        <v>4575</v>
      </c>
      <c r="D359" t="s">
        <v>7727</v>
      </c>
      <c r="E359" t="s">
        <v>4340</v>
      </c>
      <c r="H359">
        <v>0</v>
      </c>
      <c r="I359" s="5">
        <v>45575</v>
      </c>
      <c r="J359" t="s">
        <v>6437</v>
      </c>
    </row>
    <row r="360" spans="1:10" x14ac:dyDescent="0.25">
      <c r="A360" s="8" t="s">
        <v>8538</v>
      </c>
      <c r="D360" t="s">
        <v>4340</v>
      </c>
      <c r="E360" t="s">
        <v>4340</v>
      </c>
      <c r="H360">
        <v>0</v>
      </c>
      <c r="I360" s="5">
        <v>45140</v>
      </c>
      <c r="J360" t="s">
        <v>6438</v>
      </c>
    </row>
    <row r="361" spans="1:10" x14ac:dyDescent="0.25">
      <c r="A361" s="8" t="s">
        <v>8782</v>
      </c>
      <c r="D361" t="s">
        <v>7728</v>
      </c>
      <c r="E361" t="s">
        <v>4340</v>
      </c>
      <c r="H361">
        <v>0</v>
      </c>
      <c r="I361" s="5">
        <v>45412</v>
      </c>
      <c r="J361" t="s">
        <v>6439</v>
      </c>
    </row>
    <row r="362" spans="1:10" x14ac:dyDescent="0.25">
      <c r="A362" s="8" t="s">
        <v>8648</v>
      </c>
      <c r="B362" t="s">
        <v>4576</v>
      </c>
      <c r="D362" t="s">
        <v>7729</v>
      </c>
      <c r="E362" t="s">
        <v>4340</v>
      </c>
      <c r="G362" t="s">
        <v>5079</v>
      </c>
      <c r="H362">
        <v>0</v>
      </c>
      <c r="I362" s="5">
        <v>45629</v>
      </c>
      <c r="J362" t="s">
        <v>6440</v>
      </c>
    </row>
    <row r="363" spans="1:10" x14ac:dyDescent="0.25">
      <c r="A363" s="8" t="s">
        <v>8784</v>
      </c>
      <c r="D363" t="s">
        <v>4340</v>
      </c>
      <c r="E363" t="s">
        <v>4340</v>
      </c>
      <c r="H363">
        <v>0</v>
      </c>
      <c r="I363" s="5">
        <v>45139</v>
      </c>
      <c r="J363" t="s">
        <v>6441</v>
      </c>
    </row>
    <row r="364" spans="1:10" x14ac:dyDescent="0.25">
      <c r="A364" s="8" t="s">
        <v>8856</v>
      </c>
      <c r="B364" t="s">
        <v>4577</v>
      </c>
      <c r="D364" t="s">
        <v>7730</v>
      </c>
      <c r="E364" t="s">
        <v>4340</v>
      </c>
      <c r="G364" t="s">
        <v>5080</v>
      </c>
      <c r="H364">
        <v>1</v>
      </c>
      <c r="I364" s="5" t="s">
        <v>4312</v>
      </c>
      <c r="J364" t="s">
        <v>6726</v>
      </c>
    </row>
    <row r="365" spans="1:10" x14ac:dyDescent="0.25">
      <c r="A365" s="8" t="s">
        <v>8628</v>
      </c>
      <c r="B365" t="s">
        <v>4578</v>
      </c>
      <c r="D365" t="s">
        <v>7731</v>
      </c>
      <c r="E365" t="s">
        <v>4340</v>
      </c>
      <c r="G365" t="s">
        <v>5081</v>
      </c>
      <c r="H365">
        <v>0</v>
      </c>
      <c r="I365" s="5">
        <v>45930</v>
      </c>
      <c r="J365" t="s">
        <v>6442</v>
      </c>
    </row>
    <row r="366" spans="1:10" x14ac:dyDescent="0.25">
      <c r="A366" s="8" t="s">
        <v>8334</v>
      </c>
      <c r="B366" t="s">
        <v>4579</v>
      </c>
      <c r="D366" t="s">
        <v>7869</v>
      </c>
      <c r="E366" t="s">
        <v>7732</v>
      </c>
      <c r="H366">
        <v>0</v>
      </c>
      <c r="I366" s="5">
        <v>45550</v>
      </c>
      <c r="J366" t="s">
        <v>6443</v>
      </c>
    </row>
    <row r="367" spans="1:10" x14ac:dyDescent="0.25">
      <c r="A367" s="8" t="s">
        <v>8821</v>
      </c>
      <c r="B367" t="s">
        <v>4580</v>
      </c>
      <c r="D367" t="s">
        <v>7791</v>
      </c>
      <c r="E367" t="s">
        <v>4340</v>
      </c>
      <c r="H367">
        <v>1</v>
      </c>
      <c r="I367" s="5" t="s">
        <v>4312</v>
      </c>
      <c r="J367" t="s">
        <v>6727</v>
      </c>
    </row>
    <row r="368" spans="1:10" x14ac:dyDescent="0.25">
      <c r="A368" s="8" t="s">
        <v>8524</v>
      </c>
      <c r="B368" t="s">
        <v>4581</v>
      </c>
      <c r="D368" t="s">
        <v>7733</v>
      </c>
      <c r="E368" t="s">
        <v>4340</v>
      </c>
      <c r="H368">
        <v>0</v>
      </c>
      <c r="I368" s="5">
        <v>45843</v>
      </c>
      <c r="J368" t="s">
        <v>6444</v>
      </c>
    </row>
    <row r="369" spans="1:10" x14ac:dyDescent="0.25">
      <c r="A369" s="8" t="s">
        <v>8452</v>
      </c>
      <c r="B369" t="s">
        <v>4582</v>
      </c>
      <c r="D369" t="s">
        <v>7734</v>
      </c>
      <c r="E369" t="s">
        <v>4340</v>
      </c>
      <c r="G369" t="s">
        <v>5082</v>
      </c>
      <c r="H369">
        <v>1</v>
      </c>
      <c r="I369" s="5" t="s">
        <v>4312</v>
      </c>
      <c r="J369" t="s">
        <v>6728</v>
      </c>
    </row>
    <row r="370" spans="1:10" x14ac:dyDescent="0.25">
      <c r="A370" s="8" t="s">
        <v>8577</v>
      </c>
      <c r="B370" t="s">
        <v>4583</v>
      </c>
      <c r="D370" t="s">
        <v>7735</v>
      </c>
      <c r="E370" t="s">
        <v>4340</v>
      </c>
      <c r="H370">
        <v>1</v>
      </c>
      <c r="I370" s="5" t="s">
        <v>4312</v>
      </c>
      <c r="J370" t="s">
        <v>6729</v>
      </c>
    </row>
    <row r="371" spans="1:10" x14ac:dyDescent="0.25">
      <c r="A371" s="8" t="s">
        <v>8742</v>
      </c>
      <c r="B371" t="s">
        <v>4584</v>
      </c>
      <c r="D371" t="s">
        <v>7736</v>
      </c>
      <c r="E371" t="s">
        <v>4340</v>
      </c>
      <c r="H371">
        <v>0</v>
      </c>
      <c r="I371" s="5">
        <v>45947</v>
      </c>
      <c r="J371" t="s">
        <v>6445</v>
      </c>
    </row>
    <row r="372" spans="1:10" x14ac:dyDescent="0.25">
      <c r="A372" s="8" t="s">
        <v>8576</v>
      </c>
      <c r="B372" t="s">
        <v>4585</v>
      </c>
      <c r="C372" t="s">
        <v>6065</v>
      </c>
      <c r="D372" t="s">
        <v>7737</v>
      </c>
      <c r="E372" t="s">
        <v>4340</v>
      </c>
      <c r="G372" t="s">
        <v>5132</v>
      </c>
      <c r="H372">
        <v>1</v>
      </c>
      <c r="I372" s="5" t="s">
        <v>4312</v>
      </c>
      <c r="J372" t="s">
        <v>6168</v>
      </c>
    </row>
    <row r="373" spans="1:10" x14ac:dyDescent="0.25">
      <c r="A373" s="8" t="s">
        <v>8663</v>
      </c>
      <c r="D373" t="s">
        <v>4340</v>
      </c>
      <c r="E373" t="s">
        <v>4340</v>
      </c>
      <c r="H373">
        <v>0</v>
      </c>
      <c r="I373" s="5">
        <v>45159</v>
      </c>
      <c r="J373" t="s">
        <v>6446</v>
      </c>
    </row>
    <row r="374" spans="1:10" x14ac:dyDescent="0.25">
      <c r="A374" s="8" t="s">
        <v>8500</v>
      </c>
      <c r="D374" t="s">
        <v>4340</v>
      </c>
      <c r="E374" t="s">
        <v>4340</v>
      </c>
      <c r="H374">
        <v>0</v>
      </c>
      <c r="I374" s="5">
        <v>45182</v>
      </c>
      <c r="J374" t="s">
        <v>6447</v>
      </c>
    </row>
    <row r="375" spans="1:10" x14ac:dyDescent="0.25">
      <c r="A375" s="8" t="s">
        <v>8886</v>
      </c>
      <c r="B375" t="s">
        <v>4586</v>
      </c>
      <c r="D375" t="s">
        <v>7829</v>
      </c>
      <c r="E375" t="s">
        <v>4340</v>
      </c>
      <c r="G375" t="s">
        <v>5083</v>
      </c>
      <c r="H375">
        <v>0</v>
      </c>
      <c r="I375" s="5">
        <v>45351</v>
      </c>
      <c r="J375" t="s">
        <v>6448</v>
      </c>
    </row>
    <row r="376" spans="1:10" x14ac:dyDescent="0.25">
      <c r="A376" s="8" t="s">
        <v>8433</v>
      </c>
      <c r="B376" t="s">
        <v>4587</v>
      </c>
      <c r="D376" t="s">
        <v>7738</v>
      </c>
      <c r="E376" t="s">
        <v>4340</v>
      </c>
      <c r="G376" t="s">
        <v>5084</v>
      </c>
      <c r="H376">
        <v>1</v>
      </c>
      <c r="I376" s="5" t="s">
        <v>4312</v>
      </c>
      <c r="J376" t="s">
        <v>6730</v>
      </c>
    </row>
    <row r="377" spans="1:10" x14ac:dyDescent="0.25">
      <c r="A377" s="8" t="s">
        <v>8738</v>
      </c>
      <c r="B377" t="s">
        <v>4588</v>
      </c>
      <c r="D377" t="s">
        <v>7739</v>
      </c>
      <c r="E377" t="s">
        <v>4340</v>
      </c>
      <c r="G377" t="s">
        <v>5085</v>
      </c>
      <c r="H377">
        <v>0</v>
      </c>
      <c r="I377" s="5">
        <v>45753</v>
      </c>
      <c r="J377" t="s">
        <v>6449</v>
      </c>
    </row>
    <row r="378" spans="1:10" x14ac:dyDescent="0.25">
      <c r="A378" s="8" t="s">
        <v>8544</v>
      </c>
      <c r="B378" t="s">
        <v>4589</v>
      </c>
      <c r="D378" t="s">
        <v>7740</v>
      </c>
      <c r="E378" t="s">
        <v>4340</v>
      </c>
      <c r="H378">
        <v>0</v>
      </c>
      <c r="I378" s="5">
        <v>45508</v>
      </c>
      <c r="J378" t="s">
        <v>6450</v>
      </c>
    </row>
    <row r="379" spans="1:10" x14ac:dyDescent="0.25">
      <c r="A379" s="8" t="s">
        <v>8453</v>
      </c>
      <c r="B379" t="s">
        <v>4590</v>
      </c>
      <c r="D379" t="s">
        <v>7746</v>
      </c>
      <c r="E379" t="s">
        <v>4340</v>
      </c>
      <c r="H379">
        <v>1</v>
      </c>
      <c r="I379" s="5" t="s">
        <v>4312</v>
      </c>
      <c r="J379" t="s">
        <v>6731</v>
      </c>
    </row>
    <row r="380" spans="1:10" x14ac:dyDescent="0.25">
      <c r="A380" s="8" t="s">
        <v>8466</v>
      </c>
      <c r="D380" t="s">
        <v>7747</v>
      </c>
      <c r="E380" t="s">
        <v>4340</v>
      </c>
      <c r="H380">
        <v>0</v>
      </c>
      <c r="I380" s="5">
        <v>45212</v>
      </c>
      <c r="J380" t="s">
        <v>6451</v>
      </c>
    </row>
    <row r="381" spans="1:10" x14ac:dyDescent="0.25">
      <c r="A381" s="8" t="s">
        <v>8836</v>
      </c>
      <c r="B381" t="s">
        <v>4718</v>
      </c>
      <c r="D381" t="s">
        <v>8069</v>
      </c>
      <c r="E381" t="s">
        <v>4340</v>
      </c>
      <c r="G381" t="s">
        <v>5183</v>
      </c>
      <c r="H381">
        <v>1</v>
      </c>
      <c r="I381" s="5" t="s">
        <v>4312</v>
      </c>
      <c r="J381" t="s">
        <v>6732</v>
      </c>
    </row>
    <row r="382" spans="1:10" x14ac:dyDescent="0.25">
      <c r="A382" s="8" t="s">
        <v>8279</v>
      </c>
      <c r="D382" t="s">
        <v>7749</v>
      </c>
      <c r="E382" t="s">
        <v>4340</v>
      </c>
      <c r="H382">
        <v>0</v>
      </c>
      <c r="I382" s="5">
        <v>45286</v>
      </c>
      <c r="J382" t="s">
        <v>6452</v>
      </c>
    </row>
    <row r="383" spans="1:10" x14ac:dyDescent="0.25">
      <c r="A383" s="8" t="s">
        <v>8600</v>
      </c>
      <c r="B383" t="s">
        <v>4591</v>
      </c>
      <c r="D383" t="s">
        <v>7750</v>
      </c>
      <c r="E383" t="s">
        <v>4340</v>
      </c>
      <c r="H383">
        <v>1</v>
      </c>
      <c r="I383" s="5" t="s">
        <v>4312</v>
      </c>
      <c r="J383" t="s">
        <v>6733</v>
      </c>
    </row>
    <row r="384" spans="1:10" x14ac:dyDescent="0.25">
      <c r="A384" s="8" t="s">
        <v>8674</v>
      </c>
      <c r="B384" t="s">
        <v>4592</v>
      </c>
      <c r="D384" t="s">
        <v>8092</v>
      </c>
      <c r="E384" t="s">
        <v>7751</v>
      </c>
      <c r="H384">
        <v>1</v>
      </c>
      <c r="I384" s="5" t="s">
        <v>4312</v>
      </c>
      <c r="J384" t="s">
        <v>6734</v>
      </c>
    </row>
    <row r="385" spans="1:10" x14ac:dyDescent="0.25">
      <c r="A385" s="8" t="s">
        <v>8889</v>
      </c>
      <c r="B385" t="s">
        <v>4593</v>
      </c>
      <c r="C385" t="s">
        <v>6067</v>
      </c>
      <c r="D385" t="s">
        <v>7752</v>
      </c>
      <c r="E385" t="s">
        <v>4340</v>
      </c>
      <c r="G385" t="s">
        <v>5086</v>
      </c>
      <c r="H385">
        <v>0</v>
      </c>
      <c r="I385" s="5">
        <v>45849</v>
      </c>
      <c r="J385" t="s">
        <v>6116</v>
      </c>
    </row>
    <row r="386" spans="1:10" x14ac:dyDescent="0.25">
      <c r="A386" s="8" t="s">
        <v>8496</v>
      </c>
      <c r="B386" t="s">
        <v>4594</v>
      </c>
      <c r="D386" t="s">
        <v>7753</v>
      </c>
      <c r="E386" t="s">
        <v>4340</v>
      </c>
      <c r="H386">
        <v>1</v>
      </c>
      <c r="I386" s="5" t="s">
        <v>4312</v>
      </c>
      <c r="J386" t="s">
        <v>6735</v>
      </c>
    </row>
    <row r="387" spans="1:10" x14ac:dyDescent="0.25">
      <c r="A387" s="8" t="s">
        <v>8991</v>
      </c>
      <c r="B387" t="s">
        <v>4595</v>
      </c>
      <c r="D387">
        <v>0</v>
      </c>
      <c r="E387" t="s">
        <v>7874</v>
      </c>
      <c r="H387">
        <v>1</v>
      </c>
      <c r="I387" s="5" t="s">
        <v>4312</v>
      </c>
      <c r="J387" t="s">
        <v>6736</v>
      </c>
    </row>
    <row r="388" spans="1:10" x14ac:dyDescent="0.25">
      <c r="A388" s="8" t="s">
        <v>8805</v>
      </c>
      <c r="B388" t="s">
        <v>4596</v>
      </c>
      <c r="D388" t="s">
        <v>7757</v>
      </c>
      <c r="E388" t="s">
        <v>7973</v>
      </c>
      <c r="H388">
        <v>1</v>
      </c>
      <c r="I388" s="5" t="s">
        <v>4312</v>
      </c>
      <c r="J388" t="s">
        <v>6737</v>
      </c>
    </row>
    <row r="389" spans="1:10" x14ac:dyDescent="0.25">
      <c r="A389" s="8" t="s">
        <v>8368</v>
      </c>
      <c r="B389" t="s">
        <v>4597</v>
      </c>
      <c r="D389">
        <v>0</v>
      </c>
      <c r="E389" t="s">
        <v>7761</v>
      </c>
      <c r="G389" t="s">
        <v>5088</v>
      </c>
      <c r="H389">
        <v>1</v>
      </c>
      <c r="I389" s="5" t="s">
        <v>4312</v>
      </c>
      <c r="J389" t="s">
        <v>6738</v>
      </c>
    </row>
    <row r="390" spans="1:10" x14ac:dyDescent="0.25">
      <c r="A390" s="8" t="s">
        <v>8825</v>
      </c>
      <c r="B390" t="s">
        <v>4598</v>
      </c>
      <c r="D390" t="s">
        <v>7762</v>
      </c>
      <c r="E390" t="s">
        <v>4340</v>
      </c>
      <c r="H390">
        <v>1</v>
      </c>
      <c r="I390" s="5" t="s">
        <v>4312</v>
      </c>
      <c r="J390" t="s">
        <v>6739</v>
      </c>
    </row>
    <row r="391" spans="1:10" x14ac:dyDescent="0.25">
      <c r="A391" s="8" t="s">
        <v>8332</v>
      </c>
      <c r="B391" t="s">
        <v>4599</v>
      </c>
      <c r="D391" t="s">
        <v>7763</v>
      </c>
      <c r="E391" t="s">
        <v>4340</v>
      </c>
      <c r="H391">
        <v>0</v>
      </c>
      <c r="I391" s="5">
        <v>45491</v>
      </c>
      <c r="J391" t="s">
        <v>6453</v>
      </c>
    </row>
    <row r="392" spans="1:10" x14ac:dyDescent="0.25">
      <c r="A392" s="8" t="s">
        <v>8441</v>
      </c>
      <c r="B392" t="s">
        <v>4600</v>
      </c>
      <c r="D392" t="s">
        <v>7764</v>
      </c>
      <c r="E392" t="s">
        <v>4340</v>
      </c>
      <c r="H392">
        <v>0</v>
      </c>
      <c r="I392" s="5">
        <v>45504</v>
      </c>
      <c r="J392" t="s">
        <v>6454</v>
      </c>
    </row>
    <row r="393" spans="1:10" x14ac:dyDescent="0.25">
      <c r="A393" s="8" t="s">
        <v>8828</v>
      </c>
      <c r="B393" t="s">
        <v>4601</v>
      </c>
      <c r="D393" t="s">
        <v>7765</v>
      </c>
      <c r="E393" t="s">
        <v>4340</v>
      </c>
      <c r="G393" t="s">
        <v>5089</v>
      </c>
      <c r="H393">
        <v>0</v>
      </c>
      <c r="I393" s="5">
        <v>45970</v>
      </c>
      <c r="J393" t="s">
        <v>6455</v>
      </c>
    </row>
    <row r="394" spans="1:10" x14ac:dyDescent="0.25">
      <c r="A394" s="8" t="s">
        <v>8418</v>
      </c>
      <c r="B394" t="s">
        <v>4602</v>
      </c>
      <c r="D394" t="s">
        <v>7766</v>
      </c>
      <c r="E394" t="s">
        <v>4340</v>
      </c>
      <c r="G394" t="s">
        <v>5090</v>
      </c>
      <c r="H394">
        <v>0</v>
      </c>
      <c r="I394" s="5">
        <v>45863</v>
      </c>
      <c r="J394" t="s">
        <v>6456</v>
      </c>
    </row>
    <row r="395" spans="1:10" x14ac:dyDescent="0.25">
      <c r="A395" s="8" t="s">
        <v>8614</v>
      </c>
      <c r="B395" t="s">
        <v>4603</v>
      </c>
      <c r="D395" t="s">
        <v>7768</v>
      </c>
      <c r="E395" t="s">
        <v>4340</v>
      </c>
      <c r="G395" t="s">
        <v>5091</v>
      </c>
      <c r="H395">
        <v>0</v>
      </c>
      <c r="I395" s="5">
        <v>45961</v>
      </c>
      <c r="J395" t="s">
        <v>6457</v>
      </c>
    </row>
    <row r="396" spans="1:10" x14ac:dyDescent="0.25">
      <c r="A396" s="8" t="s">
        <v>8774</v>
      </c>
      <c r="D396" t="s">
        <v>4340</v>
      </c>
      <c r="E396" t="s">
        <v>4340</v>
      </c>
      <c r="H396">
        <v>0</v>
      </c>
      <c r="I396" s="5">
        <v>45211</v>
      </c>
      <c r="J396" t="s">
        <v>6458</v>
      </c>
    </row>
    <row r="397" spans="1:10" x14ac:dyDescent="0.25">
      <c r="A397" s="8" t="s">
        <v>8655</v>
      </c>
      <c r="D397" t="s">
        <v>7769</v>
      </c>
      <c r="E397" t="s">
        <v>4340</v>
      </c>
      <c r="G397" t="s">
        <v>5092</v>
      </c>
      <c r="H397">
        <v>0</v>
      </c>
      <c r="I397" s="5">
        <v>45223</v>
      </c>
      <c r="J397" t="s">
        <v>6459</v>
      </c>
    </row>
    <row r="398" spans="1:10" x14ac:dyDescent="0.25">
      <c r="A398" s="8" t="s">
        <v>8263</v>
      </c>
      <c r="B398" t="s">
        <v>4604</v>
      </c>
      <c r="D398" t="s">
        <v>7770</v>
      </c>
      <c r="E398" t="s">
        <v>4340</v>
      </c>
      <c r="H398">
        <v>1</v>
      </c>
      <c r="I398" s="5" t="s">
        <v>4312</v>
      </c>
      <c r="J398" t="s">
        <v>6740</v>
      </c>
    </row>
    <row r="399" spans="1:10" x14ac:dyDescent="0.25">
      <c r="A399" s="8" t="s">
        <v>8920</v>
      </c>
      <c r="B399" t="s">
        <v>4605</v>
      </c>
      <c r="D399" t="s">
        <v>8067</v>
      </c>
      <c r="E399" t="s">
        <v>7771</v>
      </c>
      <c r="H399">
        <v>0</v>
      </c>
      <c r="I399" s="5">
        <v>45808</v>
      </c>
      <c r="J399" t="s">
        <v>6460</v>
      </c>
    </row>
    <row r="400" spans="1:10" x14ac:dyDescent="0.25">
      <c r="A400" s="8" t="s">
        <v>8230</v>
      </c>
      <c r="B400" t="s">
        <v>4606</v>
      </c>
      <c r="D400" t="s">
        <v>7772</v>
      </c>
      <c r="E400" t="s">
        <v>4340</v>
      </c>
      <c r="G400" t="s">
        <v>5093</v>
      </c>
      <c r="H400">
        <v>0</v>
      </c>
      <c r="I400" s="5">
        <v>45517</v>
      </c>
      <c r="J400" t="s">
        <v>6461</v>
      </c>
    </row>
    <row r="401" spans="1:10" x14ac:dyDescent="0.25">
      <c r="A401" s="8" t="s">
        <v>8520</v>
      </c>
      <c r="D401" t="s">
        <v>4340</v>
      </c>
      <c r="E401" t="s">
        <v>4340</v>
      </c>
      <c r="H401">
        <v>0</v>
      </c>
      <c r="I401" s="5">
        <v>45301</v>
      </c>
      <c r="J401" t="s">
        <v>6462</v>
      </c>
    </row>
    <row r="402" spans="1:10" x14ac:dyDescent="0.25">
      <c r="A402" s="8" t="s">
        <v>8502</v>
      </c>
      <c r="D402" t="s">
        <v>7773</v>
      </c>
      <c r="E402" t="s">
        <v>4340</v>
      </c>
      <c r="H402">
        <v>0</v>
      </c>
      <c r="I402" s="5">
        <v>45245</v>
      </c>
      <c r="J402" t="s">
        <v>6463</v>
      </c>
    </row>
    <row r="403" spans="1:10" x14ac:dyDescent="0.25">
      <c r="A403" s="8" t="s">
        <v>8609</v>
      </c>
      <c r="D403" t="s">
        <v>4340</v>
      </c>
      <c r="E403" t="s">
        <v>4340</v>
      </c>
      <c r="H403">
        <v>0</v>
      </c>
      <c r="I403" s="5">
        <v>45260</v>
      </c>
      <c r="J403" t="s">
        <v>6464</v>
      </c>
    </row>
    <row r="404" spans="1:10" x14ac:dyDescent="0.25">
      <c r="A404" s="8" t="s">
        <v>8770</v>
      </c>
      <c r="D404" t="s">
        <v>7774</v>
      </c>
      <c r="E404" t="s">
        <v>4340</v>
      </c>
      <c r="H404">
        <v>0</v>
      </c>
      <c r="I404" s="5">
        <v>45226</v>
      </c>
      <c r="J404" t="s">
        <v>6465</v>
      </c>
    </row>
    <row r="405" spans="1:10" x14ac:dyDescent="0.25">
      <c r="A405" s="8" t="s">
        <v>8733</v>
      </c>
      <c r="D405" t="s">
        <v>4340</v>
      </c>
      <c r="E405" t="s">
        <v>4340</v>
      </c>
      <c r="H405">
        <v>0</v>
      </c>
      <c r="I405" s="5">
        <v>45244</v>
      </c>
      <c r="J405" t="s">
        <v>6466</v>
      </c>
    </row>
    <row r="406" spans="1:10" x14ac:dyDescent="0.25">
      <c r="A406" s="8" t="s">
        <v>8804</v>
      </c>
      <c r="D406" t="s">
        <v>7775</v>
      </c>
      <c r="E406" t="s">
        <v>4340</v>
      </c>
      <c r="H406">
        <v>0</v>
      </c>
      <c r="I406" s="5">
        <v>45322</v>
      </c>
      <c r="J406" t="s">
        <v>6467</v>
      </c>
    </row>
    <row r="407" spans="1:10" x14ac:dyDescent="0.25">
      <c r="A407" s="8" t="s">
        <v>8519</v>
      </c>
      <c r="D407" t="s">
        <v>7776</v>
      </c>
      <c r="E407" t="s">
        <v>4340</v>
      </c>
      <c r="H407">
        <v>0</v>
      </c>
      <c r="I407" s="5">
        <v>45233</v>
      </c>
      <c r="J407" t="s">
        <v>6468</v>
      </c>
    </row>
    <row r="408" spans="1:10" x14ac:dyDescent="0.25">
      <c r="A408" s="8" t="s">
        <v>8899</v>
      </c>
      <c r="B408" t="s">
        <v>4607</v>
      </c>
      <c r="D408" t="s">
        <v>7777</v>
      </c>
      <c r="E408" t="s">
        <v>4340</v>
      </c>
      <c r="G408" t="s">
        <v>5094</v>
      </c>
      <c r="H408">
        <v>1</v>
      </c>
      <c r="I408" s="5" t="s">
        <v>4312</v>
      </c>
      <c r="J408" t="s">
        <v>6741</v>
      </c>
    </row>
    <row r="409" spans="1:10" x14ac:dyDescent="0.25">
      <c r="A409" s="8" t="s">
        <v>8569</v>
      </c>
      <c r="B409" t="s">
        <v>4608</v>
      </c>
      <c r="D409" t="s">
        <v>7778</v>
      </c>
      <c r="E409" t="s">
        <v>4340</v>
      </c>
      <c r="H409">
        <v>0</v>
      </c>
      <c r="I409" s="5">
        <v>45460</v>
      </c>
      <c r="J409" t="s">
        <v>6469</v>
      </c>
    </row>
    <row r="410" spans="1:10" x14ac:dyDescent="0.25">
      <c r="A410" s="8" t="s">
        <v>8732</v>
      </c>
      <c r="B410" t="s">
        <v>4609</v>
      </c>
      <c r="D410" t="s">
        <v>7779</v>
      </c>
      <c r="E410" t="s">
        <v>4340</v>
      </c>
      <c r="H410">
        <v>0</v>
      </c>
      <c r="I410" s="5">
        <v>45504</v>
      </c>
      <c r="J410" t="s">
        <v>6470</v>
      </c>
    </row>
    <row r="411" spans="1:10" x14ac:dyDescent="0.25">
      <c r="A411" s="8" t="s">
        <v>8680</v>
      </c>
      <c r="B411" t="s">
        <v>4610</v>
      </c>
      <c r="D411" t="s">
        <v>7780</v>
      </c>
      <c r="E411" t="s">
        <v>4340</v>
      </c>
      <c r="G411" t="s">
        <v>5095</v>
      </c>
      <c r="H411">
        <v>1</v>
      </c>
      <c r="I411" s="5" t="s">
        <v>4312</v>
      </c>
      <c r="J411" t="s">
        <v>6742</v>
      </c>
    </row>
    <row r="412" spans="1:10" x14ac:dyDescent="0.25">
      <c r="A412" s="8" t="s">
        <v>8963</v>
      </c>
      <c r="B412" t="s">
        <v>4611</v>
      </c>
      <c r="D412">
        <v>0</v>
      </c>
      <c r="E412" t="s">
        <v>7781</v>
      </c>
      <c r="H412">
        <v>0</v>
      </c>
      <c r="I412" s="5">
        <v>45842</v>
      </c>
      <c r="J412" t="s">
        <v>6471</v>
      </c>
    </row>
    <row r="413" spans="1:10" x14ac:dyDescent="0.25">
      <c r="A413" s="8" t="s">
        <v>8692</v>
      </c>
      <c r="B413" t="s">
        <v>4612</v>
      </c>
      <c r="D413" t="s">
        <v>7782</v>
      </c>
      <c r="E413" t="s">
        <v>4340</v>
      </c>
      <c r="G413" t="s">
        <v>5096</v>
      </c>
      <c r="H413">
        <v>1</v>
      </c>
      <c r="I413" s="5" t="s">
        <v>4312</v>
      </c>
      <c r="J413" t="s">
        <v>6743</v>
      </c>
    </row>
    <row r="414" spans="1:10" x14ac:dyDescent="0.25">
      <c r="A414" s="8" t="s">
        <v>8372</v>
      </c>
      <c r="D414" t="s">
        <v>7783</v>
      </c>
      <c r="E414" t="s">
        <v>4340</v>
      </c>
      <c r="H414">
        <v>0</v>
      </c>
      <c r="I414" s="5">
        <v>45378</v>
      </c>
      <c r="J414" t="s">
        <v>6472</v>
      </c>
    </row>
    <row r="415" spans="1:10" x14ac:dyDescent="0.25">
      <c r="A415" s="8" t="s">
        <v>8298</v>
      </c>
      <c r="B415" t="s">
        <v>4613</v>
      </c>
      <c r="D415" t="s">
        <v>7784</v>
      </c>
      <c r="E415" t="s">
        <v>4340</v>
      </c>
      <c r="H415">
        <v>1</v>
      </c>
      <c r="I415" s="5" t="s">
        <v>4312</v>
      </c>
      <c r="J415" t="s">
        <v>6744</v>
      </c>
    </row>
    <row r="416" spans="1:10" x14ac:dyDescent="0.25">
      <c r="A416" s="8" t="s">
        <v>8800</v>
      </c>
      <c r="B416" t="s">
        <v>4614</v>
      </c>
      <c r="C416" t="s">
        <v>6069</v>
      </c>
      <c r="D416" t="s">
        <v>7785</v>
      </c>
      <c r="E416" t="s">
        <v>4340</v>
      </c>
      <c r="H416">
        <v>0</v>
      </c>
      <c r="I416" s="5">
        <v>45695</v>
      </c>
      <c r="J416" t="s">
        <v>6117</v>
      </c>
    </row>
    <row r="417" spans="1:10" x14ac:dyDescent="0.25">
      <c r="A417" s="8" t="s">
        <v>8286</v>
      </c>
      <c r="B417" t="s">
        <v>4615</v>
      </c>
      <c r="D417" t="s">
        <v>7786</v>
      </c>
      <c r="E417" t="s">
        <v>4340</v>
      </c>
      <c r="H417">
        <v>1</v>
      </c>
      <c r="I417" s="5" t="s">
        <v>4312</v>
      </c>
      <c r="J417" t="s">
        <v>6745</v>
      </c>
    </row>
    <row r="418" spans="1:10" x14ac:dyDescent="0.25">
      <c r="A418" s="8" t="s">
        <v>8581</v>
      </c>
      <c r="B418" t="s">
        <v>4616</v>
      </c>
      <c r="D418" t="s">
        <v>4340</v>
      </c>
      <c r="E418" t="s">
        <v>4340</v>
      </c>
      <c r="G418" t="s">
        <v>5088</v>
      </c>
      <c r="H418">
        <v>0</v>
      </c>
      <c r="I418" s="5">
        <v>45596</v>
      </c>
      <c r="J418" t="s">
        <v>6473</v>
      </c>
    </row>
    <row r="419" spans="1:10" x14ac:dyDescent="0.25">
      <c r="A419" s="8" t="s">
        <v>8307</v>
      </c>
      <c r="D419" t="s">
        <v>7787</v>
      </c>
      <c r="E419" t="s">
        <v>4340</v>
      </c>
      <c r="H419">
        <v>0</v>
      </c>
      <c r="I419" s="5">
        <v>45309</v>
      </c>
      <c r="J419" t="s">
        <v>6474</v>
      </c>
    </row>
    <row r="420" spans="1:10" x14ac:dyDescent="0.25">
      <c r="A420" s="8" t="s">
        <v>8424</v>
      </c>
      <c r="D420" t="s">
        <v>7788</v>
      </c>
      <c r="E420" t="s">
        <v>4340</v>
      </c>
      <c r="H420">
        <v>0</v>
      </c>
      <c r="I420" s="5">
        <v>45254</v>
      </c>
      <c r="J420" t="s">
        <v>6475</v>
      </c>
    </row>
    <row r="421" spans="1:10" x14ac:dyDescent="0.25">
      <c r="A421" s="8" t="s">
        <v>8801</v>
      </c>
      <c r="B421" t="s">
        <v>4617</v>
      </c>
      <c r="D421" t="s">
        <v>7789</v>
      </c>
      <c r="E421" t="s">
        <v>4340</v>
      </c>
      <c r="G421" t="s">
        <v>5097</v>
      </c>
      <c r="H421">
        <v>1</v>
      </c>
      <c r="I421" s="5" t="s">
        <v>4312</v>
      </c>
      <c r="J421" t="s">
        <v>6746</v>
      </c>
    </row>
    <row r="422" spans="1:10" x14ac:dyDescent="0.25">
      <c r="A422" s="8" t="s">
        <v>8329</v>
      </c>
      <c r="B422" t="s">
        <v>4618</v>
      </c>
      <c r="D422">
        <v>0</v>
      </c>
      <c r="E422" t="s">
        <v>7790</v>
      </c>
      <c r="H422">
        <v>1</v>
      </c>
      <c r="I422" s="5" t="s">
        <v>4312</v>
      </c>
      <c r="J422" t="s">
        <v>6747</v>
      </c>
    </row>
    <row r="423" spans="1:10" x14ac:dyDescent="0.25">
      <c r="A423" s="8" t="s">
        <v>8625</v>
      </c>
      <c r="B423" t="s">
        <v>4619</v>
      </c>
      <c r="D423">
        <v>0</v>
      </c>
      <c r="E423" t="s">
        <v>7792</v>
      </c>
      <c r="H423">
        <v>0</v>
      </c>
      <c r="I423" s="5">
        <v>45443</v>
      </c>
      <c r="J423" t="s">
        <v>6476</v>
      </c>
    </row>
    <row r="424" spans="1:10" x14ac:dyDescent="0.25">
      <c r="A424" s="8" t="s">
        <v>8799</v>
      </c>
      <c r="D424" t="s">
        <v>7794</v>
      </c>
      <c r="E424" t="s">
        <v>4340</v>
      </c>
      <c r="H424">
        <v>0</v>
      </c>
      <c r="I424" s="5">
        <v>45382</v>
      </c>
      <c r="J424" t="s">
        <v>6477</v>
      </c>
    </row>
    <row r="425" spans="1:10" x14ac:dyDescent="0.25">
      <c r="A425" s="8" t="s">
        <v>8654</v>
      </c>
      <c r="B425" t="s">
        <v>4620</v>
      </c>
      <c r="C425" t="s">
        <v>6070</v>
      </c>
      <c r="D425" t="s">
        <v>7795</v>
      </c>
      <c r="E425" t="s">
        <v>4340</v>
      </c>
      <c r="G425" t="s">
        <v>5098</v>
      </c>
      <c r="H425">
        <v>1</v>
      </c>
      <c r="I425" s="5" t="s">
        <v>4312</v>
      </c>
      <c r="J425" t="s">
        <v>6169</v>
      </c>
    </row>
    <row r="426" spans="1:10" x14ac:dyDescent="0.25">
      <c r="A426" s="8" t="s">
        <v>8627</v>
      </c>
      <c r="D426" t="s">
        <v>7796</v>
      </c>
      <c r="E426" t="s">
        <v>4340</v>
      </c>
      <c r="H426">
        <v>0</v>
      </c>
      <c r="I426" s="5">
        <v>45342</v>
      </c>
      <c r="J426" t="s">
        <v>6478</v>
      </c>
    </row>
    <row r="427" spans="1:10" x14ac:dyDescent="0.25">
      <c r="A427" s="8" t="s">
        <v>8621</v>
      </c>
      <c r="B427" t="s">
        <v>4622</v>
      </c>
      <c r="D427" t="s">
        <v>7797</v>
      </c>
      <c r="E427" t="s">
        <v>4340</v>
      </c>
      <c r="G427" t="s">
        <v>5099</v>
      </c>
      <c r="H427">
        <v>1</v>
      </c>
      <c r="I427" s="5" t="s">
        <v>4312</v>
      </c>
      <c r="J427" t="s">
        <v>6748</v>
      </c>
    </row>
    <row r="428" spans="1:10" x14ac:dyDescent="0.25">
      <c r="A428" s="8" t="s">
        <v>8756</v>
      </c>
      <c r="B428" t="s">
        <v>4623</v>
      </c>
      <c r="D428" t="s">
        <v>7798</v>
      </c>
      <c r="E428" t="s">
        <v>4340</v>
      </c>
      <c r="H428">
        <v>0</v>
      </c>
      <c r="I428" s="5">
        <v>45473</v>
      </c>
      <c r="J428" t="s">
        <v>6479</v>
      </c>
    </row>
    <row r="429" spans="1:10" x14ac:dyDescent="0.25">
      <c r="A429" s="8" t="s">
        <v>8678</v>
      </c>
      <c r="B429" t="s">
        <v>4624</v>
      </c>
      <c r="D429" t="s">
        <v>7799</v>
      </c>
      <c r="E429" t="s">
        <v>4340</v>
      </c>
      <c r="G429" t="s">
        <v>5101</v>
      </c>
      <c r="H429">
        <v>0</v>
      </c>
      <c r="I429" s="5">
        <v>45585</v>
      </c>
      <c r="J429" t="s">
        <v>6480</v>
      </c>
    </row>
    <row r="430" spans="1:10" x14ac:dyDescent="0.25">
      <c r="A430" s="8" t="s">
        <v>8967</v>
      </c>
      <c r="B430" t="s">
        <v>4625</v>
      </c>
      <c r="D430" t="s">
        <v>7800</v>
      </c>
      <c r="E430" t="s">
        <v>4340</v>
      </c>
      <c r="H430">
        <v>0</v>
      </c>
      <c r="I430" s="5">
        <v>45481</v>
      </c>
      <c r="J430" t="s">
        <v>6481</v>
      </c>
    </row>
    <row r="431" spans="1:10" x14ac:dyDescent="0.25">
      <c r="A431" s="8" t="s">
        <v>8410</v>
      </c>
      <c r="B431" t="s">
        <v>4626</v>
      </c>
      <c r="D431" t="s">
        <v>7801</v>
      </c>
      <c r="E431" t="s">
        <v>4340</v>
      </c>
      <c r="G431" t="s">
        <v>5102</v>
      </c>
      <c r="H431">
        <v>0</v>
      </c>
      <c r="I431" s="5">
        <v>45921</v>
      </c>
      <c r="J431" t="s">
        <v>6482</v>
      </c>
    </row>
    <row r="432" spans="1:10" x14ac:dyDescent="0.25">
      <c r="A432" s="8" t="s">
        <v>8945</v>
      </c>
      <c r="B432" t="s">
        <v>4627</v>
      </c>
      <c r="D432" t="s">
        <v>4340</v>
      </c>
      <c r="E432" t="s">
        <v>4340</v>
      </c>
      <c r="H432">
        <v>0</v>
      </c>
      <c r="I432" s="5">
        <v>45509</v>
      </c>
      <c r="J432" t="s">
        <v>6483</v>
      </c>
    </row>
    <row r="433" spans="1:10" x14ac:dyDescent="0.25">
      <c r="A433" s="8" t="s">
        <v>8411</v>
      </c>
      <c r="B433" t="s">
        <v>4628</v>
      </c>
      <c r="D433" t="s">
        <v>7802</v>
      </c>
      <c r="E433" t="s">
        <v>4340</v>
      </c>
      <c r="G433" t="s">
        <v>5103</v>
      </c>
      <c r="H433">
        <v>1</v>
      </c>
      <c r="I433" s="5" t="s">
        <v>4312</v>
      </c>
      <c r="J433" t="s">
        <v>6749</v>
      </c>
    </row>
    <row r="434" spans="1:10" x14ac:dyDescent="0.25">
      <c r="A434" s="8" t="s">
        <v>8296</v>
      </c>
      <c r="B434" t="s">
        <v>4629</v>
      </c>
      <c r="D434" t="s">
        <v>7904</v>
      </c>
      <c r="E434" t="s">
        <v>7803</v>
      </c>
      <c r="H434">
        <v>1</v>
      </c>
      <c r="I434" s="5" t="s">
        <v>4312</v>
      </c>
      <c r="J434" t="s">
        <v>6750</v>
      </c>
    </row>
    <row r="435" spans="1:10" x14ac:dyDescent="0.25">
      <c r="A435" s="8" t="s">
        <v>8543</v>
      </c>
      <c r="B435" t="s">
        <v>4630</v>
      </c>
      <c r="D435" t="s">
        <v>8070</v>
      </c>
      <c r="E435" t="s">
        <v>7804</v>
      </c>
      <c r="H435">
        <v>0</v>
      </c>
      <c r="I435" s="5">
        <v>45900</v>
      </c>
      <c r="J435" t="s">
        <v>6484</v>
      </c>
    </row>
    <row r="436" spans="1:10" x14ac:dyDescent="0.25">
      <c r="A436" s="8" t="s">
        <v>8754</v>
      </c>
      <c r="B436" t="s">
        <v>4631</v>
      </c>
      <c r="D436" t="s">
        <v>7906</v>
      </c>
      <c r="E436" t="s">
        <v>7805</v>
      </c>
      <c r="H436">
        <v>1</v>
      </c>
      <c r="I436" s="5" t="s">
        <v>4312</v>
      </c>
      <c r="J436" t="s">
        <v>6751</v>
      </c>
    </row>
    <row r="437" spans="1:10" x14ac:dyDescent="0.25">
      <c r="A437" s="8" t="s">
        <v>8301</v>
      </c>
      <c r="D437" t="s">
        <v>7806</v>
      </c>
      <c r="E437" t="s">
        <v>4340</v>
      </c>
      <c r="H437">
        <v>0</v>
      </c>
      <c r="I437" s="5">
        <v>45358</v>
      </c>
      <c r="J437" t="s">
        <v>6485</v>
      </c>
    </row>
    <row r="438" spans="1:10" x14ac:dyDescent="0.25">
      <c r="A438" s="8" t="s">
        <v>8389</v>
      </c>
      <c r="B438" t="s">
        <v>4632</v>
      </c>
      <c r="D438" t="s">
        <v>7807</v>
      </c>
      <c r="E438" t="s">
        <v>4340</v>
      </c>
      <c r="H438">
        <v>0</v>
      </c>
      <c r="I438" s="5">
        <v>45550</v>
      </c>
      <c r="J438" t="s">
        <v>6486</v>
      </c>
    </row>
    <row r="439" spans="1:10" x14ac:dyDescent="0.25">
      <c r="A439" s="8" t="s">
        <v>8671</v>
      </c>
      <c r="B439" t="s">
        <v>4633</v>
      </c>
      <c r="D439" t="s">
        <v>7808</v>
      </c>
      <c r="E439" t="s">
        <v>4340</v>
      </c>
      <c r="H439">
        <v>0</v>
      </c>
      <c r="I439" s="5">
        <v>45504</v>
      </c>
      <c r="J439" t="s">
        <v>6487</v>
      </c>
    </row>
    <row r="440" spans="1:10" x14ac:dyDescent="0.25">
      <c r="A440" s="8" t="s">
        <v>8634</v>
      </c>
      <c r="B440" t="s">
        <v>4634</v>
      </c>
      <c r="D440" t="s">
        <v>7809</v>
      </c>
      <c r="E440" t="s">
        <v>4340</v>
      </c>
      <c r="G440" t="s">
        <v>5104</v>
      </c>
      <c r="H440">
        <v>0</v>
      </c>
      <c r="I440" s="5">
        <v>45825</v>
      </c>
      <c r="J440" t="s">
        <v>6488</v>
      </c>
    </row>
    <row r="441" spans="1:10" x14ac:dyDescent="0.25">
      <c r="A441" s="8" t="s">
        <v>8847</v>
      </c>
      <c r="B441" t="s">
        <v>4635</v>
      </c>
      <c r="D441">
        <v>0</v>
      </c>
      <c r="E441" t="s">
        <v>7810</v>
      </c>
      <c r="H441">
        <v>0</v>
      </c>
      <c r="I441" s="5">
        <v>45525</v>
      </c>
      <c r="J441" t="s">
        <v>6489</v>
      </c>
    </row>
    <row r="442" spans="1:10" x14ac:dyDescent="0.25">
      <c r="A442" s="8" t="s">
        <v>8930</v>
      </c>
      <c r="B442" t="s">
        <v>4636</v>
      </c>
      <c r="C442" t="s">
        <v>4340</v>
      </c>
      <c r="D442" t="s">
        <v>7811</v>
      </c>
      <c r="E442" t="s">
        <v>4340</v>
      </c>
      <c r="H442">
        <v>0</v>
      </c>
      <c r="I442" s="5">
        <v>45688</v>
      </c>
      <c r="J442" t="s">
        <v>6118</v>
      </c>
    </row>
    <row r="443" spans="1:10" x14ac:dyDescent="0.25">
      <c r="A443" s="8" t="s">
        <v>8837</v>
      </c>
      <c r="B443" t="s">
        <v>4637</v>
      </c>
      <c r="D443" t="s">
        <v>7812</v>
      </c>
      <c r="E443" t="s">
        <v>4340</v>
      </c>
      <c r="G443" t="s">
        <v>5163</v>
      </c>
      <c r="H443">
        <v>1</v>
      </c>
      <c r="I443" s="5" t="s">
        <v>4312</v>
      </c>
      <c r="J443" t="s">
        <v>6752</v>
      </c>
    </row>
    <row r="444" spans="1:10" x14ac:dyDescent="0.25">
      <c r="A444" s="8" t="s">
        <v>8871</v>
      </c>
      <c r="B444" t="s">
        <v>4638</v>
      </c>
      <c r="C444" t="s">
        <v>6072</v>
      </c>
      <c r="D444" t="s">
        <v>7813</v>
      </c>
      <c r="E444" t="s">
        <v>4340</v>
      </c>
      <c r="G444" t="s">
        <v>5105</v>
      </c>
      <c r="H444">
        <v>1</v>
      </c>
      <c r="I444" s="5" t="s">
        <v>4312</v>
      </c>
      <c r="J444" t="s">
        <v>6170</v>
      </c>
    </row>
    <row r="445" spans="1:10" x14ac:dyDescent="0.25">
      <c r="A445" s="8" t="s">
        <v>8708</v>
      </c>
      <c r="B445" t="s">
        <v>4639</v>
      </c>
      <c r="D445">
        <v>0</v>
      </c>
      <c r="E445" t="s">
        <v>7814</v>
      </c>
      <c r="H445">
        <v>0</v>
      </c>
      <c r="I445" s="5">
        <v>45562</v>
      </c>
      <c r="J445" t="s">
        <v>6490</v>
      </c>
    </row>
    <row r="446" spans="1:10" x14ac:dyDescent="0.25">
      <c r="A446" s="8" t="s">
        <v>8822</v>
      </c>
      <c r="B446" t="s">
        <v>4640</v>
      </c>
      <c r="D446" t="s">
        <v>8080</v>
      </c>
      <c r="E446" t="s">
        <v>7815</v>
      </c>
      <c r="H446">
        <v>1</v>
      </c>
      <c r="I446" s="5" t="s">
        <v>4312</v>
      </c>
      <c r="J446" t="s">
        <v>6753</v>
      </c>
    </row>
    <row r="447" spans="1:10" x14ac:dyDescent="0.25">
      <c r="A447" s="8" t="s">
        <v>8322</v>
      </c>
      <c r="B447" t="s">
        <v>4641</v>
      </c>
      <c r="D447" t="s">
        <v>7817</v>
      </c>
      <c r="E447" t="s">
        <v>4340</v>
      </c>
      <c r="G447" t="s">
        <v>5106</v>
      </c>
      <c r="H447">
        <v>0</v>
      </c>
      <c r="I447" s="5">
        <v>45596</v>
      </c>
      <c r="J447" t="s">
        <v>6491</v>
      </c>
    </row>
    <row r="448" spans="1:10" x14ac:dyDescent="0.25">
      <c r="A448" s="8" t="s">
        <v>8969</v>
      </c>
      <c r="B448" t="s">
        <v>4642</v>
      </c>
      <c r="D448" t="s">
        <v>4340</v>
      </c>
      <c r="E448" t="s">
        <v>4340</v>
      </c>
      <c r="H448">
        <v>0</v>
      </c>
      <c r="I448" s="5">
        <v>45404</v>
      </c>
      <c r="J448" t="s">
        <v>6492</v>
      </c>
    </row>
    <row r="449" spans="1:10" x14ac:dyDescent="0.25">
      <c r="A449" s="8" t="s">
        <v>8326</v>
      </c>
      <c r="B449" t="s">
        <v>4643</v>
      </c>
      <c r="D449" t="s">
        <v>7818</v>
      </c>
      <c r="E449" t="s">
        <v>4340</v>
      </c>
      <c r="H449">
        <v>0</v>
      </c>
      <c r="I449" s="5">
        <v>45504</v>
      </c>
      <c r="J449" t="s">
        <v>6493</v>
      </c>
    </row>
    <row r="450" spans="1:10" x14ac:dyDescent="0.25">
      <c r="A450" s="8" t="s">
        <v>8499</v>
      </c>
      <c r="B450" t="s">
        <v>4644</v>
      </c>
      <c r="D450" t="s">
        <v>7819</v>
      </c>
      <c r="E450" t="s">
        <v>4340</v>
      </c>
      <c r="H450">
        <v>1</v>
      </c>
      <c r="I450" s="5" t="s">
        <v>4312</v>
      </c>
      <c r="J450" t="s">
        <v>6754</v>
      </c>
    </row>
    <row r="451" spans="1:10" x14ac:dyDescent="0.25">
      <c r="A451" s="8" t="s">
        <v>8489</v>
      </c>
      <c r="B451" t="s">
        <v>4645</v>
      </c>
      <c r="D451" t="s">
        <v>7820</v>
      </c>
      <c r="E451" t="s">
        <v>4340</v>
      </c>
      <c r="G451" t="s">
        <v>5107</v>
      </c>
      <c r="H451">
        <v>1</v>
      </c>
      <c r="I451" s="5" t="s">
        <v>4312</v>
      </c>
      <c r="J451" t="s">
        <v>6755</v>
      </c>
    </row>
    <row r="452" spans="1:10" x14ac:dyDescent="0.25">
      <c r="A452" s="8" t="s">
        <v>8206</v>
      </c>
      <c r="B452" t="s">
        <v>4646</v>
      </c>
      <c r="D452" t="s">
        <v>7821</v>
      </c>
      <c r="E452" t="s">
        <v>4340</v>
      </c>
      <c r="H452">
        <v>0</v>
      </c>
      <c r="I452" s="5">
        <v>45446</v>
      </c>
      <c r="J452" t="s">
        <v>6494</v>
      </c>
    </row>
    <row r="453" spans="1:10" x14ac:dyDescent="0.25">
      <c r="A453" s="8" t="s">
        <v>8846</v>
      </c>
      <c r="B453" t="s">
        <v>4647</v>
      </c>
      <c r="D453" t="s">
        <v>7907</v>
      </c>
      <c r="E453" t="s">
        <v>7822</v>
      </c>
      <c r="H453">
        <v>0</v>
      </c>
      <c r="I453" s="5">
        <v>45639</v>
      </c>
      <c r="J453" t="s">
        <v>6495</v>
      </c>
    </row>
    <row r="454" spans="1:10" x14ac:dyDescent="0.25">
      <c r="A454" s="8" t="s">
        <v>8262</v>
      </c>
      <c r="B454" t="s">
        <v>4648</v>
      </c>
      <c r="D454" t="s">
        <v>7823</v>
      </c>
      <c r="E454" t="s">
        <v>4340</v>
      </c>
      <c r="H454">
        <v>1</v>
      </c>
      <c r="I454" s="5" t="s">
        <v>4312</v>
      </c>
      <c r="J454" t="s">
        <v>6756</v>
      </c>
    </row>
    <row r="455" spans="1:10" x14ac:dyDescent="0.25">
      <c r="A455" s="8" t="s">
        <v>8608</v>
      </c>
      <c r="B455" t="s">
        <v>4649</v>
      </c>
      <c r="D455" t="s">
        <v>7824</v>
      </c>
      <c r="E455" t="s">
        <v>4340</v>
      </c>
      <c r="G455" t="s">
        <v>5108</v>
      </c>
      <c r="H455">
        <v>0</v>
      </c>
      <c r="I455" s="5">
        <v>45545</v>
      </c>
      <c r="J455" t="s">
        <v>6496</v>
      </c>
    </row>
    <row r="456" spans="1:10" x14ac:dyDescent="0.25">
      <c r="A456" s="8" t="s">
        <v>8397</v>
      </c>
      <c r="B456" t="s">
        <v>4650</v>
      </c>
      <c r="D456" t="s">
        <v>7825</v>
      </c>
      <c r="E456" t="s">
        <v>4340</v>
      </c>
      <c r="H456">
        <v>0</v>
      </c>
      <c r="I456" s="5">
        <v>45428</v>
      </c>
      <c r="J456" t="s">
        <v>6497</v>
      </c>
    </row>
    <row r="457" spans="1:10" x14ac:dyDescent="0.25">
      <c r="A457" s="8" t="s">
        <v>8909</v>
      </c>
      <c r="B457" t="s">
        <v>4651</v>
      </c>
      <c r="D457" t="s">
        <v>7826</v>
      </c>
      <c r="E457" t="s">
        <v>4340</v>
      </c>
      <c r="H457">
        <v>0</v>
      </c>
      <c r="I457" s="5">
        <v>45473</v>
      </c>
      <c r="J457" t="s">
        <v>6498</v>
      </c>
    </row>
    <row r="458" spans="1:10" x14ac:dyDescent="0.25">
      <c r="A458" s="8" t="s">
        <v>8428</v>
      </c>
      <c r="B458" t="s">
        <v>4652</v>
      </c>
      <c r="D458" t="s">
        <v>7827</v>
      </c>
      <c r="E458" t="s">
        <v>4340</v>
      </c>
      <c r="G458" t="s">
        <v>5109</v>
      </c>
      <c r="H458">
        <v>1</v>
      </c>
      <c r="I458" s="5" t="s">
        <v>4312</v>
      </c>
      <c r="J458" t="s">
        <v>6757</v>
      </c>
    </row>
    <row r="459" spans="1:10" x14ac:dyDescent="0.25">
      <c r="A459" s="8" t="s">
        <v>8615</v>
      </c>
      <c r="B459" t="s">
        <v>4653</v>
      </c>
      <c r="D459" t="s">
        <v>7828</v>
      </c>
      <c r="E459" t="s">
        <v>4340</v>
      </c>
      <c r="G459" t="s">
        <v>5110</v>
      </c>
      <c r="H459">
        <v>0</v>
      </c>
      <c r="I459" s="5">
        <v>45596</v>
      </c>
      <c r="J459" t="s">
        <v>6499</v>
      </c>
    </row>
    <row r="460" spans="1:10" x14ac:dyDescent="0.25">
      <c r="A460" s="8" t="s">
        <v>8815</v>
      </c>
      <c r="B460" t="s">
        <v>4654</v>
      </c>
      <c r="D460" t="s">
        <v>8002</v>
      </c>
      <c r="E460" t="s">
        <v>7830</v>
      </c>
      <c r="H460">
        <v>0</v>
      </c>
      <c r="I460" s="5">
        <v>45939</v>
      </c>
      <c r="J460" t="s">
        <v>6500</v>
      </c>
    </row>
    <row r="461" spans="1:10" x14ac:dyDescent="0.25">
      <c r="A461" s="8" t="s">
        <v>8928</v>
      </c>
      <c r="B461" t="s">
        <v>4655</v>
      </c>
      <c r="D461" t="s">
        <v>7831</v>
      </c>
      <c r="E461" t="s">
        <v>4340</v>
      </c>
      <c r="G461" t="s">
        <v>5111</v>
      </c>
      <c r="H461">
        <v>0</v>
      </c>
      <c r="I461" s="5">
        <v>45968</v>
      </c>
      <c r="J461" t="s">
        <v>6501</v>
      </c>
    </row>
    <row r="462" spans="1:10" x14ac:dyDescent="0.25">
      <c r="A462" s="8" t="s">
        <v>8532</v>
      </c>
      <c r="B462" t="s">
        <v>4656</v>
      </c>
      <c r="D462" t="s">
        <v>7832</v>
      </c>
      <c r="E462" t="s">
        <v>4340</v>
      </c>
      <c r="H462">
        <v>0</v>
      </c>
      <c r="I462" s="5">
        <v>45930</v>
      </c>
      <c r="J462" t="s">
        <v>6502</v>
      </c>
    </row>
    <row r="463" spans="1:10" x14ac:dyDescent="0.25">
      <c r="A463" s="8" t="s">
        <v>8630</v>
      </c>
      <c r="B463" t="s">
        <v>4657</v>
      </c>
      <c r="D463" t="s">
        <v>7833</v>
      </c>
      <c r="E463" t="s">
        <v>4340</v>
      </c>
      <c r="H463">
        <v>0</v>
      </c>
      <c r="I463" s="5">
        <v>45911</v>
      </c>
      <c r="J463" t="s">
        <v>6503</v>
      </c>
    </row>
    <row r="464" spans="1:10" x14ac:dyDescent="0.25">
      <c r="A464" s="8" t="s">
        <v>8381</v>
      </c>
      <c r="B464" t="s">
        <v>4658</v>
      </c>
      <c r="D464" t="s">
        <v>7834</v>
      </c>
      <c r="E464" t="s">
        <v>4340</v>
      </c>
      <c r="H464">
        <v>0</v>
      </c>
      <c r="I464" s="5">
        <v>45499</v>
      </c>
      <c r="J464" t="s">
        <v>6504</v>
      </c>
    </row>
    <row r="465" spans="1:10" x14ac:dyDescent="0.25">
      <c r="A465" s="8" t="s">
        <v>8396</v>
      </c>
      <c r="B465" t="s">
        <v>4659</v>
      </c>
      <c r="D465" t="s">
        <v>7835</v>
      </c>
      <c r="E465" t="s">
        <v>4340</v>
      </c>
      <c r="H465">
        <v>0</v>
      </c>
      <c r="I465" s="5">
        <v>45478</v>
      </c>
      <c r="J465" t="s">
        <v>6505</v>
      </c>
    </row>
    <row r="466" spans="1:10" x14ac:dyDescent="0.25">
      <c r="A466" s="8" t="s">
        <v>8406</v>
      </c>
      <c r="B466" t="s">
        <v>4660</v>
      </c>
      <c r="D466" t="s">
        <v>7836</v>
      </c>
      <c r="E466" t="s">
        <v>4340</v>
      </c>
      <c r="H466">
        <v>1</v>
      </c>
      <c r="I466" s="5" t="s">
        <v>4312</v>
      </c>
      <c r="J466" t="s">
        <v>6758</v>
      </c>
    </row>
    <row r="467" spans="1:10" x14ac:dyDescent="0.25">
      <c r="A467" s="8" t="s">
        <v>8725</v>
      </c>
      <c r="B467" t="s">
        <v>4661</v>
      </c>
      <c r="D467" t="s">
        <v>7837</v>
      </c>
      <c r="E467" t="s">
        <v>4340</v>
      </c>
      <c r="G467" t="s">
        <v>5112</v>
      </c>
      <c r="H467">
        <v>1</v>
      </c>
      <c r="I467" s="5" t="s">
        <v>4312</v>
      </c>
      <c r="J467" t="s">
        <v>6759</v>
      </c>
    </row>
    <row r="468" spans="1:10" x14ac:dyDescent="0.25">
      <c r="A468" s="8" t="s">
        <v>8620</v>
      </c>
      <c r="B468" t="s">
        <v>4662</v>
      </c>
      <c r="D468" t="s">
        <v>7838</v>
      </c>
      <c r="E468" t="s">
        <v>4340</v>
      </c>
      <c r="H468">
        <v>0</v>
      </c>
      <c r="I468" s="5">
        <v>45416</v>
      </c>
      <c r="J468" t="s">
        <v>6506</v>
      </c>
    </row>
    <row r="469" spans="1:10" x14ac:dyDescent="0.25">
      <c r="A469" s="8" t="s">
        <v>8553</v>
      </c>
      <c r="B469" t="s">
        <v>4663</v>
      </c>
      <c r="D469" t="s">
        <v>7841</v>
      </c>
      <c r="E469" t="s">
        <v>4340</v>
      </c>
      <c r="G469" t="s">
        <v>5113</v>
      </c>
      <c r="H469">
        <v>1</v>
      </c>
      <c r="I469" s="5" t="s">
        <v>4312</v>
      </c>
      <c r="J469" t="s">
        <v>6760</v>
      </c>
    </row>
    <row r="470" spans="1:10" x14ac:dyDescent="0.25">
      <c r="A470" s="8" t="s">
        <v>8274</v>
      </c>
      <c r="B470" t="s">
        <v>4664</v>
      </c>
      <c r="D470" t="s">
        <v>7842</v>
      </c>
      <c r="E470" t="s">
        <v>4340</v>
      </c>
      <c r="H470">
        <v>1</v>
      </c>
      <c r="I470" s="5" t="s">
        <v>4312</v>
      </c>
      <c r="J470" t="s">
        <v>6761</v>
      </c>
    </row>
    <row r="471" spans="1:10" x14ac:dyDescent="0.25">
      <c r="A471" s="8" t="s">
        <v>8758</v>
      </c>
      <c r="B471" t="s">
        <v>4665</v>
      </c>
      <c r="D471" t="s">
        <v>7843</v>
      </c>
      <c r="E471" t="s">
        <v>4340</v>
      </c>
      <c r="H471">
        <v>1</v>
      </c>
      <c r="I471" s="5" t="s">
        <v>4312</v>
      </c>
      <c r="J471" t="s">
        <v>6762</v>
      </c>
    </row>
    <row r="472" spans="1:10" x14ac:dyDescent="0.25">
      <c r="A472" s="8" t="s">
        <v>8421</v>
      </c>
      <c r="B472" t="s">
        <v>4666</v>
      </c>
      <c r="D472" t="s">
        <v>7844</v>
      </c>
      <c r="E472" t="s">
        <v>4340</v>
      </c>
      <c r="H472">
        <v>0</v>
      </c>
      <c r="I472" s="5">
        <v>45716</v>
      </c>
      <c r="J472" t="s">
        <v>6507</v>
      </c>
    </row>
    <row r="473" spans="1:10" x14ac:dyDescent="0.25">
      <c r="A473" s="8" t="s">
        <v>8294</v>
      </c>
      <c r="B473" t="s">
        <v>4667</v>
      </c>
      <c r="D473" t="s">
        <v>7845</v>
      </c>
      <c r="E473" t="s">
        <v>4340</v>
      </c>
      <c r="H473">
        <v>0</v>
      </c>
      <c r="I473" s="5">
        <v>45596</v>
      </c>
      <c r="J473" t="s">
        <v>6508</v>
      </c>
    </row>
    <row r="474" spans="1:10" x14ac:dyDescent="0.25">
      <c r="A474" s="8" t="s">
        <v>8651</v>
      </c>
      <c r="B474" t="s">
        <v>4668</v>
      </c>
      <c r="D474" t="s">
        <v>7846</v>
      </c>
      <c r="E474" t="s">
        <v>4340</v>
      </c>
      <c r="H474">
        <v>1</v>
      </c>
      <c r="I474" s="5" t="s">
        <v>4312</v>
      </c>
      <c r="J474" t="s">
        <v>6763</v>
      </c>
    </row>
    <row r="475" spans="1:10" x14ac:dyDescent="0.25">
      <c r="A475" s="8" t="s">
        <v>8752</v>
      </c>
      <c r="B475" t="s">
        <v>4669</v>
      </c>
      <c r="D475" t="s">
        <v>7847</v>
      </c>
      <c r="E475" t="s">
        <v>4340</v>
      </c>
      <c r="H475">
        <v>1</v>
      </c>
      <c r="I475" s="5" t="s">
        <v>4312</v>
      </c>
      <c r="J475" t="s">
        <v>6764</v>
      </c>
    </row>
    <row r="476" spans="1:10" x14ac:dyDescent="0.25">
      <c r="A476" s="8" t="s">
        <v>8419</v>
      </c>
      <c r="B476" t="s">
        <v>4670</v>
      </c>
      <c r="D476" t="s">
        <v>7848</v>
      </c>
      <c r="E476" t="s">
        <v>4340</v>
      </c>
      <c r="G476" t="s">
        <v>5114</v>
      </c>
      <c r="H476">
        <v>0</v>
      </c>
      <c r="I476" s="5">
        <v>45930</v>
      </c>
      <c r="J476" t="s">
        <v>6509</v>
      </c>
    </row>
    <row r="477" spans="1:10" x14ac:dyDescent="0.25">
      <c r="A477" s="8" t="s">
        <v>8937</v>
      </c>
      <c r="B477" t="s">
        <v>4671</v>
      </c>
      <c r="D477" t="s">
        <v>4340</v>
      </c>
      <c r="E477" t="s">
        <v>4340</v>
      </c>
      <c r="G477" t="s">
        <v>5115</v>
      </c>
      <c r="H477">
        <v>0</v>
      </c>
      <c r="I477" s="5">
        <v>45427</v>
      </c>
      <c r="J477" t="s">
        <v>6510</v>
      </c>
    </row>
    <row r="478" spans="1:10" x14ac:dyDescent="0.25">
      <c r="A478" s="8" t="s">
        <v>8490</v>
      </c>
      <c r="B478" t="s">
        <v>4672</v>
      </c>
      <c r="D478" t="s">
        <v>7849</v>
      </c>
      <c r="E478" t="s">
        <v>4340</v>
      </c>
      <c r="H478">
        <v>0</v>
      </c>
      <c r="I478" s="5">
        <v>45900</v>
      </c>
      <c r="J478" t="s">
        <v>6511</v>
      </c>
    </row>
    <row r="479" spans="1:10" x14ac:dyDescent="0.25">
      <c r="A479" s="8" t="s">
        <v>8787</v>
      </c>
      <c r="B479" t="s">
        <v>4673</v>
      </c>
      <c r="D479" t="s">
        <v>7850</v>
      </c>
      <c r="E479" t="s">
        <v>4340</v>
      </c>
      <c r="G479" t="s">
        <v>5116</v>
      </c>
      <c r="H479">
        <v>0</v>
      </c>
      <c r="I479" s="5">
        <v>45877</v>
      </c>
      <c r="J479" t="s">
        <v>6512</v>
      </c>
    </row>
    <row r="480" spans="1:10" x14ac:dyDescent="0.25">
      <c r="A480" s="8" t="s">
        <v>8709</v>
      </c>
      <c r="B480" t="s">
        <v>4674</v>
      </c>
      <c r="D480" t="s">
        <v>7851</v>
      </c>
      <c r="E480" t="s">
        <v>4340</v>
      </c>
      <c r="G480" t="s">
        <v>5117</v>
      </c>
      <c r="H480">
        <v>0</v>
      </c>
      <c r="I480" s="5">
        <v>45905</v>
      </c>
      <c r="J480" t="s">
        <v>6513</v>
      </c>
    </row>
    <row r="481" spans="1:10" x14ac:dyDescent="0.25">
      <c r="A481" s="8" t="s">
        <v>8842</v>
      </c>
      <c r="B481" t="s">
        <v>4675</v>
      </c>
      <c r="D481">
        <v>0</v>
      </c>
      <c r="E481" t="s">
        <v>7852</v>
      </c>
      <c r="G481" t="s">
        <v>5088</v>
      </c>
      <c r="H481">
        <v>1</v>
      </c>
      <c r="I481" s="5" t="s">
        <v>4312</v>
      </c>
      <c r="J481" t="s">
        <v>6765</v>
      </c>
    </row>
    <row r="482" spans="1:10" x14ac:dyDescent="0.25">
      <c r="A482" s="8" t="s">
        <v>8517</v>
      </c>
      <c r="B482" t="s">
        <v>4676</v>
      </c>
      <c r="D482" t="s">
        <v>4340</v>
      </c>
      <c r="E482" t="s">
        <v>4340</v>
      </c>
      <c r="G482" t="s">
        <v>5146</v>
      </c>
      <c r="H482">
        <v>0</v>
      </c>
      <c r="I482" s="5">
        <v>45673</v>
      </c>
      <c r="J482" t="s">
        <v>6514</v>
      </c>
    </row>
    <row r="483" spans="1:10" x14ac:dyDescent="0.25">
      <c r="A483" s="8" t="s">
        <v>8436</v>
      </c>
      <c r="B483" t="s">
        <v>4677</v>
      </c>
      <c r="D483" t="s">
        <v>7853</v>
      </c>
      <c r="E483" t="s">
        <v>4340</v>
      </c>
      <c r="H483">
        <v>0</v>
      </c>
      <c r="I483" s="5">
        <v>45535</v>
      </c>
      <c r="J483" t="s">
        <v>6515</v>
      </c>
    </row>
    <row r="484" spans="1:10" x14ac:dyDescent="0.25">
      <c r="A484" s="8" t="s">
        <v>8869</v>
      </c>
      <c r="B484" t="s">
        <v>4520</v>
      </c>
      <c r="D484" t="s">
        <v>7674</v>
      </c>
      <c r="E484" t="s">
        <v>4340</v>
      </c>
      <c r="H484">
        <v>0</v>
      </c>
      <c r="I484" s="5">
        <v>45558</v>
      </c>
      <c r="J484" t="s">
        <v>6516</v>
      </c>
    </row>
    <row r="485" spans="1:10" x14ac:dyDescent="0.25">
      <c r="A485" s="8" t="s">
        <v>8597</v>
      </c>
      <c r="B485" t="s">
        <v>4679</v>
      </c>
      <c r="D485" t="s">
        <v>7943</v>
      </c>
      <c r="E485" t="s">
        <v>4340</v>
      </c>
      <c r="G485" t="s">
        <v>5150</v>
      </c>
      <c r="H485">
        <v>1</v>
      </c>
      <c r="I485" s="5" t="s">
        <v>4312</v>
      </c>
      <c r="J485" t="s">
        <v>6766</v>
      </c>
    </row>
    <row r="486" spans="1:10" x14ac:dyDescent="0.25">
      <c r="A486" s="8" t="s">
        <v>8792</v>
      </c>
      <c r="B486" t="s">
        <v>4680</v>
      </c>
      <c r="D486" t="s">
        <v>7854</v>
      </c>
      <c r="E486" t="s">
        <v>4340</v>
      </c>
      <c r="H486">
        <v>0</v>
      </c>
      <c r="I486" s="5">
        <v>45808</v>
      </c>
      <c r="J486" t="s">
        <v>6517</v>
      </c>
    </row>
    <row r="487" spans="1:10" x14ac:dyDescent="0.25">
      <c r="A487" s="8" t="s">
        <v>8586</v>
      </c>
      <c r="B487" t="s">
        <v>4681</v>
      </c>
      <c r="D487" t="s">
        <v>7856</v>
      </c>
      <c r="E487" t="s">
        <v>4340</v>
      </c>
      <c r="H487">
        <v>0</v>
      </c>
      <c r="I487" s="5">
        <v>45626</v>
      </c>
      <c r="J487" t="s">
        <v>6518</v>
      </c>
    </row>
    <row r="488" spans="1:10" x14ac:dyDescent="0.25">
      <c r="A488" s="8" t="s">
        <v>8513</v>
      </c>
      <c r="B488" t="s">
        <v>4682</v>
      </c>
      <c r="D488" t="s">
        <v>7857</v>
      </c>
      <c r="E488" t="s">
        <v>4340</v>
      </c>
      <c r="H488">
        <v>0</v>
      </c>
      <c r="I488" s="5">
        <v>45555</v>
      </c>
      <c r="J488" t="s">
        <v>6519</v>
      </c>
    </row>
    <row r="489" spans="1:10" x14ac:dyDescent="0.25">
      <c r="A489" s="8" t="s">
        <v>8486</v>
      </c>
      <c r="B489" t="s">
        <v>4683</v>
      </c>
      <c r="D489" t="s">
        <v>7858</v>
      </c>
      <c r="E489" t="s">
        <v>4340</v>
      </c>
      <c r="H489">
        <v>0</v>
      </c>
      <c r="I489" s="5">
        <v>45808</v>
      </c>
      <c r="J489" t="s">
        <v>6520</v>
      </c>
    </row>
    <row r="490" spans="1:10" x14ac:dyDescent="0.25">
      <c r="A490" s="8" t="s">
        <v>8652</v>
      </c>
      <c r="B490" t="s">
        <v>4684</v>
      </c>
      <c r="D490" t="s">
        <v>7860</v>
      </c>
      <c r="E490" t="s">
        <v>4340</v>
      </c>
      <c r="H490">
        <v>1</v>
      </c>
      <c r="I490" s="5" t="s">
        <v>4312</v>
      </c>
      <c r="J490" t="s">
        <v>6767</v>
      </c>
    </row>
    <row r="491" spans="1:10" x14ac:dyDescent="0.25">
      <c r="A491" s="8" t="s">
        <v>8233</v>
      </c>
      <c r="B491" t="s">
        <v>4685</v>
      </c>
      <c r="D491" t="s">
        <v>7861</v>
      </c>
      <c r="E491" t="s">
        <v>4340</v>
      </c>
      <c r="G491" t="s">
        <v>5118</v>
      </c>
      <c r="H491">
        <v>0</v>
      </c>
      <c r="I491" s="5">
        <v>45596</v>
      </c>
      <c r="J491" t="s">
        <v>6521</v>
      </c>
    </row>
    <row r="492" spans="1:10" x14ac:dyDescent="0.25">
      <c r="A492" s="8" t="s">
        <v>8431</v>
      </c>
      <c r="B492" t="s">
        <v>4686</v>
      </c>
      <c r="D492" t="s">
        <v>7862</v>
      </c>
      <c r="E492" t="s">
        <v>4340</v>
      </c>
      <c r="H492">
        <v>0</v>
      </c>
      <c r="I492" s="5">
        <v>45769</v>
      </c>
      <c r="J492" t="s">
        <v>6522</v>
      </c>
    </row>
    <row r="493" spans="1:10" x14ac:dyDescent="0.25">
      <c r="A493" s="8" t="s">
        <v>8914</v>
      </c>
      <c r="B493" t="s">
        <v>4687</v>
      </c>
      <c r="D493" t="s">
        <v>8071</v>
      </c>
      <c r="E493" t="s">
        <v>7863</v>
      </c>
      <c r="H493">
        <v>0</v>
      </c>
      <c r="I493" s="5">
        <v>45808</v>
      </c>
      <c r="J493" t="s">
        <v>6523</v>
      </c>
    </row>
    <row r="494" spans="1:10" x14ac:dyDescent="0.25">
      <c r="A494" s="8" t="s">
        <v>8940</v>
      </c>
      <c r="B494" t="s">
        <v>4688</v>
      </c>
      <c r="D494" t="s">
        <v>8030</v>
      </c>
      <c r="E494" t="s">
        <v>7864</v>
      </c>
      <c r="H494">
        <v>0</v>
      </c>
      <c r="I494" s="5">
        <v>45747</v>
      </c>
      <c r="J494" t="s">
        <v>6524</v>
      </c>
    </row>
    <row r="495" spans="1:10" x14ac:dyDescent="0.25">
      <c r="A495" s="8" t="s">
        <v>8413</v>
      </c>
      <c r="B495" t="s">
        <v>4689</v>
      </c>
      <c r="D495" t="s">
        <v>7984</v>
      </c>
      <c r="E495" t="s">
        <v>7865</v>
      </c>
      <c r="H495">
        <v>1</v>
      </c>
      <c r="I495" s="5" t="s">
        <v>4312</v>
      </c>
      <c r="J495" t="s">
        <v>6768</v>
      </c>
    </row>
    <row r="496" spans="1:10" x14ac:dyDescent="0.25">
      <c r="A496" s="8" t="s">
        <v>8638</v>
      </c>
      <c r="B496" t="s">
        <v>4690</v>
      </c>
      <c r="D496" t="s">
        <v>8073</v>
      </c>
      <c r="E496" t="s">
        <v>7866</v>
      </c>
      <c r="H496">
        <v>1</v>
      </c>
      <c r="I496" s="5" t="s">
        <v>4312</v>
      </c>
      <c r="J496" t="s">
        <v>6769</v>
      </c>
    </row>
    <row r="497" spans="1:10" x14ac:dyDescent="0.25">
      <c r="A497" s="8" t="s">
        <v>8942</v>
      </c>
      <c r="B497" t="s">
        <v>4691</v>
      </c>
      <c r="D497">
        <v>0</v>
      </c>
      <c r="E497" t="s">
        <v>7867</v>
      </c>
      <c r="H497">
        <v>0</v>
      </c>
      <c r="I497" s="5">
        <v>45791</v>
      </c>
      <c r="J497" t="s">
        <v>6525</v>
      </c>
    </row>
    <row r="498" spans="1:10" x14ac:dyDescent="0.25">
      <c r="A498" s="8" t="s">
        <v>8530</v>
      </c>
      <c r="B498" t="s">
        <v>4692</v>
      </c>
      <c r="D498">
        <v>0</v>
      </c>
      <c r="E498" t="s">
        <v>7868</v>
      </c>
      <c r="H498">
        <v>0</v>
      </c>
      <c r="I498" s="5">
        <v>45803</v>
      </c>
      <c r="J498" t="s">
        <v>6526</v>
      </c>
    </row>
    <row r="499" spans="1:10" x14ac:dyDescent="0.25">
      <c r="A499" s="8" t="s">
        <v>8788</v>
      </c>
      <c r="B499" t="s">
        <v>4693</v>
      </c>
      <c r="D499" t="s">
        <v>8075</v>
      </c>
      <c r="E499" t="s">
        <v>4340</v>
      </c>
      <c r="G499" t="s">
        <v>5184</v>
      </c>
      <c r="H499">
        <v>1</v>
      </c>
      <c r="I499" s="5" t="s">
        <v>4312</v>
      </c>
      <c r="J499" t="s">
        <v>6770</v>
      </c>
    </row>
    <row r="500" spans="1:10" x14ac:dyDescent="0.25">
      <c r="A500" s="8" t="s">
        <v>8272</v>
      </c>
      <c r="B500" t="s">
        <v>4694</v>
      </c>
      <c r="D500" t="s">
        <v>7870</v>
      </c>
      <c r="E500" t="s">
        <v>4340</v>
      </c>
      <c r="G500" t="s">
        <v>5119</v>
      </c>
      <c r="H500">
        <v>1</v>
      </c>
      <c r="I500" s="5" t="s">
        <v>4312</v>
      </c>
      <c r="J500" t="s">
        <v>6771</v>
      </c>
    </row>
    <row r="501" spans="1:10" x14ac:dyDescent="0.25">
      <c r="A501" s="8" t="s">
        <v>8812</v>
      </c>
      <c r="B501" t="s">
        <v>4695</v>
      </c>
      <c r="D501" t="s">
        <v>7871</v>
      </c>
      <c r="E501" t="s">
        <v>4340</v>
      </c>
      <c r="G501" t="s">
        <v>5120</v>
      </c>
      <c r="H501">
        <v>0</v>
      </c>
      <c r="I501" s="5">
        <v>45914</v>
      </c>
      <c r="J501" t="s">
        <v>6527</v>
      </c>
    </row>
    <row r="502" spans="1:10" x14ac:dyDescent="0.25">
      <c r="A502" s="8" t="s">
        <v>8573</v>
      </c>
      <c r="B502" t="s">
        <v>4696</v>
      </c>
      <c r="D502" t="s">
        <v>7872</v>
      </c>
      <c r="E502" t="s">
        <v>4340</v>
      </c>
      <c r="G502" t="s">
        <v>5121</v>
      </c>
      <c r="H502">
        <v>1</v>
      </c>
      <c r="I502" s="5" t="s">
        <v>4312</v>
      </c>
      <c r="J502" t="s">
        <v>6772</v>
      </c>
    </row>
    <row r="503" spans="1:10" x14ac:dyDescent="0.25">
      <c r="A503" s="8" t="s">
        <v>8870</v>
      </c>
      <c r="B503" t="s">
        <v>4697</v>
      </c>
      <c r="D503" t="s">
        <v>7873</v>
      </c>
      <c r="E503" t="s">
        <v>4340</v>
      </c>
      <c r="H503">
        <v>0</v>
      </c>
      <c r="I503" s="5">
        <v>45504</v>
      </c>
      <c r="J503" t="s">
        <v>6528</v>
      </c>
    </row>
    <row r="504" spans="1:10" x14ac:dyDescent="0.25">
      <c r="A504" s="8" t="s">
        <v>8771</v>
      </c>
      <c r="B504" t="s">
        <v>4698</v>
      </c>
      <c r="D504" t="s">
        <v>7875</v>
      </c>
      <c r="E504" t="s">
        <v>4340</v>
      </c>
      <c r="G504" t="s">
        <v>5122</v>
      </c>
      <c r="H504">
        <v>1</v>
      </c>
      <c r="I504" s="5" t="s">
        <v>4312</v>
      </c>
      <c r="J504" t="s">
        <v>6773</v>
      </c>
    </row>
    <row r="505" spans="1:10" x14ac:dyDescent="0.25">
      <c r="A505" s="8" t="s">
        <v>8722</v>
      </c>
      <c r="B505" t="s">
        <v>4699</v>
      </c>
      <c r="D505">
        <v>0</v>
      </c>
      <c r="E505" t="s">
        <v>7876</v>
      </c>
      <c r="H505">
        <v>0</v>
      </c>
      <c r="I505" s="5">
        <v>45808</v>
      </c>
      <c r="J505" t="s">
        <v>6529</v>
      </c>
    </row>
    <row r="506" spans="1:10" x14ac:dyDescent="0.25">
      <c r="A506" s="8" t="s">
        <v>8865</v>
      </c>
      <c r="B506" t="s">
        <v>4700</v>
      </c>
      <c r="D506" t="s">
        <v>4340</v>
      </c>
      <c r="E506" t="s">
        <v>4340</v>
      </c>
      <c r="H506">
        <v>0</v>
      </c>
      <c r="I506" s="5">
        <v>45900</v>
      </c>
      <c r="J506" t="s">
        <v>6530</v>
      </c>
    </row>
    <row r="507" spans="1:10" x14ac:dyDescent="0.25">
      <c r="A507" s="8" t="s">
        <v>8515</v>
      </c>
      <c r="B507" t="s">
        <v>4701</v>
      </c>
      <c r="D507" t="s">
        <v>7877</v>
      </c>
      <c r="E507" t="s">
        <v>4340</v>
      </c>
      <c r="G507" t="s">
        <v>5123</v>
      </c>
      <c r="H507">
        <v>1</v>
      </c>
      <c r="I507" s="5" t="s">
        <v>4312</v>
      </c>
      <c r="J507" t="s">
        <v>6774</v>
      </c>
    </row>
    <row r="508" spans="1:10" x14ac:dyDescent="0.25">
      <c r="A508" s="8" t="s">
        <v>8314</v>
      </c>
      <c r="B508" t="s">
        <v>4702</v>
      </c>
      <c r="D508" t="s">
        <v>7878</v>
      </c>
      <c r="E508" t="s">
        <v>4340</v>
      </c>
      <c r="H508">
        <v>0</v>
      </c>
      <c r="I508" s="5">
        <v>45991</v>
      </c>
      <c r="J508" t="s">
        <v>6531</v>
      </c>
    </row>
    <row r="509" spans="1:10" x14ac:dyDescent="0.25">
      <c r="A509" s="8" t="s">
        <v>8779</v>
      </c>
      <c r="B509" t="s">
        <v>4703</v>
      </c>
      <c r="D509">
        <v>0</v>
      </c>
      <c r="E509" t="s">
        <v>7879</v>
      </c>
      <c r="H509">
        <v>0</v>
      </c>
      <c r="I509" s="5">
        <v>45974</v>
      </c>
      <c r="J509" t="s">
        <v>6532</v>
      </c>
    </row>
    <row r="510" spans="1:10" x14ac:dyDescent="0.25">
      <c r="A510" s="8" t="s">
        <v>8903</v>
      </c>
      <c r="B510" t="s">
        <v>4704</v>
      </c>
      <c r="D510" t="s">
        <v>7880</v>
      </c>
      <c r="E510" t="s">
        <v>4340</v>
      </c>
      <c r="H510">
        <v>0</v>
      </c>
      <c r="I510" s="5">
        <v>45506</v>
      </c>
      <c r="J510" t="s">
        <v>6533</v>
      </c>
    </row>
    <row r="511" spans="1:10" x14ac:dyDescent="0.25">
      <c r="A511" s="8" t="s">
        <v>8696</v>
      </c>
      <c r="B511" t="s">
        <v>4705</v>
      </c>
      <c r="D511" t="s">
        <v>7881</v>
      </c>
      <c r="E511" t="s">
        <v>4340</v>
      </c>
      <c r="G511" t="s">
        <v>5124</v>
      </c>
      <c r="H511">
        <v>1</v>
      </c>
      <c r="I511" s="5" t="s">
        <v>4312</v>
      </c>
      <c r="J511" t="s">
        <v>6775</v>
      </c>
    </row>
    <row r="512" spans="1:10" x14ac:dyDescent="0.25">
      <c r="A512" s="8" t="s">
        <v>8731</v>
      </c>
      <c r="B512" t="s">
        <v>4706</v>
      </c>
      <c r="D512" t="s">
        <v>7882</v>
      </c>
      <c r="E512" t="s">
        <v>4340</v>
      </c>
      <c r="G512" t="s">
        <v>5125</v>
      </c>
      <c r="H512">
        <v>1</v>
      </c>
      <c r="I512" s="5" t="s">
        <v>4312</v>
      </c>
      <c r="J512" t="s">
        <v>6776</v>
      </c>
    </row>
    <row r="513" spans="1:10" x14ac:dyDescent="0.25">
      <c r="A513" s="8" t="s">
        <v>8917</v>
      </c>
      <c r="B513" t="s">
        <v>4707</v>
      </c>
      <c r="D513">
        <v>0</v>
      </c>
      <c r="E513" t="s">
        <v>7883</v>
      </c>
      <c r="H513">
        <v>0</v>
      </c>
      <c r="I513" s="5">
        <v>45876</v>
      </c>
      <c r="J513" t="s">
        <v>6534</v>
      </c>
    </row>
    <row r="514" spans="1:10" x14ac:dyDescent="0.25">
      <c r="A514" s="8" t="s">
        <v>8617</v>
      </c>
      <c r="B514" t="s">
        <v>4708</v>
      </c>
      <c r="D514" t="s">
        <v>7884</v>
      </c>
      <c r="E514" t="s">
        <v>4340</v>
      </c>
      <c r="H514">
        <v>0</v>
      </c>
      <c r="I514" s="5">
        <v>45596</v>
      </c>
      <c r="J514" t="s">
        <v>6535</v>
      </c>
    </row>
    <row r="515" spans="1:10" x14ac:dyDescent="0.25">
      <c r="A515" s="8" t="s">
        <v>8863</v>
      </c>
      <c r="B515" t="s">
        <v>4709</v>
      </c>
      <c r="D515" t="s">
        <v>7969</v>
      </c>
      <c r="E515" t="s">
        <v>4340</v>
      </c>
      <c r="G515" t="s">
        <v>5156</v>
      </c>
      <c r="H515">
        <v>0</v>
      </c>
      <c r="I515" s="5">
        <v>45914</v>
      </c>
      <c r="J515" t="s">
        <v>6536</v>
      </c>
    </row>
    <row r="516" spans="1:10" x14ac:dyDescent="0.25">
      <c r="A516" s="8" t="s">
        <v>8888</v>
      </c>
      <c r="B516" t="s">
        <v>4710</v>
      </c>
      <c r="D516" t="s">
        <v>7885</v>
      </c>
      <c r="E516" t="s">
        <v>4340</v>
      </c>
      <c r="G516" t="s">
        <v>5126</v>
      </c>
      <c r="H516">
        <v>0</v>
      </c>
      <c r="I516" s="5">
        <v>45590</v>
      </c>
      <c r="J516" t="s">
        <v>6537</v>
      </c>
    </row>
    <row r="517" spans="1:10" x14ac:dyDescent="0.25">
      <c r="A517" s="8" t="s">
        <v>8219</v>
      </c>
      <c r="B517" t="s">
        <v>4711</v>
      </c>
      <c r="D517">
        <v>0</v>
      </c>
      <c r="E517" t="s">
        <v>7886</v>
      </c>
      <c r="H517">
        <v>0</v>
      </c>
      <c r="I517" s="5">
        <v>45900</v>
      </c>
      <c r="J517" t="s">
        <v>6538</v>
      </c>
    </row>
    <row r="518" spans="1:10" x14ac:dyDescent="0.25">
      <c r="A518" s="8" t="s">
        <v>8629</v>
      </c>
      <c r="B518" t="s">
        <v>4712</v>
      </c>
      <c r="D518" t="s">
        <v>7887</v>
      </c>
      <c r="E518" t="s">
        <v>4340</v>
      </c>
      <c r="H518">
        <v>0</v>
      </c>
      <c r="I518" s="5">
        <v>45585</v>
      </c>
      <c r="J518" t="s">
        <v>6539</v>
      </c>
    </row>
    <row r="519" spans="1:10" x14ac:dyDescent="0.25">
      <c r="A519" s="8" t="s">
        <v>8860</v>
      </c>
      <c r="B519" t="s">
        <v>4713</v>
      </c>
      <c r="D519" t="s">
        <v>7890</v>
      </c>
      <c r="E519" t="s">
        <v>4340</v>
      </c>
      <c r="G519" t="s">
        <v>5127</v>
      </c>
      <c r="H519">
        <v>1</v>
      </c>
      <c r="I519" s="5" t="s">
        <v>4312</v>
      </c>
      <c r="J519" t="s">
        <v>6777</v>
      </c>
    </row>
    <row r="520" spans="1:10" x14ac:dyDescent="0.25">
      <c r="A520" s="8" t="s">
        <v>8897</v>
      </c>
      <c r="B520" t="s">
        <v>4714</v>
      </c>
      <c r="D520" t="s">
        <v>7891</v>
      </c>
      <c r="E520" t="s">
        <v>4340</v>
      </c>
      <c r="H520">
        <v>0</v>
      </c>
      <c r="I520" s="5">
        <v>45852</v>
      </c>
      <c r="J520" t="s">
        <v>6540</v>
      </c>
    </row>
    <row r="521" spans="1:10" x14ac:dyDescent="0.25">
      <c r="A521" s="8" t="s">
        <v>8712</v>
      </c>
      <c r="B521" t="s">
        <v>4715</v>
      </c>
      <c r="D521" t="s">
        <v>7893</v>
      </c>
      <c r="E521" t="s">
        <v>4340</v>
      </c>
      <c r="H521">
        <v>0</v>
      </c>
      <c r="I521" s="5">
        <v>45534</v>
      </c>
      <c r="J521" t="s">
        <v>6541</v>
      </c>
    </row>
    <row r="522" spans="1:10" x14ac:dyDescent="0.25">
      <c r="A522" s="8" t="s">
        <v>8878</v>
      </c>
      <c r="D522" t="s">
        <v>4340</v>
      </c>
      <c r="E522" t="s">
        <v>4340</v>
      </c>
      <c r="H522">
        <v>0</v>
      </c>
      <c r="I522" s="5">
        <v>44942</v>
      </c>
      <c r="J522" t="s">
        <v>6542</v>
      </c>
    </row>
    <row r="523" spans="1:10" x14ac:dyDescent="0.25">
      <c r="A523" s="8" t="s">
        <v>8814</v>
      </c>
      <c r="B523" t="s">
        <v>4716</v>
      </c>
      <c r="D523" t="s">
        <v>7895</v>
      </c>
      <c r="E523" t="s">
        <v>4340</v>
      </c>
      <c r="H523">
        <v>0</v>
      </c>
      <c r="I523" s="5">
        <v>45565</v>
      </c>
      <c r="J523" t="s">
        <v>6543</v>
      </c>
    </row>
    <row r="524" spans="1:10" x14ac:dyDescent="0.25">
      <c r="A524" s="8" t="s">
        <v>8845</v>
      </c>
      <c r="B524" t="s">
        <v>4717</v>
      </c>
      <c r="D524" t="s">
        <v>4340</v>
      </c>
      <c r="E524" t="s">
        <v>4340</v>
      </c>
      <c r="H524">
        <v>0</v>
      </c>
      <c r="I524" s="5">
        <v>45596</v>
      </c>
      <c r="J524" t="s">
        <v>6544</v>
      </c>
    </row>
    <row r="525" spans="1:10" x14ac:dyDescent="0.25">
      <c r="A525" s="8" t="s">
        <v>8558</v>
      </c>
      <c r="B525" t="s">
        <v>4719</v>
      </c>
      <c r="D525" t="s">
        <v>7896</v>
      </c>
      <c r="E525" t="s">
        <v>4340</v>
      </c>
      <c r="H525">
        <v>0</v>
      </c>
      <c r="I525" s="5">
        <v>45526</v>
      </c>
      <c r="J525" t="s">
        <v>6545</v>
      </c>
    </row>
    <row r="526" spans="1:10" x14ac:dyDescent="0.25">
      <c r="A526" s="8" t="s">
        <v>8716</v>
      </c>
      <c r="B526" t="s">
        <v>4720</v>
      </c>
      <c r="D526" t="s">
        <v>7897</v>
      </c>
      <c r="E526" t="s">
        <v>4340</v>
      </c>
      <c r="G526" t="s">
        <v>5129</v>
      </c>
      <c r="H526">
        <v>1</v>
      </c>
      <c r="I526" s="5" t="s">
        <v>4312</v>
      </c>
      <c r="J526" t="s">
        <v>6778</v>
      </c>
    </row>
    <row r="527" spans="1:10" x14ac:dyDescent="0.25">
      <c r="A527" s="8" t="s">
        <v>8975</v>
      </c>
      <c r="B527" t="s">
        <v>4721</v>
      </c>
      <c r="D527" t="s">
        <v>7899</v>
      </c>
      <c r="E527" t="s">
        <v>4340</v>
      </c>
      <c r="G527" t="s">
        <v>5130</v>
      </c>
      <c r="H527">
        <v>1</v>
      </c>
      <c r="I527" s="5" t="s">
        <v>4312</v>
      </c>
      <c r="J527" t="s">
        <v>6779</v>
      </c>
    </row>
    <row r="528" spans="1:10" x14ac:dyDescent="0.25">
      <c r="A528" s="8" t="s">
        <v>8414</v>
      </c>
      <c r="B528" t="s">
        <v>4722</v>
      </c>
      <c r="D528" t="s">
        <v>7900</v>
      </c>
      <c r="E528" t="s">
        <v>4340</v>
      </c>
      <c r="G528" t="s">
        <v>5131</v>
      </c>
      <c r="H528">
        <v>0</v>
      </c>
      <c r="I528" s="5">
        <v>45841</v>
      </c>
      <c r="J528" t="s">
        <v>6546</v>
      </c>
    </row>
    <row r="529" spans="1:10" x14ac:dyDescent="0.25">
      <c r="A529" s="8" t="s">
        <v>8254</v>
      </c>
      <c r="B529" t="s">
        <v>4723</v>
      </c>
      <c r="D529">
        <v>0</v>
      </c>
      <c r="E529" t="s">
        <v>7901</v>
      </c>
      <c r="H529">
        <v>1</v>
      </c>
      <c r="I529" s="5" t="s">
        <v>4312</v>
      </c>
      <c r="J529" t="s">
        <v>6780</v>
      </c>
    </row>
    <row r="530" spans="1:10" x14ac:dyDescent="0.25">
      <c r="A530" s="8" t="s">
        <v>8750</v>
      </c>
      <c r="B530" t="s">
        <v>4724</v>
      </c>
      <c r="D530" t="s">
        <v>7902</v>
      </c>
      <c r="E530" t="s">
        <v>4340</v>
      </c>
      <c r="H530">
        <v>0</v>
      </c>
      <c r="I530" s="5">
        <v>45875</v>
      </c>
      <c r="J530" t="s">
        <v>6547</v>
      </c>
    </row>
    <row r="531" spans="1:10" x14ac:dyDescent="0.25">
      <c r="A531" s="8" t="s">
        <v>8944</v>
      </c>
      <c r="B531" t="s">
        <v>4725</v>
      </c>
      <c r="D531" t="s">
        <v>7903</v>
      </c>
      <c r="E531" t="s">
        <v>4340</v>
      </c>
      <c r="H531">
        <v>0</v>
      </c>
      <c r="I531" s="5">
        <v>45900</v>
      </c>
      <c r="J531" t="s">
        <v>6548</v>
      </c>
    </row>
    <row r="532" spans="1:10" x14ac:dyDescent="0.25">
      <c r="A532" s="8" t="s">
        <v>8461</v>
      </c>
      <c r="B532" t="s">
        <v>4726</v>
      </c>
      <c r="D532" t="s">
        <v>7908</v>
      </c>
      <c r="E532" t="s">
        <v>4340</v>
      </c>
      <c r="G532" t="s">
        <v>5133</v>
      </c>
      <c r="H532">
        <v>0</v>
      </c>
      <c r="I532" s="5">
        <v>45900</v>
      </c>
      <c r="J532" t="s">
        <v>6549</v>
      </c>
    </row>
    <row r="533" spans="1:10" x14ac:dyDescent="0.25">
      <c r="A533" s="8" t="s">
        <v>8639</v>
      </c>
      <c r="B533" t="s">
        <v>4727</v>
      </c>
      <c r="D533" t="s">
        <v>7909</v>
      </c>
      <c r="E533" t="s">
        <v>4340</v>
      </c>
      <c r="G533" t="s">
        <v>5134</v>
      </c>
      <c r="H533">
        <v>0</v>
      </c>
      <c r="I533" s="5">
        <v>45657</v>
      </c>
      <c r="J533" t="s">
        <v>6550</v>
      </c>
    </row>
    <row r="534" spans="1:10" x14ac:dyDescent="0.25">
      <c r="A534" s="8" t="s">
        <v>8360</v>
      </c>
      <c r="B534" t="s">
        <v>4728</v>
      </c>
      <c r="D534" t="s">
        <v>8072</v>
      </c>
      <c r="E534" t="s">
        <v>4340</v>
      </c>
      <c r="H534">
        <v>1</v>
      </c>
      <c r="I534" s="5" t="s">
        <v>4312</v>
      </c>
      <c r="J534" t="s">
        <v>6781</v>
      </c>
    </row>
    <row r="535" spans="1:10" x14ac:dyDescent="0.25">
      <c r="A535" s="8" t="s">
        <v>8667</v>
      </c>
      <c r="B535" t="s">
        <v>4729</v>
      </c>
      <c r="D535" t="s">
        <v>7910</v>
      </c>
      <c r="E535" t="s">
        <v>4340</v>
      </c>
      <c r="G535" t="s">
        <v>5135</v>
      </c>
      <c r="H535">
        <v>1</v>
      </c>
      <c r="I535" s="5" t="s">
        <v>4312</v>
      </c>
      <c r="J535" t="s">
        <v>6782</v>
      </c>
    </row>
    <row r="536" spans="1:10" x14ac:dyDescent="0.25">
      <c r="A536" s="8" t="s">
        <v>8509</v>
      </c>
      <c r="B536" t="s">
        <v>4730</v>
      </c>
      <c r="D536" t="s">
        <v>7911</v>
      </c>
      <c r="E536" t="s">
        <v>4340</v>
      </c>
      <c r="G536" t="s">
        <v>5136</v>
      </c>
      <c r="H536">
        <v>1</v>
      </c>
      <c r="I536" s="5" t="s">
        <v>4312</v>
      </c>
      <c r="J536" t="s">
        <v>6783</v>
      </c>
    </row>
    <row r="537" spans="1:10" x14ac:dyDescent="0.25">
      <c r="A537" s="8" t="s">
        <v>8358</v>
      </c>
      <c r="B537" t="s">
        <v>4731</v>
      </c>
      <c r="D537" t="s">
        <v>7912</v>
      </c>
      <c r="E537" t="s">
        <v>4340</v>
      </c>
      <c r="H537">
        <v>0</v>
      </c>
      <c r="I537" s="5">
        <v>45961</v>
      </c>
      <c r="J537" t="s">
        <v>6551</v>
      </c>
    </row>
    <row r="538" spans="1:10" x14ac:dyDescent="0.25">
      <c r="A538" s="8" t="s">
        <v>8210</v>
      </c>
      <c r="B538" t="s">
        <v>4732</v>
      </c>
      <c r="D538" t="s">
        <v>7913</v>
      </c>
      <c r="E538" t="s">
        <v>4340</v>
      </c>
      <c r="H538">
        <v>0</v>
      </c>
      <c r="I538" s="5">
        <v>45549</v>
      </c>
      <c r="J538" t="s">
        <v>6552</v>
      </c>
    </row>
    <row r="539" spans="1:10" x14ac:dyDescent="0.25">
      <c r="A539" s="8" t="s">
        <v>8874</v>
      </c>
      <c r="B539" t="s">
        <v>4733</v>
      </c>
      <c r="D539" t="s">
        <v>7914</v>
      </c>
      <c r="E539" t="s">
        <v>4340</v>
      </c>
      <c r="H539">
        <v>1</v>
      </c>
      <c r="I539" s="5" t="s">
        <v>4312</v>
      </c>
      <c r="J539" t="s">
        <v>6784</v>
      </c>
    </row>
    <row r="540" spans="1:10" x14ac:dyDescent="0.25">
      <c r="A540" s="8" t="s">
        <v>8408</v>
      </c>
      <c r="B540" t="s">
        <v>4734</v>
      </c>
      <c r="D540">
        <v>0</v>
      </c>
      <c r="E540" t="s">
        <v>7915</v>
      </c>
      <c r="H540">
        <v>0</v>
      </c>
      <c r="I540" s="5">
        <v>45716</v>
      </c>
      <c r="J540" t="s">
        <v>6553</v>
      </c>
    </row>
    <row r="541" spans="1:10" x14ac:dyDescent="0.25">
      <c r="A541" s="8" t="s">
        <v>8853</v>
      </c>
      <c r="B541" t="s">
        <v>4735</v>
      </c>
      <c r="D541" t="s">
        <v>7916</v>
      </c>
      <c r="E541" t="s">
        <v>4340</v>
      </c>
      <c r="H541">
        <v>0</v>
      </c>
      <c r="I541" s="5">
        <v>45930</v>
      </c>
      <c r="J541" t="s">
        <v>6554</v>
      </c>
    </row>
    <row r="542" spans="1:10" x14ac:dyDescent="0.25">
      <c r="A542" s="8" t="s">
        <v>8939</v>
      </c>
      <c r="B542" t="s">
        <v>4736</v>
      </c>
      <c r="D542" t="s">
        <v>7917</v>
      </c>
      <c r="E542" t="s">
        <v>4340</v>
      </c>
      <c r="G542" t="s">
        <v>5137</v>
      </c>
      <c r="H542">
        <v>0</v>
      </c>
      <c r="I542" s="5">
        <v>45812</v>
      </c>
      <c r="J542" t="s">
        <v>6555</v>
      </c>
    </row>
    <row r="543" spans="1:10" x14ac:dyDescent="0.25">
      <c r="A543" s="8" t="s">
        <v>8891</v>
      </c>
      <c r="B543" t="s">
        <v>4507</v>
      </c>
      <c r="D543" t="s">
        <v>7651</v>
      </c>
      <c r="E543" t="s">
        <v>4340</v>
      </c>
      <c r="H543">
        <v>0</v>
      </c>
      <c r="I543" s="5">
        <v>44804</v>
      </c>
      <c r="J543" t="s">
        <v>6556</v>
      </c>
    </row>
    <row r="544" spans="1:10" x14ac:dyDescent="0.25">
      <c r="A544" s="8" t="s">
        <v>8895</v>
      </c>
      <c r="B544" t="s">
        <v>4737</v>
      </c>
      <c r="D544">
        <v>0</v>
      </c>
      <c r="E544" t="s">
        <v>7919</v>
      </c>
      <c r="H544">
        <v>0</v>
      </c>
      <c r="I544" s="5">
        <v>45626</v>
      </c>
      <c r="J544" t="s">
        <v>6557</v>
      </c>
    </row>
    <row r="545" spans="1:10" x14ac:dyDescent="0.25">
      <c r="A545" s="8" t="s">
        <v>8936</v>
      </c>
      <c r="B545" t="s">
        <v>4738</v>
      </c>
      <c r="D545" t="s">
        <v>7920</v>
      </c>
      <c r="E545" t="s">
        <v>4340</v>
      </c>
      <c r="H545">
        <v>0</v>
      </c>
      <c r="I545" s="5">
        <v>45747</v>
      </c>
      <c r="J545" t="s">
        <v>6558</v>
      </c>
    </row>
    <row r="546" spans="1:10" x14ac:dyDescent="0.25">
      <c r="A546" s="8" t="s">
        <v>8374</v>
      </c>
      <c r="B546" t="s">
        <v>4739</v>
      </c>
      <c r="C546" t="s">
        <v>4340</v>
      </c>
      <c r="D546" t="s">
        <v>8118</v>
      </c>
      <c r="E546" t="s">
        <v>7922</v>
      </c>
      <c r="H546">
        <v>1</v>
      </c>
      <c r="I546" s="5" t="s">
        <v>4312</v>
      </c>
      <c r="J546" t="s">
        <v>6171</v>
      </c>
    </row>
    <row r="547" spans="1:10" x14ac:dyDescent="0.25">
      <c r="A547" s="8" t="s">
        <v>8768</v>
      </c>
      <c r="B547" t="s">
        <v>4740</v>
      </c>
      <c r="D547" t="s">
        <v>7923</v>
      </c>
      <c r="E547" t="s">
        <v>4340</v>
      </c>
      <c r="H547">
        <v>0</v>
      </c>
      <c r="I547" s="5">
        <v>45733</v>
      </c>
      <c r="J547" t="s">
        <v>6559</v>
      </c>
    </row>
    <row r="548" spans="1:10" x14ac:dyDescent="0.25">
      <c r="A548" s="8" t="s">
        <v>8848</v>
      </c>
      <c r="B548" t="s">
        <v>4741</v>
      </c>
      <c r="D548" t="s">
        <v>7924</v>
      </c>
      <c r="E548" t="s">
        <v>4340</v>
      </c>
      <c r="H548">
        <v>0</v>
      </c>
      <c r="I548" s="5">
        <v>45669</v>
      </c>
      <c r="J548" t="s">
        <v>6560</v>
      </c>
    </row>
    <row r="549" spans="1:10" x14ac:dyDescent="0.25">
      <c r="A549" s="8" t="s">
        <v>8470</v>
      </c>
      <c r="B549" t="s">
        <v>4742</v>
      </c>
      <c r="D549" t="s">
        <v>7965</v>
      </c>
      <c r="E549" t="s">
        <v>7925</v>
      </c>
      <c r="H549">
        <v>0</v>
      </c>
      <c r="I549" s="5">
        <v>45884</v>
      </c>
      <c r="J549" t="s">
        <v>6561</v>
      </c>
    </row>
    <row r="550" spans="1:10" x14ac:dyDescent="0.25">
      <c r="A550" s="8" t="s">
        <v>8438</v>
      </c>
      <c r="B550" t="s">
        <v>4743</v>
      </c>
      <c r="D550" t="s">
        <v>7926</v>
      </c>
      <c r="E550" t="s">
        <v>4340</v>
      </c>
      <c r="G550" t="s">
        <v>5138</v>
      </c>
      <c r="H550">
        <v>0</v>
      </c>
      <c r="I550" s="5">
        <v>45728</v>
      </c>
      <c r="J550" t="s">
        <v>6562</v>
      </c>
    </row>
    <row r="551" spans="1:10" x14ac:dyDescent="0.25">
      <c r="A551" s="8" t="s">
        <v>8948</v>
      </c>
      <c r="B551" t="s">
        <v>4744</v>
      </c>
      <c r="D551" t="s">
        <v>7927</v>
      </c>
      <c r="E551" t="s">
        <v>4340</v>
      </c>
      <c r="G551" t="s">
        <v>5139</v>
      </c>
      <c r="H551">
        <v>1</v>
      </c>
      <c r="I551" s="5" t="s">
        <v>4312</v>
      </c>
      <c r="J551" t="s">
        <v>6785</v>
      </c>
    </row>
    <row r="552" spans="1:10" x14ac:dyDescent="0.25">
      <c r="A552" s="8" t="s">
        <v>8688</v>
      </c>
      <c r="B552" t="s">
        <v>4745</v>
      </c>
      <c r="D552">
        <v>0</v>
      </c>
      <c r="E552" t="s">
        <v>7928</v>
      </c>
      <c r="H552">
        <v>0</v>
      </c>
      <c r="I552" s="5">
        <v>45945</v>
      </c>
      <c r="J552" t="s">
        <v>6563</v>
      </c>
    </row>
    <row r="553" spans="1:10" x14ac:dyDescent="0.25">
      <c r="A553" s="8" t="s">
        <v>8868</v>
      </c>
      <c r="B553" t="s">
        <v>4746</v>
      </c>
      <c r="D553" t="s">
        <v>7929</v>
      </c>
      <c r="E553" t="s">
        <v>4340</v>
      </c>
      <c r="G553" t="s">
        <v>5140</v>
      </c>
      <c r="H553">
        <v>0</v>
      </c>
      <c r="I553" s="5">
        <v>45838</v>
      </c>
      <c r="J553" t="s">
        <v>6564</v>
      </c>
    </row>
    <row r="554" spans="1:10" x14ac:dyDescent="0.25">
      <c r="A554" s="8" t="s">
        <v>8649</v>
      </c>
      <c r="B554" t="s">
        <v>4747</v>
      </c>
      <c r="D554">
        <v>0</v>
      </c>
      <c r="E554" t="s">
        <v>7930</v>
      </c>
      <c r="H554">
        <v>0</v>
      </c>
      <c r="I554" s="5">
        <v>45930</v>
      </c>
      <c r="J554" t="s">
        <v>6565</v>
      </c>
    </row>
    <row r="555" spans="1:10" x14ac:dyDescent="0.25">
      <c r="A555" s="8" t="s">
        <v>8252</v>
      </c>
      <c r="B555" t="s">
        <v>4748</v>
      </c>
      <c r="D555" t="s">
        <v>7931</v>
      </c>
      <c r="E555" t="s">
        <v>4340</v>
      </c>
      <c r="H555">
        <v>0</v>
      </c>
      <c r="I555" s="5">
        <v>45709</v>
      </c>
      <c r="J555" t="s">
        <v>6566</v>
      </c>
    </row>
    <row r="556" spans="1:10" x14ac:dyDescent="0.25">
      <c r="A556" s="8" t="s">
        <v>8700</v>
      </c>
      <c r="B556" t="s">
        <v>4749</v>
      </c>
      <c r="D556" t="s">
        <v>7932</v>
      </c>
      <c r="E556" t="s">
        <v>4340</v>
      </c>
      <c r="G556" t="s">
        <v>5141</v>
      </c>
      <c r="H556">
        <v>1</v>
      </c>
      <c r="I556" s="5" t="s">
        <v>4312</v>
      </c>
      <c r="J556" t="s">
        <v>6786</v>
      </c>
    </row>
    <row r="557" spans="1:10" x14ac:dyDescent="0.25">
      <c r="A557" s="8" t="s">
        <v>8938</v>
      </c>
      <c r="B557" t="s">
        <v>4750</v>
      </c>
      <c r="D557" t="s">
        <v>7933</v>
      </c>
      <c r="E557" t="s">
        <v>4340</v>
      </c>
      <c r="H557">
        <v>0</v>
      </c>
      <c r="I557" s="5">
        <v>45725</v>
      </c>
      <c r="J557" t="s">
        <v>6567</v>
      </c>
    </row>
    <row r="558" spans="1:10" x14ac:dyDescent="0.25">
      <c r="A558" s="8" t="s">
        <v>8448</v>
      </c>
      <c r="B558" t="s">
        <v>4751</v>
      </c>
      <c r="D558" t="s">
        <v>7934</v>
      </c>
      <c r="E558" t="s">
        <v>4340</v>
      </c>
      <c r="G558" t="s">
        <v>5142</v>
      </c>
      <c r="H558">
        <v>1</v>
      </c>
      <c r="I558" s="5" t="s">
        <v>4312</v>
      </c>
      <c r="J558" t="s">
        <v>6787</v>
      </c>
    </row>
    <row r="559" spans="1:10" x14ac:dyDescent="0.25">
      <c r="A559" s="8" t="s">
        <v>8687</v>
      </c>
      <c r="B559" t="s">
        <v>4752</v>
      </c>
      <c r="D559" t="s">
        <v>7935</v>
      </c>
      <c r="E559" t="s">
        <v>4340</v>
      </c>
      <c r="G559" t="s">
        <v>5143</v>
      </c>
      <c r="H559">
        <v>1</v>
      </c>
      <c r="I559" s="5" t="s">
        <v>4312</v>
      </c>
      <c r="J559" t="s">
        <v>6788</v>
      </c>
    </row>
    <row r="560" spans="1:10" x14ac:dyDescent="0.25">
      <c r="A560" s="8" t="s">
        <v>8212</v>
      </c>
      <c r="B560" t="s">
        <v>4753</v>
      </c>
      <c r="D560" t="s">
        <v>7936</v>
      </c>
      <c r="E560" t="s">
        <v>4340</v>
      </c>
      <c r="G560" t="s">
        <v>5144</v>
      </c>
      <c r="H560">
        <v>1</v>
      </c>
      <c r="I560" s="5" t="s">
        <v>4312</v>
      </c>
      <c r="J560" t="s">
        <v>6789</v>
      </c>
    </row>
    <row r="561" spans="1:10" x14ac:dyDescent="0.25">
      <c r="A561" s="8" t="s">
        <v>8902</v>
      </c>
      <c r="B561" t="s">
        <v>4754</v>
      </c>
      <c r="D561" t="s">
        <v>7937</v>
      </c>
      <c r="E561" t="s">
        <v>4340</v>
      </c>
      <c r="G561" t="s">
        <v>5145</v>
      </c>
      <c r="H561">
        <v>1</v>
      </c>
      <c r="I561" s="5" t="s">
        <v>4312</v>
      </c>
      <c r="J561" t="s">
        <v>6790</v>
      </c>
    </row>
    <row r="562" spans="1:10" x14ac:dyDescent="0.25">
      <c r="A562" s="8" t="s">
        <v>8702</v>
      </c>
      <c r="B562" t="s">
        <v>4755</v>
      </c>
      <c r="D562" t="s">
        <v>7938</v>
      </c>
      <c r="E562" t="s">
        <v>4340</v>
      </c>
      <c r="G562" t="s">
        <v>5147</v>
      </c>
      <c r="H562">
        <v>0</v>
      </c>
      <c r="I562" s="5">
        <v>45656</v>
      </c>
      <c r="J562" t="s">
        <v>6568</v>
      </c>
    </row>
    <row r="563" spans="1:10" x14ac:dyDescent="0.25">
      <c r="A563" s="8" t="s">
        <v>8213</v>
      </c>
      <c r="B563" t="s">
        <v>4756</v>
      </c>
      <c r="D563" t="s">
        <v>7939</v>
      </c>
      <c r="E563" t="s">
        <v>4340</v>
      </c>
      <c r="H563">
        <v>1</v>
      </c>
      <c r="I563" s="5" t="s">
        <v>4312</v>
      </c>
      <c r="J563" t="s">
        <v>6791</v>
      </c>
    </row>
    <row r="564" spans="1:10" x14ac:dyDescent="0.25">
      <c r="A564" s="8" t="s">
        <v>8542</v>
      </c>
      <c r="B564" t="s">
        <v>4757</v>
      </c>
      <c r="D564">
        <v>0</v>
      </c>
      <c r="E564" t="s">
        <v>7940</v>
      </c>
      <c r="H564">
        <v>0</v>
      </c>
      <c r="I564" s="5">
        <v>45688</v>
      </c>
      <c r="J564" t="s">
        <v>6569</v>
      </c>
    </row>
    <row r="565" spans="1:10" x14ac:dyDescent="0.25">
      <c r="A565" s="8" t="s">
        <v>8613</v>
      </c>
      <c r="B565" t="s">
        <v>4758</v>
      </c>
      <c r="C565" t="s">
        <v>6073</v>
      </c>
      <c r="D565" t="s">
        <v>7941</v>
      </c>
      <c r="E565" t="s">
        <v>4340</v>
      </c>
      <c r="G565" t="s">
        <v>5148</v>
      </c>
      <c r="H565">
        <v>1</v>
      </c>
      <c r="I565" s="5" t="s">
        <v>4312</v>
      </c>
      <c r="J565" t="s">
        <v>6172</v>
      </c>
    </row>
    <row r="566" spans="1:10" x14ac:dyDescent="0.25">
      <c r="A566" s="8" t="s">
        <v>8910</v>
      </c>
      <c r="B566" t="s">
        <v>4759</v>
      </c>
      <c r="D566" t="s">
        <v>7942</v>
      </c>
      <c r="E566" t="s">
        <v>4340</v>
      </c>
      <c r="G566" t="s">
        <v>5149</v>
      </c>
      <c r="H566">
        <v>0</v>
      </c>
      <c r="I566" s="5">
        <v>45919</v>
      </c>
      <c r="J566" t="s">
        <v>6570</v>
      </c>
    </row>
    <row r="567" spans="1:10" x14ac:dyDescent="0.25">
      <c r="A567" s="8" t="s">
        <v>8660</v>
      </c>
      <c r="B567" t="s">
        <v>4760</v>
      </c>
      <c r="D567" t="s">
        <v>7945</v>
      </c>
      <c r="E567" t="s">
        <v>4340</v>
      </c>
      <c r="H567">
        <v>1</v>
      </c>
      <c r="I567" s="5" t="s">
        <v>4312</v>
      </c>
      <c r="J567" t="s">
        <v>6792</v>
      </c>
    </row>
    <row r="568" spans="1:10" x14ac:dyDescent="0.25">
      <c r="A568" s="8" t="s">
        <v>8913</v>
      </c>
      <c r="B568" t="s">
        <v>4761</v>
      </c>
      <c r="D568">
        <v>0</v>
      </c>
      <c r="E568" t="s">
        <v>7946</v>
      </c>
      <c r="H568">
        <v>1</v>
      </c>
      <c r="I568" s="5" t="s">
        <v>4312</v>
      </c>
      <c r="J568" t="s">
        <v>6793</v>
      </c>
    </row>
    <row r="569" spans="1:10" x14ac:dyDescent="0.25">
      <c r="A569" s="8" t="s">
        <v>8992</v>
      </c>
      <c r="B569" t="s">
        <v>4762</v>
      </c>
      <c r="D569" t="s">
        <v>7947</v>
      </c>
      <c r="E569" t="s">
        <v>4340</v>
      </c>
      <c r="G569" t="s">
        <v>5151</v>
      </c>
      <c r="H569">
        <v>1</v>
      </c>
      <c r="I569" s="5" t="s">
        <v>4312</v>
      </c>
      <c r="J569" t="s">
        <v>6794</v>
      </c>
    </row>
    <row r="570" spans="1:10" x14ac:dyDescent="0.25">
      <c r="A570" s="8" t="s">
        <v>8427</v>
      </c>
      <c r="B570" t="s">
        <v>4763</v>
      </c>
      <c r="D570" t="s">
        <v>7948</v>
      </c>
      <c r="E570" t="s">
        <v>4340</v>
      </c>
      <c r="H570">
        <v>0</v>
      </c>
      <c r="I570" s="5">
        <v>45716</v>
      </c>
      <c r="J570" t="s">
        <v>6571</v>
      </c>
    </row>
    <row r="571" spans="1:10" x14ac:dyDescent="0.25">
      <c r="A571" s="8" t="s">
        <v>8672</v>
      </c>
      <c r="B571" t="s">
        <v>4764</v>
      </c>
      <c r="D571" t="s">
        <v>7949</v>
      </c>
      <c r="E571" t="s">
        <v>4340</v>
      </c>
      <c r="H571">
        <v>0</v>
      </c>
      <c r="I571" s="5">
        <v>45900</v>
      </c>
      <c r="J571" t="s">
        <v>6572</v>
      </c>
    </row>
    <row r="572" spans="1:10" x14ac:dyDescent="0.25">
      <c r="A572" s="8" t="s">
        <v>8228</v>
      </c>
      <c r="B572" t="s">
        <v>4765</v>
      </c>
      <c r="D572" t="s">
        <v>7950</v>
      </c>
      <c r="E572" t="s">
        <v>4340</v>
      </c>
      <c r="H572">
        <v>0</v>
      </c>
      <c r="I572" s="5">
        <v>45795</v>
      </c>
      <c r="J572" t="s">
        <v>6573</v>
      </c>
    </row>
    <row r="573" spans="1:10" x14ac:dyDescent="0.25">
      <c r="A573" s="8" t="s">
        <v>8447</v>
      </c>
      <c r="B573" t="s">
        <v>4766</v>
      </c>
      <c r="D573" t="s">
        <v>7951</v>
      </c>
      <c r="E573" t="s">
        <v>4340</v>
      </c>
      <c r="H573">
        <v>1</v>
      </c>
      <c r="I573" s="5" t="s">
        <v>4312</v>
      </c>
      <c r="J573" t="s">
        <v>6795</v>
      </c>
    </row>
    <row r="574" spans="1:10" x14ac:dyDescent="0.25">
      <c r="A574" s="8" t="s">
        <v>8531</v>
      </c>
      <c r="B574" t="s">
        <v>4767</v>
      </c>
      <c r="D574">
        <v>0</v>
      </c>
      <c r="E574" t="s">
        <v>8189</v>
      </c>
      <c r="H574">
        <v>1</v>
      </c>
      <c r="I574" s="5" t="s">
        <v>4312</v>
      </c>
      <c r="J574" t="s">
        <v>6796</v>
      </c>
    </row>
    <row r="575" spans="1:10" x14ac:dyDescent="0.25">
      <c r="A575" s="8" t="s">
        <v>8951</v>
      </c>
      <c r="B575" t="s">
        <v>4768</v>
      </c>
      <c r="D575" t="s">
        <v>7952</v>
      </c>
      <c r="E575" t="s">
        <v>4340</v>
      </c>
      <c r="H575">
        <v>0</v>
      </c>
      <c r="I575" s="5">
        <v>45707</v>
      </c>
      <c r="J575" t="s">
        <v>6574</v>
      </c>
    </row>
    <row r="576" spans="1:10" x14ac:dyDescent="0.25">
      <c r="A576" s="8" t="s">
        <v>8528</v>
      </c>
      <c r="B576" t="s">
        <v>4769</v>
      </c>
      <c r="D576" t="s">
        <v>7953</v>
      </c>
      <c r="E576" t="s">
        <v>4340</v>
      </c>
      <c r="H576">
        <v>0</v>
      </c>
      <c r="I576" s="5">
        <v>45900</v>
      </c>
      <c r="J576" t="s">
        <v>6575</v>
      </c>
    </row>
    <row r="577" spans="1:10" x14ac:dyDescent="0.25">
      <c r="A577" s="8" t="s">
        <v>8879</v>
      </c>
      <c r="B577" t="s">
        <v>4770</v>
      </c>
      <c r="D577" t="s">
        <v>7954</v>
      </c>
      <c r="E577" t="s">
        <v>4340</v>
      </c>
      <c r="H577">
        <v>0</v>
      </c>
      <c r="I577" s="5">
        <v>45699</v>
      </c>
      <c r="J577" t="s">
        <v>6576</v>
      </c>
    </row>
    <row r="578" spans="1:10" x14ac:dyDescent="0.25">
      <c r="A578" s="8" t="s">
        <v>8658</v>
      </c>
      <c r="B578" t="s">
        <v>4771</v>
      </c>
      <c r="D578">
        <v>0</v>
      </c>
      <c r="E578" t="s">
        <v>7955</v>
      </c>
      <c r="H578">
        <v>0</v>
      </c>
      <c r="I578" s="5">
        <v>45712</v>
      </c>
      <c r="J578" t="s">
        <v>6577</v>
      </c>
    </row>
    <row r="579" spans="1:10" x14ac:dyDescent="0.25">
      <c r="A579" s="8" t="s">
        <v>8844</v>
      </c>
      <c r="B579" t="s">
        <v>4772</v>
      </c>
      <c r="D579">
        <v>0</v>
      </c>
      <c r="E579" t="s">
        <v>7956</v>
      </c>
      <c r="H579">
        <v>1</v>
      </c>
      <c r="I579" s="5" t="s">
        <v>4312</v>
      </c>
      <c r="J579" t="s">
        <v>6797</v>
      </c>
    </row>
    <row r="580" spans="1:10" x14ac:dyDescent="0.25">
      <c r="A580" s="8" t="s">
        <v>8510</v>
      </c>
      <c r="B580" t="s">
        <v>4773</v>
      </c>
      <c r="D580" t="s">
        <v>7957</v>
      </c>
      <c r="E580" t="s">
        <v>4340</v>
      </c>
      <c r="G580" t="s">
        <v>5152</v>
      </c>
      <c r="H580">
        <v>1</v>
      </c>
      <c r="I580" s="5" t="s">
        <v>4312</v>
      </c>
      <c r="J580" t="s">
        <v>6798</v>
      </c>
    </row>
    <row r="581" spans="1:10" x14ac:dyDescent="0.25">
      <c r="A581" s="8" t="s">
        <v>8554</v>
      </c>
      <c r="B581" t="s">
        <v>4774</v>
      </c>
      <c r="D581" t="s">
        <v>7958</v>
      </c>
      <c r="E581" t="s">
        <v>4340</v>
      </c>
      <c r="H581">
        <v>0</v>
      </c>
      <c r="I581" s="5">
        <v>45854</v>
      </c>
      <c r="J581" t="s">
        <v>6578</v>
      </c>
    </row>
    <row r="582" spans="1:10" x14ac:dyDescent="0.25">
      <c r="A582" s="8" t="s">
        <v>8282</v>
      </c>
      <c r="B582" t="s">
        <v>4775</v>
      </c>
      <c r="D582" t="s">
        <v>7959</v>
      </c>
      <c r="E582" t="s">
        <v>4340</v>
      </c>
      <c r="H582">
        <v>0</v>
      </c>
      <c r="I582" s="5">
        <v>45625</v>
      </c>
      <c r="J582" t="s">
        <v>6579</v>
      </c>
    </row>
    <row r="583" spans="1:10" x14ac:dyDescent="0.25">
      <c r="A583" s="8" t="s">
        <v>8548</v>
      </c>
      <c r="B583" t="s">
        <v>4776</v>
      </c>
      <c r="D583">
        <v>0</v>
      </c>
      <c r="E583" t="s">
        <v>7960</v>
      </c>
      <c r="H583">
        <v>1</v>
      </c>
      <c r="I583" s="5" t="s">
        <v>4312</v>
      </c>
      <c r="J583" t="s">
        <v>6799</v>
      </c>
    </row>
    <row r="584" spans="1:10" x14ac:dyDescent="0.25">
      <c r="A584" s="8" t="s">
        <v>8478</v>
      </c>
      <c r="B584" t="s">
        <v>4777</v>
      </c>
      <c r="D584" t="s">
        <v>7961</v>
      </c>
      <c r="E584" t="s">
        <v>4340</v>
      </c>
      <c r="H584">
        <v>1</v>
      </c>
      <c r="I584" s="5" t="s">
        <v>4312</v>
      </c>
      <c r="J584" t="s">
        <v>6800</v>
      </c>
    </row>
    <row r="585" spans="1:10" x14ac:dyDescent="0.25">
      <c r="A585" s="8" t="s">
        <v>8357</v>
      </c>
      <c r="B585" t="s">
        <v>4778</v>
      </c>
      <c r="D585" t="s">
        <v>7962</v>
      </c>
      <c r="E585" t="s">
        <v>4340</v>
      </c>
      <c r="G585" t="s">
        <v>5153</v>
      </c>
      <c r="H585">
        <v>1</v>
      </c>
      <c r="I585" s="5" t="s">
        <v>4312</v>
      </c>
      <c r="J585" t="s">
        <v>6801</v>
      </c>
    </row>
    <row r="586" spans="1:10" x14ac:dyDescent="0.25">
      <c r="A586" s="8" t="s">
        <v>8318</v>
      </c>
      <c r="B586" t="s">
        <v>4779</v>
      </c>
      <c r="D586" t="s">
        <v>7963</v>
      </c>
      <c r="E586" t="s">
        <v>4340</v>
      </c>
      <c r="H586">
        <v>1</v>
      </c>
      <c r="I586" s="5" t="s">
        <v>4312</v>
      </c>
      <c r="J586" t="s">
        <v>6802</v>
      </c>
    </row>
    <row r="587" spans="1:10" x14ac:dyDescent="0.25">
      <c r="A587" s="8" t="s">
        <v>8611</v>
      </c>
      <c r="B587" t="s">
        <v>4780</v>
      </c>
      <c r="D587">
        <v>0</v>
      </c>
      <c r="E587" t="s">
        <v>7964</v>
      </c>
      <c r="H587">
        <v>0</v>
      </c>
      <c r="I587" s="5">
        <v>45991</v>
      </c>
      <c r="J587" t="s">
        <v>6580</v>
      </c>
    </row>
    <row r="588" spans="1:10" x14ac:dyDescent="0.25">
      <c r="A588" s="8" t="s">
        <v>8618</v>
      </c>
      <c r="B588" t="s">
        <v>4781</v>
      </c>
      <c r="D588" t="s">
        <v>7966</v>
      </c>
      <c r="E588" t="s">
        <v>4340</v>
      </c>
      <c r="G588" t="s">
        <v>5154</v>
      </c>
      <c r="H588">
        <v>1</v>
      </c>
      <c r="I588" s="5" t="s">
        <v>4312</v>
      </c>
      <c r="J588" t="s">
        <v>6803</v>
      </c>
    </row>
    <row r="589" spans="1:10" x14ac:dyDescent="0.25">
      <c r="A589" s="8" t="s">
        <v>8631</v>
      </c>
      <c r="B589" t="s">
        <v>4782</v>
      </c>
      <c r="D589" t="s">
        <v>7967</v>
      </c>
      <c r="E589" t="s">
        <v>4340</v>
      </c>
      <c r="G589" t="s">
        <v>5155</v>
      </c>
      <c r="H589">
        <v>1</v>
      </c>
      <c r="I589" s="5" t="s">
        <v>4312</v>
      </c>
      <c r="J589" t="s">
        <v>6804</v>
      </c>
    </row>
    <row r="590" spans="1:10" x14ac:dyDescent="0.25">
      <c r="A590" s="8" t="s">
        <v>8260</v>
      </c>
      <c r="B590" t="s">
        <v>4783</v>
      </c>
      <c r="D590" t="s">
        <v>8081</v>
      </c>
      <c r="E590" t="s">
        <v>7968</v>
      </c>
      <c r="H590">
        <v>1</v>
      </c>
      <c r="I590" s="5" t="s">
        <v>4312</v>
      </c>
      <c r="J590" t="s">
        <v>6805</v>
      </c>
    </row>
    <row r="591" spans="1:10" x14ac:dyDescent="0.25">
      <c r="A591" s="8" t="s">
        <v>8912</v>
      </c>
      <c r="B591" t="s">
        <v>4784</v>
      </c>
      <c r="D591" t="s">
        <v>7971</v>
      </c>
      <c r="E591" t="s">
        <v>4340</v>
      </c>
      <c r="G591" t="s">
        <v>5157</v>
      </c>
      <c r="H591">
        <v>1</v>
      </c>
      <c r="I591" s="5" t="s">
        <v>4312</v>
      </c>
      <c r="J591" t="s">
        <v>6806</v>
      </c>
    </row>
    <row r="592" spans="1:10" x14ac:dyDescent="0.25">
      <c r="A592" s="8" t="s">
        <v>8970</v>
      </c>
      <c r="B592" t="s">
        <v>4785</v>
      </c>
      <c r="D592" t="s">
        <v>7972</v>
      </c>
      <c r="E592" t="s">
        <v>4340</v>
      </c>
      <c r="G592" t="s">
        <v>5158</v>
      </c>
      <c r="H592">
        <v>0</v>
      </c>
      <c r="I592" s="5">
        <v>45747</v>
      </c>
      <c r="J592" t="s">
        <v>6581</v>
      </c>
    </row>
    <row r="593" spans="1:10" x14ac:dyDescent="0.25">
      <c r="A593" s="8" t="s">
        <v>8549</v>
      </c>
      <c r="B593" t="s">
        <v>4786</v>
      </c>
      <c r="D593" t="s">
        <v>7974</v>
      </c>
      <c r="E593" t="s">
        <v>4340</v>
      </c>
      <c r="G593" t="s">
        <v>5159</v>
      </c>
      <c r="H593">
        <v>1</v>
      </c>
      <c r="I593" s="5" t="s">
        <v>4312</v>
      </c>
      <c r="J593" t="s">
        <v>6807</v>
      </c>
    </row>
    <row r="594" spans="1:10" x14ac:dyDescent="0.25">
      <c r="A594" s="8" t="s">
        <v>8737</v>
      </c>
      <c r="B594" t="s">
        <v>4787</v>
      </c>
      <c r="D594">
        <v>0</v>
      </c>
      <c r="E594" t="s">
        <v>7975</v>
      </c>
      <c r="H594">
        <v>1</v>
      </c>
      <c r="I594" s="5" t="s">
        <v>4312</v>
      </c>
      <c r="J594" t="s">
        <v>6808</v>
      </c>
    </row>
    <row r="595" spans="1:10" x14ac:dyDescent="0.25">
      <c r="A595" s="8" t="s">
        <v>8571</v>
      </c>
      <c r="B595" t="s">
        <v>4788</v>
      </c>
      <c r="D595" t="s">
        <v>7977</v>
      </c>
      <c r="E595" t="s">
        <v>4340</v>
      </c>
      <c r="G595" t="s">
        <v>5161</v>
      </c>
      <c r="H595">
        <v>0</v>
      </c>
      <c r="I595" s="5">
        <v>45933</v>
      </c>
      <c r="J595" t="s">
        <v>6582</v>
      </c>
    </row>
    <row r="596" spans="1:10" x14ac:dyDescent="0.25">
      <c r="A596" s="8" t="s">
        <v>8943</v>
      </c>
      <c r="B596" t="s">
        <v>4789</v>
      </c>
      <c r="D596" t="s">
        <v>7978</v>
      </c>
      <c r="E596" t="s">
        <v>4340</v>
      </c>
      <c r="G596" t="s">
        <v>5162</v>
      </c>
      <c r="H596">
        <v>0</v>
      </c>
      <c r="I596" s="5">
        <v>45811</v>
      </c>
      <c r="J596" t="s">
        <v>6583</v>
      </c>
    </row>
    <row r="597" spans="1:10" x14ac:dyDescent="0.25">
      <c r="A597" s="8" t="s">
        <v>8650</v>
      </c>
      <c r="B597" t="s">
        <v>4790</v>
      </c>
      <c r="D597" t="s">
        <v>7979</v>
      </c>
      <c r="E597" t="s">
        <v>4340</v>
      </c>
      <c r="H597">
        <v>1</v>
      </c>
      <c r="I597" s="5" t="s">
        <v>4312</v>
      </c>
      <c r="J597" t="s">
        <v>6809</v>
      </c>
    </row>
    <row r="598" spans="1:10" x14ac:dyDescent="0.25">
      <c r="A598" s="8" t="s">
        <v>8303</v>
      </c>
      <c r="B598" t="s">
        <v>4791</v>
      </c>
      <c r="D598" t="s">
        <v>7980</v>
      </c>
      <c r="E598" t="s">
        <v>4340</v>
      </c>
      <c r="H598">
        <v>1</v>
      </c>
      <c r="I598" s="5" t="s">
        <v>4312</v>
      </c>
      <c r="J598" t="s">
        <v>6810</v>
      </c>
    </row>
    <row r="599" spans="1:10" x14ac:dyDescent="0.25">
      <c r="A599" s="8" t="s">
        <v>8353</v>
      </c>
      <c r="B599" t="s">
        <v>4792</v>
      </c>
      <c r="D599" t="s">
        <v>8157</v>
      </c>
      <c r="E599" t="s">
        <v>7981</v>
      </c>
      <c r="H599">
        <v>1</v>
      </c>
      <c r="I599" s="5" t="s">
        <v>4312</v>
      </c>
      <c r="J599" t="s">
        <v>6811</v>
      </c>
    </row>
    <row r="600" spans="1:10" x14ac:dyDescent="0.25">
      <c r="A600" s="8" t="s">
        <v>8560</v>
      </c>
      <c r="B600" t="s">
        <v>4793</v>
      </c>
      <c r="D600">
        <v>0</v>
      </c>
      <c r="E600" t="s">
        <v>7982</v>
      </c>
      <c r="H600">
        <v>0</v>
      </c>
      <c r="I600" s="5">
        <v>45747</v>
      </c>
      <c r="J600" t="s">
        <v>6584</v>
      </c>
    </row>
    <row r="601" spans="1:10" x14ac:dyDescent="0.25">
      <c r="A601" s="8" t="s">
        <v>8803</v>
      </c>
      <c r="B601" t="s">
        <v>4794</v>
      </c>
      <c r="D601" t="s">
        <v>7983</v>
      </c>
      <c r="E601" t="s">
        <v>4340</v>
      </c>
      <c r="H601">
        <v>0</v>
      </c>
      <c r="I601" s="5">
        <v>45755</v>
      </c>
      <c r="J601" t="s">
        <v>6585</v>
      </c>
    </row>
    <row r="602" spans="1:10" x14ac:dyDescent="0.25">
      <c r="A602" s="8" t="s">
        <v>8796</v>
      </c>
      <c r="B602" t="s">
        <v>4795</v>
      </c>
      <c r="D602" t="s">
        <v>4340</v>
      </c>
      <c r="E602" t="s">
        <v>4340</v>
      </c>
      <c r="H602">
        <v>0</v>
      </c>
      <c r="I602" s="5">
        <v>45681</v>
      </c>
      <c r="J602" t="s">
        <v>6586</v>
      </c>
    </row>
    <row r="603" spans="1:10" x14ac:dyDescent="0.25">
      <c r="A603" s="8" t="s">
        <v>8217</v>
      </c>
      <c r="B603" t="s">
        <v>4796</v>
      </c>
      <c r="C603" t="s">
        <v>4340</v>
      </c>
      <c r="D603" t="s">
        <v>7988</v>
      </c>
      <c r="E603" t="s">
        <v>4340</v>
      </c>
      <c r="H603">
        <v>1</v>
      </c>
      <c r="I603" s="5" t="s">
        <v>4312</v>
      </c>
      <c r="J603" t="s">
        <v>6173</v>
      </c>
    </row>
    <row r="604" spans="1:10" x14ac:dyDescent="0.25">
      <c r="A604" s="8" t="s">
        <v>8292</v>
      </c>
      <c r="B604" t="s">
        <v>4797</v>
      </c>
      <c r="D604" t="s">
        <v>7990</v>
      </c>
      <c r="E604" t="s">
        <v>4340</v>
      </c>
      <c r="G604" t="s">
        <v>5164</v>
      </c>
      <c r="H604">
        <v>1</v>
      </c>
      <c r="I604" s="5" t="s">
        <v>4312</v>
      </c>
      <c r="J604" t="s">
        <v>6812</v>
      </c>
    </row>
    <row r="605" spans="1:10" x14ac:dyDescent="0.25">
      <c r="A605" s="8" t="s">
        <v>8858</v>
      </c>
      <c r="B605" t="s">
        <v>4798</v>
      </c>
      <c r="D605">
        <v>0</v>
      </c>
      <c r="E605" t="s">
        <v>8190</v>
      </c>
      <c r="H605">
        <v>1</v>
      </c>
      <c r="I605" s="5" t="s">
        <v>4312</v>
      </c>
      <c r="J605" t="s">
        <v>6813</v>
      </c>
    </row>
    <row r="606" spans="1:10" x14ac:dyDescent="0.25">
      <c r="A606" s="8" t="s">
        <v>8473</v>
      </c>
      <c r="B606" t="s">
        <v>4799</v>
      </c>
      <c r="D606" t="s">
        <v>7991</v>
      </c>
      <c r="E606" t="s">
        <v>4340</v>
      </c>
      <c r="H606">
        <v>0</v>
      </c>
      <c r="I606" s="5">
        <v>45808</v>
      </c>
      <c r="J606" t="s">
        <v>6587</v>
      </c>
    </row>
    <row r="607" spans="1:10" x14ac:dyDescent="0.25">
      <c r="A607" s="8" t="s">
        <v>8223</v>
      </c>
      <c r="B607" t="s">
        <v>4800</v>
      </c>
      <c r="D607" t="s">
        <v>7992</v>
      </c>
      <c r="E607" t="s">
        <v>4340</v>
      </c>
      <c r="G607" t="s">
        <v>5165</v>
      </c>
      <c r="H607">
        <v>1</v>
      </c>
      <c r="I607" s="5" t="s">
        <v>4312</v>
      </c>
      <c r="J607" t="s">
        <v>6814</v>
      </c>
    </row>
    <row r="608" spans="1:10" x14ac:dyDescent="0.25">
      <c r="A608" s="8" t="s">
        <v>8325</v>
      </c>
      <c r="B608" t="s">
        <v>4801</v>
      </c>
      <c r="D608" t="s">
        <v>7993</v>
      </c>
      <c r="E608" t="s">
        <v>4340</v>
      </c>
      <c r="H608">
        <v>0</v>
      </c>
      <c r="I608" s="5">
        <v>45854</v>
      </c>
      <c r="J608" t="s">
        <v>6588</v>
      </c>
    </row>
    <row r="609" spans="1:10" x14ac:dyDescent="0.25">
      <c r="A609" s="8" t="s">
        <v>8827</v>
      </c>
      <c r="B609" t="s">
        <v>4802</v>
      </c>
      <c r="D609">
        <v>0</v>
      </c>
      <c r="E609" t="s">
        <v>7994</v>
      </c>
      <c r="H609">
        <v>1</v>
      </c>
      <c r="I609" s="5" t="s">
        <v>4312</v>
      </c>
      <c r="J609" t="s">
        <v>6815</v>
      </c>
    </row>
    <row r="610" spans="1:10" x14ac:dyDescent="0.25">
      <c r="A610" s="8" t="s">
        <v>8240</v>
      </c>
      <c r="B610" t="s">
        <v>4803</v>
      </c>
      <c r="D610" t="s">
        <v>7995</v>
      </c>
      <c r="E610" t="s">
        <v>4340</v>
      </c>
      <c r="G610" t="s">
        <v>5146</v>
      </c>
      <c r="H610">
        <v>1</v>
      </c>
      <c r="I610" s="5" t="s">
        <v>4312</v>
      </c>
      <c r="J610" t="s">
        <v>6816</v>
      </c>
    </row>
    <row r="611" spans="1:10" x14ac:dyDescent="0.25">
      <c r="A611" s="8" t="s">
        <v>8308</v>
      </c>
      <c r="B611" t="s">
        <v>4804</v>
      </c>
      <c r="D611" t="s">
        <v>7996</v>
      </c>
      <c r="E611" t="s">
        <v>4340</v>
      </c>
      <c r="G611" t="s">
        <v>5166</v>
      </c>
      <c r="H611">
        <v>1</v>
      </c>
      <c r="I611" s="5" t="s">
        <v>4312</v>
      </c>
      <c r="J611" t="s">
        <v>6817</v>
      </c>
    </row>
    <row r="612" spans="1:10" x14ac:dyDescent="0.25">
      <c r="A612" s="8" t="s">
        <v>8640</v>
      </c>
      <c r="B612" t="s">
        <v>4805</v>
      </c>
      <c r="D612" t="s">
        <v>7997</v>
      </c>
      <c r="E612" t="s">
        <v>4340</v>
      </c>
      <c r="H612">
        <v>0</v>
      </c>
      <c r="I612" s="5">
        <v>45838</v>
      </c>
      <c r="J612" t="s">
        <v>6589</v>
      </c>
    </row>
    <row r="613" spans="1:10" x14ac:dyDescent="0.25">
      <c r="A613" s="8" t="s">
        <v>8720</v>
      </c>
      <c r="B613" t="s">
        <v>4806</v>
      </c>
      <c r="D613" t="s">
        <v>4340</v>
      </c>
      <c r="E613" t="s">
        <v>4340</v>
      </c>
      <c r="H613">
        <v>0</v>
      </c>
      <c r="I613" s="5">
        <v>45705</v>
      </c>
      <c r="J613" t="s">
        <v>6590</v>
      </c>
    </row>
    <row r="614" spans="1:10" x14ac:dyDescent="0.25">
      <c r="A614" s="8" t="s">
        <v>8759</v>
      </c>
      <c r="B614" t="s">
        <v>4807</v>
      </c>
      <c r="C614" t="s">
        <v>4340</v>
      </c>
      <c r="D614" t="s">
        <v>8158</v>
      </c>
      <c r="E614" t="s">
        <v>7998</v>
      </c>
      <c r="H614">
        <v>1</v>
      </c>
      <c r="I614" s="5" t="s">
        <v>4312</v>
      </c>
      <c r="J614" t="s">
        <v>6174</v>
      </c>
    </row>
    <row r="615" spans="1:10" x14ac:dyDescent="0.25">
      <c r="A615" s="8" t="s">
        <v>8482</v>
      </c>
      <c r="B615" t="s">
        <v>4808</v>
      </c>
      <c r="D615" t="s">
        <v>7999</v>
      </c>
      <c r="E615" t="s">
        <v>4340</v>
      </c>
      <c r="H615">
        <v>1</v>
      </c>
      <c r="I615" s="5" t="s">
        <v>4312</v>
      </c>
      <c r="J615" t="s">
        <v>6818</v>
      </c>
    </row>
    <row r="616" spans="1:10" x14ac:dyDescent="0.25">
      <c r="A616" s="8" t="s">
        <v>8959</v>
      </c>
      <c r="B616" t="s">
        <v>4809</v>
      </c>
      <c r="D616">
        <v>0</v>
      </c>
      <c r="E616" t="s">
        <v>8000</v>
      </c>
      <c r="H616">
        <v>1</v>
      </c>
      <c r="I616" s="5" t="s">
        <v>4312</v>
      </c>
      <c r="J616" t="s">
        <v>6819</v>
      </c>
    </row>
    <row r="617" spans="1:10" x14ac:dyDescent="0.25">
      <c r="A617" s="8" t="s">
        <v>8535</v>
      </c>
      <c r="B617" t="s">
        <v>4810</v>
      </c>
      <c r="D617" t="s">
        <v>8001</v>
      </c>
      <c r="E617" t="s">
        <v>4340</v>
      </c>
      <c r="H617">
        <v>1</v>
      </c>
      <c r="I617" s="5" t="s">
        <v>4312</v>
      </c>
      <c r="J617" t="s">
        <v>6820</v>
      </c>
    </row>
    <row r="618" spans="1:10" x14ac:dyDescent="0.25">
      <c r="A618" s="8" t="s">
        <v>8988</v>
      </c>
      <c r="B618" t="s">
        <v>4811</v>
      </c>
      <c r="D618" t="s">
        <v>8003</v>
      </c>
      <c r="E618" t="s">
        <v>4340</v>
      </c>
      <c r="G618" t="s">
        <v>5168</v>
      </c>
      <c r="H618">
        <v>1</v>
      </c>
      <c r="I618" s="5" t="s">
        <v>4312</v>
      </c>
      <c r="J618" t="s">
        <v>6821</v>
      </c>
    </row>
    <row r="619" spans="1:10" x14ac:dyDescent="0.25">
      <c r="A619" s="8" t="s">
        <v>8564</v>
      </c>
      <c r="B619" t="s">
        <v>4812</v>
      </c>
      <c r="D619" t="s">
        <v>8004</v>
      </c>
      <c r="E619" t="s">
        <v>4340</v>
      </c>
      <c r="G619" t="s">
        <v>5169</v>
      </c>
      <c r="H619">
        <v>1</v>
      </c>
      <c r="I619" s="5" t="s">
        <v>4312</v>
      </c>
      <c r="J619" t="s">
        <v>6822</v>
      </c>
    </row>
    <row r="620" spans="1:10" x14ac:dyDescent="0.25">
      <c r="A620" s="8" t="s">
        <v>8583</v>
      </c>
      <c r="B620" t="s">
        <v>4813</v>
      </c>
      <c r="D620">
        <v>0</v>
      </c>
      <c r="E620" t="s">
        <v>8005</v>
      </c>
      <c r="H620">
        <v>1</v>
      </c>
      <c r="I620" s="5" t="s">
        <v>4312</v>
      </c>
      <c r="J620" t="s">
        <v>6823</v>
      </c>
    </row>
    <row r="621" spans="1:10" x14ac:dyDescent="0.25">
      <c r="A621" s="8" t="s">
        <v>8533</v>
      </c>
      <c r="B621" t="s">
        <v>4814</v>
      </c>
      <c r="D621">
        <v>0</v>
      </c>
      <c r="E621" t="s">
        <v>8006</v>
      </c>
      <c r="H621">
        <v>0</v>
      </c>
      <c r="I621" s="5">
        <v>45786</v>
      </c>
      <c r="J621" t="s">
        <v>6591</v>
      </c>
    </row>
    <row r="622" spans="1:10" x14ac:dyDescent="0.25">
      <c r="A622" s="8" t="s">
        <v>8224</v>
      </c>
      <c r="B622" t="s">
        <v>4815</v>
      </c>
      <c r="D622">
        <v>0</v>
      </c>
      <c r="E622" t="s">
        <v>8007</v>
      </c>
      <c r="H622">
        <v>1</v>
      </c>
      <c r="I622" s="5" t="s">
        <v>4312</v>
      </c>
      <c r="J622" t="s">
        <v>6824</v>
      </c>
    </row>
    <row r="623" spans="1:10" x14ac:dyDescent="0.25">
      <c r="A623" s="8" t="s">
        <v>8250</v>
      </c>
      <c r="B623" t="s">
        <v>4816</v>
      </c>
      <c r="D623" t="s">
        <v>8008</v>
      </c>
      <c r="E623" t="s">
        <v>4340</v>
      </c>
      <c r="G623" t="s">
        <v>5170</v>
      </c>
      <c r="H623">
        <v>1</v>
      </c>
      <c r="I623" s="5" t="s">
        <v>4312</v>
      </c>
      <c r="J623" t="s">
        <v>6825</v>
      </c>
    </row>
    <row r="624" spans="1:10" x14ac:dyDescent="0.25">
      <c r="A624" s="8" t="s">
        <v>8387</v>
      </c>
      <c r="B624" t="s">
        <v>4817</v>
      </c>
      <c r="D624" t="s">
        <v>8009</v>
      </c>
      <c r="E624" t="s">
        <v>4340</v>
      </c>
      <c r="G624" t="s">
        <v>5171</v>
      </c>
      <c r="H624">
        <v>1</v>
      </c>
      <c r="I624" s="5" t="s">
        <v>4312</v>
      </c>
      <c r="J624" t="s">
        <v>6826</v>
      </c>
    </row>
    <row r="625" spans="1:10" x14ac:dyDescent="0.25">
      <c r="A625" s="8" t="s">
        <v>8666</v>
      </c>
      <c r="B625" t="s">
        <v>4818</v>
      </c>
      <c r="D625" t="s">
        <v>8010</v>
      </c>
      <c r="E625" t="s">
        <v>4340</v>
      </c>
      <c r="G625" t="s">
        <v>5172</v>
      </c>
      <c r="H625">
        <v>1</v>
      </c>
      <c r="I625" s="5" t="s">
        <v>4312</v>
      </c>
      <c r="J625" t="s">
        <v>6827</v>
      </c>
    </row>
    <row r="626" spans="1:10" x14ac:dyDescent="0.25">
      <c r="A626" s="8" t="s">
        <v>8295</v>
      </c>
      <c r="B626" t="s">
        <v>4819</v>
      </c>
      <c r="C626" t="s">
        <v>6074</v>
      </c>
      <c r="D626" t="s">
        <v>8011</v>
      </c>
      <c r="E626" t="s">
        <v>4340</v>
      </c>
      <c r="G626" t="s">
        <v>5173</v>
      </c>
      <c r="H626">
        <v>1</v>
      </c>
      <c r="I626" s="5" t="s">
        <v>4312</v>
      </c>
      <c r="J626" t="s">
        <v>6175</v>
      </c>
    </row>
    <row r="627" spans="1:10" x14ac:dyDescent="0.25">
      <c r="A627" s="8" t="s">
        <v>8566</v>
      </c>
      <c r="B627" t="s">
        <v>4820</v>
      </c>
      <c r="C627" t="s">
        <v>6075</v>
      </c>
      <c r="D627" t="s">
        <v>8012</v>
      </c>
      <c r="E627" t="s">
        <v>4340</v>
      </c>
      <c r="G627" t="s">
        <v>5174</v>
      </c>
      <c r="H627">
        <v>1</v>
      </c>
      <c r="I627" s="5" t="s">
        <v>4312</v>
      </c>
      <c r="J627" t="s">
        <v>6176</v>
      </c>
    </row>
    <row r="628" spans="1:10" x14ac:dyDescent="0.25">
      <c r="A628" s="8" t="s">
        <v>8744</v>
      </c>
      <c r="B628" t="s">
        <v>4821</v>
      </c>
      <c r="D628" t="s">
        <v>8013</v>
      </c>
      <c r="E628" t="s">
        <v>4340</v>
      </c>
      <c r="H628">
        <v>0</v>
      </c>
      <c r="I628" s="5">
        <v>45838</v>
      </c>
      <c r="J628" t="s">
        <v>6592</v>
      </c>
    </row>
    <row r="629" spans="1:10" x14ac:dyDescent="0.25">
      <c r="A629" s="8" t="s">
        <v>8455</v>
      </c>
      <c r="B629" t="s">
        <v>4822</v>
      </c>
      <c r="D629">
        <v>0</v>
      </c>
      <c r="E629" t="s">
        <v>8191</v>
      </c>
      <c r="H629">
        <v>1</v>
      </c>
      <c r="I629" s="5" t="s">
        <v>4312</v>
      </c>
      <c r="J629" t="s">
        <v>6828</v>
      </c>
    </row>
    <row r="630" spans="1:10" x14ac:dyDescent="0.25">
      <c r="A630" s="8" t="s">
        <v>8271</v>
      </c>
      <c r="B630" t="s">
        <v>4823</v>
      </c>
      <c r="D630" t="s">
        <v>8014</v>
      </c>
      <c r="E630" t="s">
        <v>4340</v>
      </c>
      <c r="G630" t="s">
        <v>5175</v>
      </c>
      <c r="H630">
        <v>0</v>
      </c>
      <c r="I630" s="5">
        <v>45961</v>
      </c>
      <c r="J630" t="s">
        <v>6593</v>
      </c>
    </row>
    <row r="631" spans="1:10" x14ac:dyDescent="0.25">
      <c r="A631" s="8" t="s">
        <v>8931</v>
      </c>
      <c r="B631" t="s">
        <v>4824</v>
      </c>
      <c r="D631" t="s">
        <v>8015</v>
      </c>
      <c r="E631" t="s">
        <v>4340</v>
      </c>
      <c r="H631">
        <v>1</v>
      </c>
      <c r="I631" s="5" t="s">
        <v>4312</v>
      </c>
      <c r="J631" t="s">
        <v>6829</v>
      </c>
    </row>
    <row r="632" spans="1:10" x14ac:dyDescent="0.25">
      <c r="A632" s="8" t="s">
        <v>8656</v>
      </c>
      <c r="B632" t="s">
        <v>4825</v>
      </c>
      <c r="D632">
        <v>0</v>
      </c>
      <c r="E632" t="s">
        <v>8016</v>
      </c>
      <c r="H632">
        <v>1</v>
      </c>
      <c r="I632" s="5" t="s">
        <v>4312</v>
      </c>
      <c r="J632" t="s">
        <v>6830</v>
      </c>
    </row>
    <row r="633" spans="1:10" x14ac:dyDescent="0.25">
      <c r="A633" s="8" t="s">
        <v>8843</v>
      </c>
      <c r="B633" t="s">
        <v>4826</v>
      </c>
      <c r="D633">
        <v>0</v>
      </c>
      <c r="E633" t="s">
        <v>8017</v>
      </c>
      <c r="H633">
        <v>0</v>
      </c>
      <c r="I633" s="5">
        <v>45991</v>
      </c>
      <c r="J633" t="s">
        <v>6594</v>
      </c>
    </row>
    <row r="634" spans="1:10" x14ac:dyDescent="0.25">
      <c r="A634" s="8" t="s">
        <v>8439</v>
      </c>
      <c r="B634" t="s">
        <v>4827</v>
      </c>
      <c r="D634" t="s">
        <v>8018</v>
      </c>
      <c r="E634" t="s">
        <v>4340</v>
      </c>
      <c r="H634">
        <v>0</v>
      </c>
      <c r="I634" s="5">
        <v>45838</v>
      </c>
      <c r="J634" t="s">
        <v>6595</v>
      </c>
    </row>
    <row r="635" spans="1:10" x14ac:dyDescent="0.25">
      <c r="A635" s="8" t="s">
        <v>8311</v>
      </c>
      <c r="B635" t="s">
        <v>4828</v>
      </c>
      <c r="D635" t="s">
        <v>8019</v>
      </c>
      <c r="E635" t="s">
        <v>4340</v>
      </c>
      <c r="H635">
        <v>0</v>
      </c>
      <c r="I635" s="5">
        <v>45853</v>
      </c>
      <c r="J635" t="s">
        <v>6596</v>
      </c>
    </row>
    <row r="636" spans="1:10" x14ac:dyDescent="0.25">
      <c r="A636" s="8" t="s">
        <v>8883</v>
      </c>
      <c r="B636" t="s">
        <v>4829</v>
      </c>
      <c r="D636">
        <v>0</v>
      </c>
      <c r="E636" t="s">
        <v>8020</v>
      </c>
      <c r="H636">
        <v>0</v>
      </c>
      <c r="I636" s="5">
        <v>45912</v>
      </c>
      <c r="J636" t="s">
        <v>6597</v>
      </c>
    </row>
    <row r="637" spans="1:10" x14ac:dyDescent="0.25">
      <c r="A637" s="8" t="s">
        <v>8488</v>
      </c>
      <c r="B637" t="s">
        <v>4830</v>
      </c>
      <c r="D637">
        <v>0</v>
      </c>
      <c r="E637" t="s">
        <v>8021</v>
      </c>
      <c r="H637">
        <v>0</v>
      </c>
      <c r="I637" s="5">
        <v>45744</v>
      </c>
      <c r="J637" t="s">
        <v>6598</v>
      </c>
    </row>
    <row r="638" spans="1:10" x14ac:dyDescent="0.25">
      <c r="A638" s="8" t="s">
        <v>8838</v>
      </c>
      <c r="B638" t="s">
        <v>4831</v>
      </c>
      <c r="D638" t="s">
        <v>8022</v>
      </c>
      <c r="E638" t="s">
        <v>4340</v>
      </c>
      <c r="G638" t="s">
        <v>5176</v>
      </c>
      <c r="H638">
        <v>1</v>
      </c>
      <c r="I638" s="5" t="s">
        <v>4312</v>
      </c>
      <c r="J638" t="s">
        <v>6831</v>
      </c>
    </row>
    <row r="639" spans="1:10" x14ac:dyDescent="0.25">
      <c r="A639" s="8" t="s">
        <v>8449</v>
      </c>
      <c r="B639" t="s">
        <v>4832</v>
      </c>
      <c r="D639">
        <v>0</v>
      </c>
      <c r="E639" t="s">
        <v>8023</v>
      </c>
      <c r="H639">
        <v>0</v>
      </c>
      <c r="I639" s="5">
        <v>45972</v>
      </c>
      <c r="J639" t="s">
        <v>6599</v>
      </c>
    </row>
    <row r="640" spans="1:10" x14ac:dyDescent="0.25">
      <c r="A640" s="8" t="s">
        <v>8783</v>
      </c>
      <c r="B640" t="s">
        <v>4833</v>
      </c>
      <c r="D640" t="s">
        <v>8024</v>
      </c>
      <c r="E640" t="s">
        <v>4340</v>
      </c>
      <c r="H640">
        <v>0</v>
      </c>
      <c r="I640" s="5">
        <v>45800</v>
      </c>
      <c r="J640" t="s">
        <v>6600</v>
      </c>
    </row>
    <row r="641" spans="1:10" x14ac:dyDescent="0.25">
      <c r="A641" s="8" t="s">
        <v>8475</v>
      </c>
      <c r="B641" t="s">
        <v>4834</v>
      </c>
      <c r="C641" t="s">
        <v>6076</v>
      </c>
      <c r="D641" t="s">
        <v>8025</v>
      </c>
      <c r="E641" t="s">
        <v>4340</v>
      </c>
      <c r="G641" t="s">
        <v>5177</v>
      </c>
      <c r="H641">
        <v>1</v>
      </c>
      <c r="I641" s="5" t="s">
        <v>4312</v>
      </c>
      <c r="J641" t="s">
        <v>6177</v>
      </c>
    </row>
    <row r="642" spans="1:10" x14ac:dyDescent="0.25">
      <c r="A642" s="8" t="s">
        <v>8757</v>
      </c>
      <c r="B642" t="s">
        <v>4835</v>
      </c>
      <c r="D642" t="s">
        <v>8026</v>
      </c>
      <c r="E642" t="s">
        <v>4340</v>
      </c>
      <c r="H642">
        <v>0</v>
      </c>
      <c r="I642" s="5">
        <v>45839</v>
      </c>
      <c r="J642" t="s">
        <v>6601</v>
      </c>
    </row>
    <row r="643" spans="1:10" x14ac:dyDescent="0.25">
      <c r="A643" s="8" t="s">
        <v>8536</v>
      </c>
      <c r="B643" t="s">
        <v>4836</v>
      </c>
      <c r="D643">
        <v>0</v>
      </c>
      <c r="E643" t="s">
        <v>8027</v>
      </c>
      <c r="H643">
        <v>0</v>
      </c>
      <c r="I643" s="5">
        <v>45900</v>
      </c>
      <c r="J643" t="s">
        <v>6602</v>
      </c>
    </row>
    <row r="644" spans="1:10" x14ac:dyDescent="0.25">
      <c r="A644" s="8" t="s">
        <v>8304</v>
      </c>
      <c r="B644" t="s">
        <v>4837</v>
      </c>
      <c r="D644" t="s">
        <v>8028</v>
      </c>
      <c r="E644" t="s">
        <v>4340</v>
      </c>
      <c r="G644" t="s">
        <v>5178</v>
      </c>
      <c r="H644">
        <v>1</v>
      </c>
      <c r="I644" s="5" t="s">
        <v>4312</v>
      </c>
      <c r="J644" t="s">
        <v>6832</v>
      </c>
    </row>
    <row r="645" spans="1:10" x14ac:dyDescent="0.25">
      <c r="A645" s="8" t="s">
        <v>8440</v>
      </c>
      <c r="B645" t="s">
        <v>4838</v>
      </c>
      <c r="D645" t="s">
        <v>8029</v>
      </c>
      <c r="E645" t="s">
        <v>4340</v>
      </c>
      <c r="H645">
        <v>1</v>
      </c>
      <c r="I645" s="5" t="s">
        <v>4312</v>
      </c>
      <c r="J645" t="s">
        <v>6833</v>
      </c>
    </row>
    <row r="646" spans="1:10" x14ac:dyDescent="0.25">
      <c r="A646" s="8" t="s">
        <v>8743</v>
      </c>
      <c r="B646" t="s">
        <v>4839</v>
      </c>
      <c r="D646" t="s">
        <v>8031</v>
      </c>
      <c r="E646" t="s">
        <v>4340</v>
      </c>
      <c r="G646" t="s">
        <v>5179</v>
      </c>
      <c r="H646">
        <v>0</v>
      </c>
      <c r="I646" s="5">
        <v>45923</v>
      </c>
      <c r="J646" t="s">
        <v>6603</v>
      </c>
    </row>
    <row r="647" spans="1:10" x14ac:dyDescent="0.25">
      <c r="A647" s="8" t="s">
        <v>8875</v>
      </c>
      <c r="B647" t="s">
        <v>4840</v>
      </c>
      <c r="D647">
        <v>0</v>
      </c>
      <c r="E647" t="s">
        <v>8032</v>
      </c>
      <c r="H647">
        <v>1</v>
      </c>
      <c r="I647" s="5" t="s">
        <v>4312</v>
      </c>
      <c r="J647" t="s">
        <v>6834</v>
      </c>
    </row>
    <row r="648" spans="1:10" x14ac:dyDescent="0.25">
      <c r="A648" s="8" t="s">
        <v>8723</v>
      </c>
      <c r="B648" t="s">
        <v>4841</v>
      </c>
      <c r="D648">
        <v>0</v>
      </c>
      <c r="E648" t="s">
        <v>8034</v>
      </c>
      <c r="H648">
        <v>0</v>
      </c>
      <c r="I648" s="5">
        <v>45887</v>
      </c>
      <c r="J648" t="s">
        <v>6604</v>
      </c>
    </row>
    <row r="649" spans="1:10" x14ac:dyDescent="0.25">
      <c r="A649" s="8" t="s">
        <v>8819</v>
      </c>
      <c r="B649" t="s">
        <v>4842</v>
      </c>
      <c r="D649" t="s">
        <v>8035</v>
      </c>
      <c r="E649" t="s">
        <v>4340</v>
      </c>
      <c r="H649">
        <v>0</v>
      </c>
      <c r="I649" s="5">
        <v>45835</v>
      </c>
      <c r="J649" t="s">
        <v>6605</v>
      </c>
    </row>
    <row r="650" spans="1:10" x14ac:dyDescent="0.25">
      <c r="A650" s="8" t="s">
        <v>8765</v>
      </c>
      <c r="B650" t="s">
        <v>4843</v>
      </c>
      <c r="D650" t="s">
        <v>8036</v>
      </c>
      <c r="E650" t="s">
        <v>4340</v>
      </c>
      <c r="H650">
        <v>0</v>
      </c>
      <c r="I650" s="5">
        <v>45754</v>
      </c>
      <c r="J650" t="s">
        <v>6606</v>
      </c>
    </row>
    <row r="651" spans="1:10" x14ac:dyDescent="0.25">
      <c r="A651" s="8" t="s">
        <v>8633</v>
      </c>
      <c r="B651" t="s">
        <v>4844</v>
      </c>
      <c r="D651" t="s">
        <v>8037</v>
      </c>
      <c r="E651" t="s">
        <v>4340</v>
      </c>
      <c r="H651">
        <v>1</v>
      </c>
      <c r="I651" s="5" t="s">
        <v>4312</v>
      </c>
      <c r="J651" t="s">
        <v>6835</v>
      </c>
    </row>
    <row r="652" spans="1:10" x14ac:dyDescent="0.25">
      <c r="A652" s="8" t="s">
        <v>8484</v>
      </c>
      <c r="B652" t="s">
        <v>4845</v>
      </c>
      <c r="D652">
        <v>0</v>
      </c>
      <c r="E652" t="s">
        <v>8038</v>
      </c>
      <c r="H652">
        <v>0</v>
      </c>
      <c r="I652" s="5">
        <v>45873</v>
      </c>
      <c r="J652" t="s">
        <v>6607</v>
      </c>
    </row>
    <row r="653" spans="1:10" x14ac:dyDescent="0.25">
      <c r="A653" s="8" t="s">
        <v>8826</v>
      </c>
      <c r="B653" t="s">
        <v>4846</v>
      </c>
      <c r="D653">
        <v>0</v>
      </c>
      <c r="E653" t="s">
        <v>8039</v>
      </c>
      <c r="H653">
        <v>0</v>
      </c>
      <c r="I653" s="5">
        <v>45793</v>
      </c>
      <c r="J653" t="s">
        <v>6608</v>
      </c>
    </row>
    <row r="654" spans="1:10" x14ac:dyDescent="0.25">
      <c r="A654" s="8" t="s">
        <v>8464</v>
      </c>
      <c r="B654" t="s">
        <v>4847</v>
      </c>
      <c r="D654">
        <v>0</v>
      </c>
      <c r="E654" t="s">
        <v>8040</v>
      </c>
      <c r="H654">
        <v>1</v>
      </c>
      <c r="I654" s="5" t="s">
        <v>4312</v>
      </c>
      <c r="J654" t="s">
        <v>6836</v>
      </c>
    </row>
    <row r="655" spans="1:10" x14ac:dyDescent="0.25">
      <c r="A655" s="8" t="s">
        <v>8748</v>
      </c>
      <c r="B655" t="s">
        <v>4848</v>
      </c>
      <c r="D655">
        <v>0</v>
      </c>
      <c r="E655" t="s">
        <v>8041</v>
      </c>
      <c r="H655">
        <v>1</v>
      </c>
      <c r="I655" s="5" t="s">
        <v>4312</v>
      </c>
      <c r="J655" t="s">
        <v>6837</v>
      </c>
    </row>
    <row r="656" spans="1:10" x14ac:dyDescent="0.25">
      <c r="A656" s="8" t="s">
        <v>8679</v>
      </c>
      <c r="B656" t="s">
        <v>4849</v>
      </c>
      <c r="D656">
        <v>0</v>
      </c>
      <c r="E656" t="s">
        <v>8042</v>
      </c>
      <c r="H656">
        <v>0</v>
      </c>
      <c r="I656" s="5">
        <v>45840</v>
      </c>
      <c r="J656" t="s">
        <v>6609</v>
      </c>
    </row>
    <row r="657" spans="1:10" x14ac:dyDescent="0.25">
      <c r="A657" s="8" t="s">
        <v>8209</v>
      </c>
      <c r="B657" t="s">
        <v>4850</v>
      </c>
      <c r="D657">
        <v>0</v>
      </c>
      <c r="E657" t="s">
        <v>8043</v>
      </c>
      <c r="H657">
        <v>1</v>
      </c>
      <c r="I657" s="5" t="s">
        <v>4312</v>
      </c>
      <c r="J657" t="s">
        <v>6838</v>
      </c>
    </row>
    <row r="658" spans="1:10" x14ac:dyDescent="0.25">
      <c r="A658" s="8" t="s">
        <v>8866</v>
      </c>
      <c r="B658" t="s">
        <v>4851</v>
      </c>
      <c r="D658" t="s">
        <v>8044</v>
      </c>
      <c r="E658" t="s">
        <v>4340</v>
      </c>
      <c r="G658" t="s">
        <v>5180</v>
      </c>
      <c r="H658">
        <v>0</v>
      </c>
      <c r="I658" s="5">
        <v>45855</v>
      </c>
      <c r="J658" t="s">
        <v>6610</v>
      </c>
    </row>
    <row r="659" spans="1:10" x14ac:dyDescent="0.25">
      <c r="A659" s="8" t="s">
        <v>8780</v>
      </c>
      <c r="B659" t="s">
        <v>4852</v>
      </c>
      <c r="D659" t="s">
        <v>8045</v>
      </c>
      <c r="E659" t="s">
        <v>4340</v>
      </c>
      <c r="G659" t="s">
        <v>5181</v>
      </c>
      <c r="H659">
        <v>1</v>
      </c>
      <c r="I659" s="5" t="s">
        <v>4312</v>
      </c>
      <c r="J659" t="s">
        <v>6839</v>
      </c>
    </row>
    <row r="660" spans="1:10" x14ac:dyDescent="0.25">
      <c r="A660" s="8" t="s">
        <v>8644</v>
      </c>
      <c r="B660" t="s">
        <v>4853</v>
      </c>
      <c r="D660" t="s">
        <v>8046</v>
      </c>
      <c r="E660" t="s">
        <v>4340</v>
      </c>
      <c r="H660">
        <v>0</v>
      </c>
      <c r="I660" s="5">
        <v>45848</v>
      </c>
      <c r="J660" t="s">
        <v>6611</v>
      </c>
    </row>
    <row r="661" spans="1:10" x14ac:dyDescent="0.25">
      <c r="A661" s="8" t="s">
        <v>8624</v>
      </c>
      <c r="B661" t="s">
        <v>4854</v>
      </c>
      <c r="C661" t="s">
        <v>4340</v>
      </c>
      <c r="D661" t="s">
        <v>8047</v>
      </c>
      <c r="E661" t="s">
        <v>4340</v>
      </c>
      <c r="H661">
        <v>1</v>
      </c>
      <c r="I661" s="5" t="s">
        <v>4312</v>
      </c>
      <c r="J661" t="s">
        <v>6178</v>
      </c>
    </row>
    <row r="662" spans="1:10" x14ac:dyDescent="0.25">
      <c r="A662" s="8" t="s">
        <v>8727</v>
      </c>
      <c r="B662" t="s">
        <v>4855</v>
      </c>
      <c r="C662" t="s">
        <v>4340</v>
      </c>
      <c r="D662" t="s">
        <v>8048</v>
      </c>
      <c r="E662" t="s">
        <v>4340</v>
      </c>
      <c r="G662" t="s">
        <v>5182</v>
      </c>
      <c r="H662">
        <v>1</v>
      </c>
      <c r="I662" s="5" t="s">
        <v>4312</v>
      </c>
      <c r="J662" t="s">
        <v>6179</v>
      </c>
    </row>
    <row r="663" spans="1:10" x14ac:dyDescent="0.25">
      <c r="A663" s="8" t="s">
        <v>8616</v>
      </c>
      <c r="B663" t="s">
        <v>4856</v>
      </c>
      <c r="C663" t="s">
        <v>4340</v>
      </c>
      <c r="D663" t="s">
        <v>8049</v>
      </c>
      <c r="E663" t="s">
        <v>4340</v>
      </c>
      <c r="H663">
        <v>1</v>
      </c>
      <c r="I663" s="5" t="s">
        <v>4312</v>
      </c>
      <c r="J663" t="s">
        <v>6180</v>
      </c>
    </row>
    <row r="664" spans="1:10" x14ac:dyDescent="0.25">
      <c r="A664" s="8" t="s">
        <v>8281</v>
      </c>
      <c r="B664" t="s">
        <v>4857</v>
      </c>
      <c r="D664">
        <v>0</v>
      </c>
      <c r="E664" t="s">
        <v>8050</v>
      </c>
      <c r="H664">
        <v>1</v>
      </c>
      <c r="I664" s="5" t="s">
        <v>4312</v>
      </c>
      <c r="J664" t="s">
        <v>6840</v>
      </c>
    </row>
    <row r="665" spans="1:10" x14ac:dyDescent="0.25">
      <c r="A665" s="8" t="s">
        <v>8851</v>
      </c>
      <c r="B665" t="s">
        <v>4858</v>
      </c>
      <c r="D665">
        <v>0</v>
      </c>
      <c r="E665" t="s">
        <v>8052</v>
      </c>
      <c r="H665">
        <v>0</v>
      </c>
      <c r="I665" s="5">
        <v>45786</v>
      </c>
      <c r="J665" t="s">
        <v>6612</v>
      </c>
    </row>
    <row r="666" spans="1:10" x14ac:dyDescent="0.25">
      <c r="A666" s="8" t="s">
        <v>8204</v>
      </c>
      <c r="B666" t="s">
        <v>4859</v>
      </c>
      <c r="D666" t="s">
        <v>8053</v>
      </c>
      <c r="E666" t="s">
        <v>4340</v>
      </c>
      <c r="H666">
        <v>0</v>
      </c>
      <c r="I666" s="5">
        <v>45900</v>
      </c>
      <c r="J666" t="s">
        <v>6613</v>
      </c>
    </row>
    <row r="667" spans="1:10" x14ac:dyDescent="0.25">
      <c r="A667" s="8" t="s">
        <v>8673</v>
      </c>
      <c r="B667" t="s">
        <v>4860</v>
      </c>
      <c r="D667">
        <v>0</v>
      </c>
      <c r="E667" t="s">
        <v>8054</v>
      </c>
      <c r="H667">
        <v>1</v>
      </c>
      <c r="I667" s="5" t="s">
        <v>4312</v>
      </c>
      <c r="J667" t="s">
        <v>6841</v>
      </c>
    </row>
    <row r="668" spans="1:10" x14ac:dyDescent="0.25">
      <c r="A668" s="8" t="s">
        <v>8857</v>
      </c>
      <c r="B668" t="s">
        <v>4861</v>
      </c>
      <c r="D668">
        <v>0</v>
      </c>
      <c r="E668" t="s">
        <v>8055</v>
      </c>
      <c r="H668">
        <v>1</v>
      </c>
      <c r="I668" s="5" t="s">
        <v>4312</v>
      </c>
      <c r="J668" t="s">
        <v>6842</v>
      </c>
    </row>
    <row r="669" spans="1:10" x14ac:dyDescent="0.25">
      <c r="A669" s="8" t="s">
        <v>8234</v>
      </c>
      <c r="B669" t="s">
        <v>4862</v>
      </c>
      <c r="D669">
        <v>0</v>
      </c>
      <c r="E669" t="s">
        <v>8056</v>
      </c>
      <c r="H669">
        <v>0</v>
      </c>
      <c r="I669" s="5">
        <v>45900</v>
      </c>
      <c r="J669" t="s">
        <v>6614</v>
      </c>
    </row>
    <row r="670" spans="1:10" x14ac:dyDescent="0.25">
      <c r="A670" s="8" t="s">
        <v>8820</v>
      </c>
      <c r="B670" t="s">
        <v>4863</v>
      </c>
      <c r="D670">
        <v>0</v>
      </c>
      <c r="E670" t="s">
        <v>8057</v>
      </c>
      <c r="H670">
        <v>0</v>
      </c>
      <c r="I670" s="5">
        <v>45981</v>
      </c>
      <c r="J670" t="s">
        <v>6615</v>
      </c>
    </row>
    <row r="671" spans="1:10" x14ac:dyDescent="0.25">
      <c r="A671" s="8" t="s">
        <v>8915</v>
      </c>
      <c r="B671" t="s">
        <v>4864</v>
      </c>
      <c r="D671">
        <v>0</v>
      </c>
      <c r="E671" t="s">
        <v>8058</v>
      </c>
      <c r="H671">
        <v>0</v>
      </c>
      <c r="I671" s="5">
        <v>45869</v>
      </c>
      <c r="J671" t="s">
        <v>6616</v>
      </c>
    </row>
    <row r="672" spans="1:10" x14ac:dyDescent="0.25">
      <c r="A672" s="8" t="s">
        <v>8980</v>
      </c>
      <c r="B672" t="s">
        <v>4865</v>
      </c>
      <c r="D672">
        <v>0</v>
      </c>
      <c r="E672" t="s">
        <v>8059</v>
      </c>
      <c r="H672">
        <v>0</v>
      </c>
      <c r="I672" s="5">
        <v>45808</v>
      </c>
      <c r="J672" t="s">
        <v>6617</v>
      </c>
    </row>
    <row r="673" spans="1:10" x14ac:dyDescent="0.25">
      <c r="A673" s="8" t="s">
        <v>8741</v>
      </c>
      <c r="B673" t="s">
        <v>4866</v>
      </c>
      <c r="D673">
        <v>0</v>
      </c>
      <c r="E673" t="s">
        <v>8060</v>
      </c>
      <c r="H673">
        <v>0</v>
      </c>
      <c r="I673" s="5">
        <v>45912</v>
      </c>
      <c r="J673" t="s">
        <v>6618</v>
      </c>
    </row>
    <row r="674" spans="1:10" x14ac:dyDescent="0.25">
      <c r="A674" s="8" t="s">
        <v>8901</v>
      </c>
      <c r="B674" t="s">
        <v>4867</v>
      </c>
      <c r="C674" t="s">
        <v>4340</v>
      </c>
      <c r="D674" t="s">
        <v>8061</v>
      </c>
      <c r="E674" t="s">
        <v>4340</v>
      </c>
      <c r="H674">
        <v>1</v>
      </c>
      <c r="I674" s="5" t="s">
        <v>4312</v>
      </c>
      <c r="J674" t="s">
        <v>6181</v>
      </c>
    </row>
    <row r="675" spans="1:10" x14ac:dyDescent="0.25">
      <c r="A675" s="8" t="s">
        <v>8505</v>
      </c>
      <c r="B675" t="s">
        <v>4868</v>
      </c>
      <c r="D675">
        <v>0</v>
      </c>
      <c r="E675" t="s">
        <v>8062</v>
      </c>
      <c r="H675">
        <v>0</v>
      </c>
      <c r="I675" s="5">
        <v>45853</v>
      </c>
      <c r="J675" t="s">
        <v>6619</v>
      </c>
    </row>
    <row r="676" spans="1:10" x14ac:dyDescent="0.25">
      <c r="A676" s="8" t="s">
        <v>8534</v>
      </c>
      <c r="B676" t="s">
        <v>4869</v>
      </c>
      <c r="D676" t="s">
        <v>8063</v>
      </c>
      <c r="E676" t="s">
        <v>4340</v>
      </c>
      <c r="H676">
        <v>0</v>
      </c>
      <c r="I676" s="5">
        <v>45941</v>
      </c>
      <c r="J676" t="s">
        <v>6620</v>
      </c>
    </row>
    <row r="677" spans="1:10" x14ac:dyDescent="0.25">
      <c r="A677" s="8" t="s">
        <v>8955</v>
      </c>
      <c r="B677" t="s">
        <v>4870</v>
      </c>
      <c r="D677">
        <v>0</v>
      </c>
      <c r="E677" t="s">
        <v>8064</v>
      </c>
      <c r="H677">
        <v>1</v>
      </c>
      <c r="I677" s="5" t="s">
        <v>4312</v>
      </c>
      <c r="J677" t="s">
        <v>6843</v>
      </c>
    </row>
    <row r="678" spans="1:10" x14ac:dyDescent="0.25">
      <c r="A678" s="8" t="s">
        <v>8302</v>
      </c>
      <c r="B678" t="s">
        <v>4871</v>
      </c>
      <c r="D678" t="s">
        <v>8094</v>
      </c>
      <c r="E678" t="s">
        <v>8065</v>
      </c>
      <c r="H678">
        <v>1</v>
      </c>
      <c r="I678" s="5" t="s">
        <v>4312</v>
      </c>
      <c r="J678" t="s">
        <v>6844</v>
      </c>
    </row>
    <row r="679" spans="1:10" x14ac:dyDescent="0.25">
      <c r="A679" s="8" t="s">
        <v>8953</v>
      </c>
      <c r="B679" t="s">
        <v>4872</v>
      </c>
      <c r="D679">
        <v>0</v>
      </c>
      <c r="E679" t="s">
        <v>8066</v>
      </c>
      <c r="H679">
        <v>1</v>
      </c>
      <c r="I679" s="5" t="s">
        <v>4312</v>
      </c>
      <c r="J679" t="s">
        <v>6845</v>
      </c>
    </row>
    <row r="680" spans="1:10" x14ac:dyDescent="0.25">
      <c r="A680" s="8" t="s">
        <v>8905</v>
      </c>
      <c r="D680" t="s">
        <v>4340</v>
      </c>
      <c r="E680" t="s">
        <v>4340</v>
      </c>
      <c r="H680">
        <v>0</v>
      </c>
      <c r="I680" s="5">
        <v>44804</v>
      </c>
      <c r="J680" t="s">
        <v>6621</v>
      </c>
    </row>
    <row r="681" spans="1:10" x14ac:dyDescent="0.25">
      <c r="A681" s="8" t="s">
        <v>8960</v>
      </c>
      <c r="B681" t="s">
        <v>4500</v>
      </c>
      <c r="D681" t="s">
        <v>7859</v>
      </c>
      <c r="E681" t="s">
        <v>4340</v>
      </c>
      <c r="H681">
        <v>0</v>
      </c>
      <c r="I681" s="5">
        <v>44926</v>
      </c>
      <c r="J681" t="s">
        <v>6622</v>
      </c>
    </row>
    <row r="682" spans="1:10" x14ac:dyDescent="0.25">
      <c r="A682" s="8" t="s">
        <v>8669</v>
      </c>
      <c r="B682" t="s">
        <v>4873</v>
      </c>
      <c r="D682" t="s">
        <v>8082</v>
      </c>
      <c r="E682" t="s">
        <v>4340</v>
      </c>
      <c r="G682" t="s">
        <v>5186</v>
      </c>
      <c r="H682">
        <v>1</v>
      </c>
      <c r="I682" s="5" t="s">
        <v>4312</v>
      </c>
      <c r="J682" t="s">
        <v>6846</v>
      </c>
    </row>
    <row r="683" spans="1:10" x14ac:dyDescent="0.25">
      <c r="A683" s="8" t="s">
        <v>8565</v>
      </c>
      <c r="B683" t="s">
        <v>4874</v>
      </c>
      <c r="D683" t="s">
        <v>8083</v>
      </c>
      <c r="E683" t="s">
        <v>4340</v>
      </c>
      <c r="H683">
        <v>0</v>
      </c>
      <c r="I683" s="5">
        <v>45900</v>
      </c>
      <c r="J683" t="s">
        <v>6623</v>
      </c>
    </row>
    <row r="684" spans="1:10" x14ac:dyDescent="0.25">
      <c r="A684" s="8" t="s">
        <v>8726</v>
      </c>
      <c r="B684" t="s">
        <v>4875</v>
      </c>
      <c r="D684">
        <v>0</v>
      </c>
      <c r="E684" t="s">
        <v>8084</v>
      </c>
      <c r="H684">
        <v>0</v>
      </c>
      <c r="I684" s="5">
        <v>45991</v>
      </c>
      <c r="J684" t="s">
        <v>6624</v>
      </c>
    </row>
    <row r="685" spans="1:10" x14ac:dyDescent="0.25">
      <c r="A685" s="8" t="s">
        <v>8339</v>
      </c>
      <c r="B685" t="s">
        <v>4876</v>
      </c>
      <c r="D685">
        <v>0</v>
      </c>
      <c r="E685" t="s">
        <v>8085</v>
      </c>
      <c r="H685">
        <v>0</v>
      </c>
      <c r="I685" s="5">
        <v>45853</v>
      </c>
      <c r="J685" t="s">
        <v>6625</v>
      </c>
    </row>
    <row r="686" spans="1:10" x14ac:dyDescent="0.25">
      <c r="A686" s="8" t="s">
        <v>8950</v>
      </c>
      <c r="B686" t="s">
        <v>4877</v>
      </c>
      <c r="D686">
        <v>0</v>
      </c>
      <c r="E686" t="s">
        <v>8192</v>
      </c>
      <c r="H686">
        <v>0</v>
      </c>
      <c r="I686" s="5">
        <v>45861</v>
      </c>
      <c r="J686" t="s">
        <v>6626</v>
      </c>
    </row>
    <row r="687" spans="1:10" x14ac:dyDescent="0.25">
      <c r="A687" s="8" t="s">
        <v>8416</v>
      </c>
      <c r="B687" t="s">
        <v>4878</v>
      </c>
      <c r="D687" t="s">
        <v>8086</v>
      </c>
      <c r="E687" t="s">
        <v>4340</v>
      </c>
      <c r="G687" t="s">
        <v>5187</v>
      </c>
      <c r="H687">
        <v>1</v>
      </c>
      <c r="I687" s="5" t="s">
        <v>4312</v>
      </c>
      <c r="J687" t="s">
        <v>6847</v>
      </c>
    </row>
    <row r="688" spans="1:10" x14ac:dyDescent="0.25">
      <c r="A688" s="8" t="s">
        <v>8734</v>
      </c>
      <c r="B688" t="s">
        <v>4879</v>
      </c>
      <c r="D688">
        <v>0</v>
      </c>
      <c r="E688" t="s">
        <v>8193</v>
      </c>
      <c r="H688">
        <v>1</v>
      </c>
      <c r="I688" s="5" t="s">
        <v>4312</v>
      </c>
      <c r="J688" t="s">
        <v>6848</v>
      </c>
    </row>
    <row r="689" spans="1:10" x14ac:dyDescent="0.25">
      <c r="A689" s="8" t="s">
        <v>8605</v>
      </c>
      <c r="B689" t="s">
        <v>4880</v>
      </c>
      <c r="D689" t="s">
        <v>8087</v>
      </c>
      <c r="E689" t="s">
        <v>4340</v>
      </c>
      <c r="H689">
        <v>1</v>
      </c>
      <c r="I689" s="5" t="s">
        <v>4312</v>
      </c>
      <c r="J689" t="s">
        <v>6849</v>
      </c>
    </row>
    <row r="690" spans="1:10" x14ac:dyDescent="0.25">
      <c r="A690" s="8" t="s">
        <v>8885</v>
      </c>
      <c r="B690" t="s">
        <v>4881</v>
      </c>
      <c r="D690">
        <v>0</v>
      </c>
      <c r="E690" t="s">
        <v>8194</v>
      </c>
      <c r="H690">
        <v>1</v>
      </c>
      <c r="I690" s="5" t="s">
        <v>4312</v>
      </c>
      <c r="J690" t="s">
        <v>6850</v>
      </c>
    </row>
    <row r="691" spans="1:10" x14ac:dyDescent="0.25">
      <c r="A691" s="8" t="s">
        <v>8873</v>
      </c>
      <c r="B691" t="s">
        <v>4882</v>
      </c>
      <c r="D691" t="s">
        <v>8195</v>
      </c>
      <c r="E691" t="s">
        <v>4340</v>
      </c>
      <c r="H691">
        <v>0</v>
      </c>
      <c r="I691" s="5">
        <v>45915</v>
      </c>
      <c r="J691" t="s">
        <v>6627</v>
      </c>
    </row>
    <row r="692" spans="1:10" x14ac:dyDescent="0.25">
      <c r="A692" s="8" t="s">
        <v>8927</v>
      </c>
      <c r="B692" t="s">
        <v>4883</v>
      </c>
      <c r="D692" t="s">
        <v>8196</v>
      </c>
      <c r="E692" t="s">
        <v>4340</v>
      </c>
      <c r="G692" t="s">
        <v>5188</v>
      </c>
      <c r="H692">
        <v>0</v>
      </c>
      <c r="I692" s="5">
        <v>45884</v>
      </c>
      <c r="J692" t="s">
        <v>6628</v>
      </c>
    </row>
    <row r="693" spans="1:10" x14ac:dyDescent="0.25">
      <c r="A693" s="8" t="s">
        <v>8835</v>
      </c>
      <c r="B693" t="s">
        <v>4884</v>
      </c>
      <c r="D693">
        <v>0</v>
      </c>
      <c r="E693" t="s">
        <v>8197</v>
      </c>
      <c r="H693">
        <v>1</v>
      </c>
      <c r="I693" s="5" t="s">
        <v>4312</v>
      </c>
      <c r="J693" t="s">
        <v>6851</v>
      </c>
    </row>
    <row r="694" spans="1:10" x14ac:dyDescent="0.25">
      <c r="A694" s="8" t="s">
        <v>8982</v>
      </c>
      <c r="B694" t="s">
        <v>4885</v>
      </c>
      <c r="D694" t="s">
        <v>8088</v>
      </c>
      <c r="E694" t="s">
        <v>4340</v>
      </c>
      <c r="G694" t="s">
        <v>5189</v>
      </c>
      <c r="H694">
        <v>1</v>
      </c>
      <c r="I694" s="5" t="s">
        <v>4312</v>
      </c>
      <c r="J694" t="s">
        <v>6852</v>
      </c>
    </row>
    <row r="695" spans="1:10" x14ac:dyDescent="0.25">
      <c r="A695" s="8" t="s">
        <v>8766</v>
      </c>
      <c r="B695" t="s">
        <v>4886</v>
      </c>
      <c r="D695" t="s">
        <v>8089</v>
      </c>
      <c r="E695" t="s">
        <v>4340</v>
      </c>
      <c r="H695">
        <v>1</v>
      </c>
      <c r="I695" s="5" t="s">
        <v>4312</v>
      </c>
      <c r="J695" t="s">
        <v>6853</v>
      </c>
    </row>
    <row r="696" spans="1:10" x14ac:dyDescent="0.25">
      <c r="A696" s="8" t="s">
        <v>8545</v>
      </c>
      <c r="B696" t="s">
        <v>4887</v>
      </c>
      <c r="D696">
        <v>0</v>
      </c>
      <c r="E696" t="s">
        <v>8090</v>
      </c>
      <c r="H696">
        <v>0</v>
      </c>
      <c r="I696" s="5">
        <v>45838</v>
      </c>
      <c r="J696" t="s">
        <v>6629</v>
      </c>
    </row>
    <row r="697" spans="1:10" x14ac:dyDescent="0.25">
      <c r="A697" s="8" t="s">
        <v>8705</v>
      </c>
      <c r="B697" t="s">
        <v>4888</v>
      </c>
      <c r="D697">
        <v>0</v>
      </c>
      <c r="E697" t="s">
        <v>8198</v>
      </c>
      <c r="H697">
        <v>1</v>
      </c>
      <c r="I697" s="5" t="s">
        <v>4312</v>
      </c>
      <c r="J697" t="s">
        <v>6854</v>
      </c>
    </row>
    <row r="698" spans="1:10" x14ac:dyDescent="0.25">
      <c r="A698" s="8" t="s">
        <v>8451</v>
      </c>
      <c r="B698" t="s">
        <v>4889</v>
      </c>
      <c r="C698" t="s">
        <v>4340</v>
      </c>
      <c r="D698" t="s">
        <v>8091</v>
      </c>
      <c r="E698" t="s">
        <v>4340</v>
      </c>
      <c r="H698">
        <v>1</v>
      </c>
      <c r="I698" s="5" t="s">
        <v>4312</v>
      </c>
      <c r="J698" t="s">
        <v>6182</v>
      </c>
    </row>
    <row r="699" spans="1:10" x14ac:dyDescent="0.25">
      <c r="A699" s="8" t="s">
        <v>8941</v>
      </c>
      <c r="B699" t="s">
        <v>4890</v>
      </c>
      <c r="C699" t="s">
        <v>4340</v>
      </c>
      <c r="D699" t="s">
        <v>8093</v>
      </c>
      <c r="E699" t="s">
        <v>4340</v>
      </c>
      <c r="H699">
        <v>1</v>
      </c>
      <c r="I699" s="5" t="s">
        <v>4312</v>
      </c>
      <c r="J699" t="s">
        <v>6183</v>
      </c>
    </row>
    <row r="700" spans="1:10" x14ac:dyDescent="0.25">
      <c r="A700" s="8" t="s">
        <v>8585</v>
      </c>
      <c r="B700" t="s">
        <v>4891</v>
      </c>
      <c r="C700" t="s">
        <v>4340</v>
      </c>
      <c r="D700">
        <v>0</v>
      </c>
      <c r="E700" t="s">
        <v>8095</v>
      </c>
      <c r="H700">
        <v>1</v>
      </c>
      <c r="I700" s="5" t="s">
        <v>4312</v>
      </c>
      <c r="J700" t="s">
        <v>6184</v>
      </c>
    </row>
    <row r="701" spans="1:10" x14ac:dyDescent="0.25">
      <c r="A701" s="8" t="s">
        <v>8830</v>
      </c>
      <c r="B701" t="s">
        <v>4892</v>
      </c>
      <c r="C701" t="s">
        <v>4340</v>
      </c>
      <c r="D701" t="s">
        <v>8096</v>
      </c>
      <c r="E701" t="s">
        <v>4340</v>
      </c>
      <c r="G701" t="s">
        <v>5086</v>
      </c>
      <c r="H701">
        <v>1</v>
      </c>
      <c r="I701" s="5" t="s">
        <v>4312</v>
      </c>
      <c r="J701" t="s">
        <v>6185</v>
      </c>
    </row>
    <row r="702" spans="1:10" x14ac:dyDescent="0.25">
      <c r="A702" s="8" t="s">
        <v>8872</v>
      </c>
      <c r="B702" t="s">
        <v>4893</v>
      </c>
      <c r="D702" t="s">
        <v>8097</v>
      </c>
      <c r="E702" t="s">
        <v>4340</v>
      </c>
      <c r="G702" t="s">
        <v>5190</v>
      </c>
      <c r="H702">
        <v>0</v>
      </c>
      <c r="I702" s="5">
        <v>45961</v>
      </c>
      <c r="J702" t="s">
        <v>6630</v>
      </c>
    </row>
    <row r="703" spans="1:10" x14ac:dyDescent="0.25">
      <c r="A703" s="8" t="s">
        <v>8221</v>
      </c>
      <c r="B703" t="s">
        <v>4894</v>
      </c>
      <c r="C703" t="s">
        <v>6077</v>
      </c>
      <c r="D703" t="s">
        <v>8098</v>
      </c>
      <c r="E703" t="s">
        <v>4340</v>
      </c>
      <c r="G703" t="s">
        <v>5191</v>
      </c>
      <c r="H703">
        <v>1</v>
      </c>
      <c r="I703" s="5" t="s">
        <v>4312</v>
      </c>
      <c r="J703" t="s">
        <v>6186</v>
      </c>
    </row>
    <row r="704" spans="1:10" x14ac:dyDescent="0.25">
      <c r="A704" s="8" t="s">
        <v>8956</v>
      </c>
      <c r="B704" t="s">
        <v>4895</v>
      </c>
      <c r="C704" t="s">
        <v>4340</v>
      </c>
      <c r="D704" t="s">
        <v>8099</v>
      </c>
      <c r="E704" t="s">
        <v>4340</v>
      </c>
      <c r="G704" t="s">
        <v>5192</v>
      </c>
      <c r="H704">
        <v>1</v>
      </c>
      <c r="I704" s="5" t="s">
        <v>4312</v>
      </c>
      <c r="J704" t="s">
        <v>6187</v>
      </c>
    </row>
    <row r="705" spans="1:10" x14ac:dyDescent="0.25">
      <c r="A705" s="8" t="s">
        <v>8345</v>
      </c>
      <c r="B705" t="s">
        <v>4896</v>
      </c>
      <c r="C705" t="s">
        <v>4340</v>
      </c>
      <c r="D705" t="s">
        <v>8100</v>
      </c>
      <c r="E705" t="s">
        <v>4340</v>
      </c>
      <c r="H705">
        <v>1</v>
      </c>
      <c r="I705" s="5" t="s">
        <v>4312</v>
      </c>
      <c r="J705" t="s">
        <v>6188</v>
      </c>
    </row>
    <row r="706" spans="1:10" x14ac:dyDescent="0.25">
      <c r="A706" s="8" t="s">
        <v>8215</v>
      </c>
      <c r="B706" t="s">
        <v>4897</v>
      </c>
      <c r="C706" t="s">
        <v>6078</v>
      </c>
      <c r="D706" t="s">
        <v>8101</v>
      </c>
      <c r="E706" t="s">
        <v>4340</v>
      </c>
      <c r="G706" t="s">
        <v>5193</v>
      </c>
      <c r="H706">
        <v>1</v>
      </c>
      <c r="I706" s="5" t="s">
        <v>4312</v>
      </c>
      <c r="J706" t="s">
        <v>6189</v>
      </c>
    </row>
    <row r="707" spans="1:10" x14ac:dyDescent="0.25">
      <c r="A707" s="8" t="s">
        <v>8557</v>
      </c>
      <c r="B707" t="s">
        <v>4898</v>
      </c>
      <c r="D707" t="s">
        <v>8102</v>
      </c>
      <c r="E707" t="s">
        <v>4340</v>
      </c>
      <c r="G707" t="s">
        <v>5194</v>
      </c>
      <c r="H707">
        <v>1</v>
      </c>
      <c r="I707" s="5" t="s">
        <v>4312</v>
      </c>
      <c r="J707" t="s">
        <v>6855</v>
      </c>
    </row>
    <row r="708" spans="1:10" x14ac:dyDescent="0.25">
      <c r="A708" s="8" t="s">
        <v>8268</v>
      </c>
      <c r="B708" t="s">
        <v>4899</v>
      </c>
      <c r="C708" t="s">
        <v>4340</v>
      </c>
      <c r="D708" t="s">
        <v>8103</v>
      </c>
      <c r="E708" t="s">
        <v>4340</v>
      </c>
      <c r="G708" t="s">
        <v>5195</v>
      </c>
      <c r="H708">
        <v>1</v>
      </c>
      <c r="I708" s="5" t="s">
        <v>4312</v>
      </c>
      <c r="J708" t="s">
        <v>6190</v>
      </c>
    </row>
    <row r="709" spans="1:10" x14ac:dyDescent="0.25">
      <c r="A709" s="8" t="s">
        <v>8365</v>
      </c>
      <c r="B709" t="s">
        <v>4900</v>
      </c>
      <c r="D709">
        <v>0</v>
      </c>
      <c r="E709" t="s">
        <v>8104</v>
      </c>
      <c r="H709">
        <v>1</v>
      </c>
      <c r="I709" s="5" t="s">
        <v>4312</v>
      </c>
      <c r="J709" t="s">
        <v>6856</v>
      </c>
    </row>
    <row r="710" spans="1:10" x14ac:dyDescent="0.25">
      <c r="A710" s="8" t="s">
        <v>8850</v>
      </c>
      <c r="B710" t="s">
        <v>4901</v>
      </c>
      <c r="C710" t="s">
        <v>4340</v>
      </c>
      <c r="D710">
        <v>0</v>
      </c>
      <c r="E710" t="s">
        <v>8105</v>
      </c>
      <c r="H710">
        <v>1</v>
      </c>
      <c r="I710" s="5" t="s">
        <v>4312</v>
      </c>
      <c r="J710" t="s">
        <v>6191</v>
      </c>
    </row>
    <row r="711" spans="1:10" x14ac:dyDescent="0.25">
      <c r="A711" s="8" t="s">
        <v>8587</v>
      </c>
      <c r="B711" t="s">
        <v>4902</v>
      </c>
      <c r="C711" t="s">
        <v>4340</v>
      </c>
      <c r="D711">
        <v>0</v>
      </c>
      <c r="E711" t="s">
        <v>8106</v>
      </c>
      <c r="H711">
        <v>1</v>
      </c>
      <c r="I711" s="5" t="s">
        <v>4312</v>
      </c>
      <c r="J711" t="s">
        <v>6192</v>
      </c>
    </row>
    <row r="712" spans="1:10" x14ac:dyDescent="0.25">
      <c r="A712" s="8" t="s">
        <v>8693</v>
      </c>
      <c r="B712" t="s">
        <v>4903</v>
      </c>
      <c r="C712" t="s">
        <v>4340</v>
      </c>
      <c r="D712">
        <v>0</v>
      </c>
      <c r="E712" t="s">
        <v>8107</v>
      </c>
      <c r="H712">
        <v>1</v>
      </c>
      <c r="I712" s="5" t="s">
        <v>4312</v>
      </c>
      <c r="J712" t="s">
        <v>6193</v>
      </c>
    </row>
    <row r="713" spans="1:10" x14ac:dyDescent="0.25">
      <c r="A713" s="8" t="s">
        <v>8547</v>
      </c>
      <c r="B713" t="s">
        <v>4904</v>
      </c>
      <c r="C713" t="s">
        <v>4340</v>
      </c>
      <c r="D713">
        <v>0</v>
      </c>
      <c r="E713" t="s">
        <v>8108</v>
      </c>
      <c r="H713">
        <v>0</v>
      </c>
      <c r="I713" s="5">
        <v>45991</v>
      </c>
      <c r="J713" t="s">
        <v>6119</v>
      </c>
    </row>
    <row r="714" spans="1:10" x14ac:dyDescent="0.25">
      <c r="A714" s="8" t="s">
        <v>8781</v>
      </c>
      <c r="B714" t="s">
        <v>4905</v>
      </c>
      <c r="C714" t="s">
        <v>4340</v>
      </c>
      <c r="D714">
        <v>0</v>
      </c>
      <c r="E714" t="s">
        <v>8109</v>
      </c>
      <c r="H714">
        <v>0</v>
      </c>
      <c r="I714" s="5">
        <v>45983</v>
      </c>
      <c r="J714" t="s">
        <v>6120</v>
      </c>
    </row>
    <row r="715" spans="1:10" x14ac:dyDescent="0.25">
      <c r="A715" s="8" t="s">
        <v>8811</v>
      </c>
      <c r="B715" t="s">
        <v>4906</v>
      </c>
      <c r="C715" t="s">
        <v>4340</v>
      </c>
      <c r="D715" t="s">
        <v>8110</v>
      </c>
      <c r="E715" t="s">
        <v>4340</v>
      </c>
      <c r="H715">
        <v>1</v>
      </c>
      <c r="I715" s="5" t="s">
        <v>4312</v>
      </c>
      <c r="J715" t="s">
        <v>6194</v>
      </c>
    </row>
    <row r="716" spans="1:10" x14ac:dyDescent="0.25">
      <c r="A716" s="8" t="s">
        <v>8277</v>
      </c>
      <c r="B716" t="s">
        <v>4907</v>
      </c>
      <c r="D716" t="s">
        <v>8112</v>
      </c>
      <c r="E716" t="s">
        <v>4340</v>
      </c>
      <c r="G716" t="s">
        <v>5196</v>
      </c>
      <c r="H716">
        <v>1</v>
      </c>
      <c r="I716" s="5" t="s">
        <v>4312</v>
      </c>
      <c r="J716" t="s">
        <v>6857</v>
      </c>
    </row>
    <row r="717" spans="1:10" x14ac:dyDescent="0.25">
      <c r="A717" s="8" t="s">
        <v>8762</v>
      </c>
      <c r="B717" t="s">
        <v>4908</v>
      </c>
      <c r="C717" t="s">
        <v>4340</v>
      </c>
      <c r="D717" t="s">
        <v>8113</v>
      </c>
      <c r="E717" t="s">
        <v>4340</v>
      </c>
      <c r="H717">
        <v>0</v>
      </c>
      <c r="I717" s="5">
        <v>45982</v>
      </c>
      <c r="J717" t="s">
        <v>6121</v>
      </c>
    </row>
    <row r="718" spans="1:10" x14ac:dyDescent="0.25">
      <c r="A718" s="8" t="s">
        <v>8739</v>
      </c>
      <c r="B718" t="s">
        <v>4909</v>
      </c>
      <c r="C718" t="s">
        <v>4340</v>
      </c>
      <c r="D718">
        <v>0</v>
      </c>
      <c r="E718" t="s">
        <v>8114</v>
      </c>
      <c r="H718">
        <v>1</v>
      </c>
      <c r="I718" s="5" t="s">
        <v>4312</v>
      </c>
      <c r="J718" t="s">
        <v>6195</v>
      </c>
    </row>
    <row r="719" spans="1:10" x14ac:dyDescent="0.25">
      <c r="A719" s="8" t="s">
        <v>8989</v>
      </c>
      <c r="B719" t="s">
        <v>4910</v>
      </c>
      <c r="C719" t="s">
        <v>4340</v>
      </c>
      <c r="D719" t="s">
        <v>8115</v>
      </c>
      <c r="E719" t="s">
        <v>4340</v>
      </c>
      <c r="H719">
        <v>1</v>
      </c>
      <c r="I719" s="5" t="s">
        <v>4312</v>
      </c>
      <c r="J719" t="s">
        <v>6196</v>
      </c>
    </row>
    <row r="720" spans="1:10" x14ac:dyDescent="0.25">
      <c r="A720" s="8" t="s">
        <v>8467</v>
      </c>
      <c r="B720" t="s">
        <v>4911</v>
      </c>
      <c r="C720" t="s">
        <v>4340</v>
      </c>
      <c r="D720" t="s">
        <v>8116</v>
      </c>
      <c r="E720" t="s">
        <v>4340</v>
      </c>
      <c r="H720">
        <v>1</v>
      </c>
      <c r="I720" s="5" t="s">
        <v>4312</v>
      </c>
      <c r="J720" t="s">
        <v>6197</v>
      </c>
    </row>
    <row r="721" spans="1:10" x14ac:dyDescent="0.25">
      <c r="A721" s="8" t="s">
        <v>8256</v>
      </c>
      <c r="B721" t="s">
        <v>4912</v>
      </c>
      <c r="C721" t="s">
        <v>4340</v>
      </c>
      <c r="D721" t="s">
        <v>8117</v>
      </c>
      <c r="E721" t="s">
        <v>4340</v>
      </c>
      <c r="H721">
        <v>1</v>
      </c>
      <c r="I721" s="5" t="s">
        <v>4312</v>
      </c>
      <c r="J721" t="s">
        <v>6198</v>
      </c>
    </row>
    <row r="722" spans="1:10" x14ac:dyDescent="0.25">
      <c r="A722" s="8" t="s">
        <v>8293</v>
      </c>
      <c r="B722" t="s">
        <v>4913</v>
      </c>
      <c r="D722">
        <v>0</v>
      </c>
      <c r="E722" t="s">
        <v>8119</v>
      </c>
      <c r="H722">
        <v>1</v>
      </c>
      <c r="I722" s="5" t="s">
        <v>4312</v>
      </c>
      <c r="J722" t="s">
        <v>6858</v>
      </c>
    </row>
    <row r="723" spans="1:10" x14ac:dyDescent="0.25">
      <c r="A723" s="8" t="s">
        <v>8876</v>
      </c>
      <c r="B723" t="s">
        <v>4914</v>
      </c>
      <c r="C723" t="s">
        <v>4340</v>
      </c>
      <c r="D723">
        <v>0</v>
      </c>
      <c r="E723" t="s">
        <v>8120</v>
      </c>
      <c r="H723">
        <v>1</v>
      </c>
      <c r="I723" s="5" t="s">
        <v>4312</v>
      </c>
      <c r="J723" t="s">
        <v>6199</v>
      </c>
    </row>
    <row r="724" spans="1:10" x14ac:dyDescent="0.25">
      <c r="A724" s="8" t="s">
        <v>8601</v>
      </c>
      <c r="B724" t="s">
        <v>4915</v>
      </c>
      <c r="C724" t="s">
        <v>4340</v>
      </c>
      <c r="D724">
        <v>0</v>
      </c>
      <c r="E724" t="s">
        <v>8121</v>
      </c>
      <c r="H724">
        <v>1</v>
      </c>
      <c r="I724" s="5" t="s">
        <v>4312</v>
      </c>
      <c r="J724" t="s">
        <v>6200</v>
      </c>
    </row>
    <row r="725" spans="1:10" x14ac:dyDescent="0.25">
      <c r="A725" s="8" t="s">
        <v>8575</v>
      </c>
      <c r="B725" t="s">
        <v>4916</v>
      </c>
      <c r="C725" t="s">
        <v>4340</v>
      </c>
      <c r="D725" t="s">
        <v>8122</v>
      </c>
      <c r="E725" t="s">
        <v>4340</v>
      </c>
      <c r="H725">
        <v>1</v>
      </c>
      <c r="I725" s="5" t="s">
        <v>4312</v>
      </c>
      <c r="J725" t="s">
        <v>6201</v>
      </c>
    </row>
    <row r="726" spans="1:10" x14ac:dyDescent="0.25">
      <c r="A726" s="8" t="s">
        <v>8751</v>
      </c>
      <c r="B726" t="s">
        <v>4917</v>
      </c>
      <c r="C726" t="s">
        <v>4340</v>
      </c>
      <c r="D726" t="s">
        <v>8123</v>
      </c>
      <c r="E726" t="s">
        <v>4340</v>
      </c>
      <c r="H726">
        <v>0</v>
      </c>
      <c r="I726" s="5">
        <v>45991</v>
      </c>
      <c r="J726" t="s">
        <v>6122</v>
      </c>
    </row>
    <row r="727" spans="1:10" x14ac:dyDescent="0.25">
      <c r="A727" s="8" t="s">
        <v>8300</v>
      </c>
      <c r="B727" t="s">
        <v>4918</v>
      </c>
      <c r="C727" t="s">
        <v>4340</v>
      </c>
      <c r="D727">
        <v>0</v>
      </c>
      <c r="E727" t="s">
        <v>8124</v>
      </c>
      <c r="H727">
        <v>1</v>
      </c>
      <c r="I727" s="5" t="s">
        <v>4312</v>
      </c>
      <c r="J727" t="s">
        <v>6202</v>
      </c>
    </row>
    <row r="728" spans="1:10" x14ac:dyDescent="0.25">
      <c r="A728" s="8" t="s">
        <v>8590</v>
      </c>
      <c r="B728" t="s">
        <v>4919</v>
      </c>
      <c r="D728" t="s">
        <v>8125</v>
      </c>
      <c r="E728" t="s">
        <v>4340</v>
      </c>
      <c r="G728" t="s">
        <v>5197</v>
      </c>
      <c r="H728">
        <v>1</v>
      </c>
      <c r="I728" s="5" t="s">
        <v>4312</v>
      </c>
      <c r="J728" t="s">
        <v>6859</v>
      </c>
    </row>
    <row r="729" spans="1:10" x14ac:dyDescent="0.25">
      <c r="A729" s="8" t="s">
        <v>8790</v>
      </c>
      <c r="B729" t="s">
        <v>4920</v>
      </c>
      <c r="C729" t="s">
        <v>4340</v>
      </c>
      <c r="D729" t="s">
        <v>8126</v>
      </c>
      <c r="E729" t="s">
        <v>4340</v>
      </c>
      <c r="H729">
        <v>1</v>
      </c>
      <c r="I729" s="5" t="s">
        <v>4312</v>
      </c>
      <c r="J729" t="s">
        <v>6203</v>
      </c>
    </row>
    <row r="730" spans="1:10" x14ac:dyDescent="0.25">
      <c r="A730" s="8" t="s">
        <v>8619</v>
      </c>
      <c r="B730" t="s">
        <v>4921</v>
      </c>
      <c r="C730" t="s">
        <v>4340</v>
      </c>
      <c r="D730" t="s">
        <v>8128</v>
      </c>
      <c r="E730" t="s">
        <v>4340</v>
      </c>
      <c r="G730" t="s">
        <v>5198</v>
      </c>
      <c r="H730">
        <v>1</v>
      </c>
      <c r="I730" s="5" t="s">
        <v>4312</v>
      </c>
      <c r="J730" t="s">
        <v>6204</v>
      </c>
    </row>
    <row r="731" spans="1:10" x14ac:dyDescent="0.25">
      <c r="A731" s="8" t="s">
        <v>8483</v>
      </c>
      <c r="B731" t="s">
        <v>4922</v>
      </c>
      <c r="C731" t="s">
        <v>4340</v>
      </c>
      <c r="D731" t="s">
        <v>8129</v>
      </c>
      <c r="E731" t="s">
        <v>4340</v>
      </c>
      <c r="H731">
        <v>1</v>
      </c>
      <c r="I731" s="5" t="s">
        <v>4312</v>
      </c>
      <c r="J731" t="s">
        <v>6205</v>
      </c>
    </row>
    <row r="732" spans="1:10" x14ac:dyDescent="0.25">
      <c r="A732" s="8" t="s">
        <v>8798</v>
      </c>
      <c r="B732" t="s">
        <v>4923</v>
      </c>
      <c r="C732" t="s">
        <v>4340</v>
      </c>
      <c r="D732" t="s">
        <v>8130</v>
      </c>
      <c r="E732" t="s">
        <v>4340</v>
      </c>
      <c r="H732">
        <v>1</v>
      </c>
      <c r="I732" s="5" t="s">
        <v>4312</v>
      </c>
      <c r="J732" t="s">
        <v>6206</v>
      </c>
    </row>
    <row r="733" spans="1:10" x14ac:dyDescent="0.25">
      <c r="A733" s="8" t="s">
        <v>8925</v>
      </c>
      <c r="B733" t="s">
        <v>4924</v>
      </c>
      <c r="C733" t="s">
        <v>4340</v>
      </c>
      <c r="D733" t="e">
        <v>#N/A</v>
      </c>
      <c r="E733" t="e">
        <v>#N/A</v>
      </c>
      <c r="H733">
        <v>0</v>
      </c>
      <c r="I733" s="5">
        <v>45944</v>
      </c>
      <c r="J733" t="s">
        <v>6123</v>
      </c>
    </row>
    <row r="734" spans="1:10" x14ac:dyDescent="0.25">
      <c r="A734" s="8" t="s">
        <v>8761</v>
      </c>
      <c r="B734" t="s">
        <v>4925</v>
      </c>
      <c r="C734" t="s">
        <v>4340</v>
      </c>
      <c r="D734" t="s">
        <v>8131</v>
      </c>
      <c r="E734" t="s">
        <v>4340</v>
      </c>
      <c r="H734">
        <v>1</v>
      </c>
      <c r="I734" s="5" t="s">
        <v>4312</v>
      </c>
      <c r="J734" t="s">
        <v>6207</v>
      </c>
    </row>
    <row r="735" spans="1:10" x14ac:dyDescent="0.25">
      <c r="A735" s="8" t="s">
        <v>8802</v>
      </c>
      <c r="B735" t="s">
        <v>4926</v>
      </c>
      <c r="C735" t="s">
        <v>4340</v>
      </c>
      <c r="D735" t="s">
        <v>8132</v>
      </c>
      <c r="E735" t="s">
        <v>4340</v>
      </c>
      <c r="H735">
        <v>0</v>
      </c>
      <c r="I735" s="5">
        <v>45894</v>
      </c>
      <c r="J735" t="s">
        <v>6124</v>
      </c>
    </row>
    <row r="736" spans="1:10" x14ac:dyDescent="0.25">
      <c r="A736" s="8" t="s">
        <v>8793</v>
      </c>
      <c r="B736" t="s">
        <v>4927</v>
      </c>
      <c r="C736" t="s">
        <v>4340</v>
      </c>
      <c r="D736" t="s">
        <v>8133</v>
      </c>
      <c r="E736" t="s">
        <v>4340</v>
      </c>
      <c r="G736" t="s">
        <v>5199</v>
      </c>
      <c r="H736">
        <v>1</v>
      </c>
      <c r="I736" s="5" t="s">
        <v>4312</v>
      </c>
      <c r="J736" t="s">
        <v>6208</v>
      </c>
    </row>
    <row r="737" spans="1:10" x14ac:dyDescent="0.25">
      <c r="A737" s="8" t="s">
        <v>8572</v>
      </c>
      <c r="B737" t="s">
        <v>4928</v>
      </c>
      <c r="D737" t="s">
        <v>8134</v>
      </c>
      <c r="E737" t="s">
        <v>4340</v>
      </c>
      <c r="G737" t="s">
        <v>5200</v>
      </c>
      <c r="H737">
        <v>1</v>
      </c>
      <c r="I737" s="5" t="s">
        <v>4312</v>
      </c>
      <c r="J737" t="s">
        <v>6860</v>
      </c>
    </row>
    <row r="738" spans="1:10" x14ac:dyDescent="0.25">
      <c r="A738" s="8" t="s">
        <v>8816</v>
      </c>
      <c r="B738" t="s">
        <v>4929</v>
      </c>
      <c r="D738" t="s">
        <v>8135</v>
      </c>
      <c r="E738" t="s">
        <v>4340</v>
      </c>
      <c r="G738" t="s">
        <v>5201</v>
      </c>
      <c r="H738">
        <v>0</v>
      </c>
      <c r="I738" s="5">
        <v>45991</v>
      </c>
      <c r="J738" t="s">
        <v>6631</v>
      </c>
    </row>
    <row r="739" spans="1:10" x14ac:dyDescent="0.25">
      <c r="A739" s="8" t="s">
        <v>8555</v>
      </c>
      <c r="B739" t="s">
        <v>4930</v>
      </c>
      <c r="C739" t="s">
        <v>4340</v>
      </c>
      <c r="D739" t="s">
        <v>8136</v>
      </c>
      <c r="E739" t="s">
        <v>4340</v>
      </c>
      <c r="G739" t="s">
        <v>5202</v>
      </c>
      <c r="H739">
        <v>1</v>
      </c>
      <c r="I739" s="5" t="s">
        <v>4312</v>
      </c>
      <c r="J739" t="s">
        <v>6209</v>
      </c>
    </row>
    <row r="740" spans="1:10" x14ac:dyDescent="0.25">
      <c r="A740" s="8" t="s">
        <v>8852</v>
      </c>
      <c r="B740" t="s">
        <v>4931</v>
      </c>
      <c r="C740" t="s">
        <v>4340</v>
      </c>
      <c r="D740">
        <v>0</v>
      </c>
      <c r="E740" t="s">
        <v>8137</v>
      </c>
      <c r="H740">
        <v>0</v>
      </c>
      <c r="I740" s="5">
        <v>45905</v>
      </c>
      <c r="J740" t="s">
        <v>6125</v>
      </c>
    </row>
    <row r="741" spans="1:10" x14ac:dyDescent="0.25">
      <c r="A741" s="8" t="s">
        <v>8435</v>
      </c>
      <c r="B741" t="s">
        <v>4932</v>
      </c>
      <c r="C741" t="s">
        <v>4340</v>
      </c>
      <c r="D741" t="s">
        <v>8138</v>
      </c>
      <c r="E741" t="s">
        <v>4340</v>
      </c>
      <c r="H741">
        <v>1</v>
      </c>
      <c r="I741" s="5" t="s">
        <v>4312</v>
      </c>
      <c r="J741" t="s">
        <v>6210</v>
      </c>
    </row>
    <row r="742" spans="1:10" x14ac:dyDescent="0.25">
      <c r="A742" s="8" t="s">
        <v>8824</v>
      </c>
      <c r="B742" t="s">
        <v>4933</v>
      </c>
      <c r="D742">
        <v>0</v>
      </c>
      <c r="E742" t="s">
        <v>8199</v>
      </c>
      <c r="H742">
        <v>1</v>
      </c>
      <c r="I742" s="5" t="s">
        <v>4312</v>
      </c>
      <c r="J742" t="s">
        <v>6861</v>
      </c>
    </row>
    <row r="743" spans="1:10" x14ac:dyDescent="0.25">
      <c r="A743" s="8" t="s">
        <v>8504</v>
      </c>
      <c r="B743" t="s">
        <v>4934</v>
      </c>
      <c r="C743" t="s">
        <v>4340</v>
      </c>
      <c r="D743">
        <v>0</v>
      </c>
      <c r="E743" t="s">
        <v>8139</v>
      </c>
      <c r="H743">
        <v>1</v>
      </c>
      <c r="I743" s="5" t="s">
        <v>4312</v>
      </c>
      <c r="J743" t="s">
        <v>6211</v>
      </c>
    </row>
    <row r="744" spans="1:10" x14ac:dyDescent="0.25">
      <c r="A744" s="8" t="s">
        <v>8966</v>
      </c>
      <c r="B744" t="s">
        <v>4935</v>
      </c>
      <c r="C744" t="s">
        <v>4340</v>
      </c>
      <c r="D744">
        <v>0</v>
      </c>
      <c r="E744" t="s">
        <v>8140</v>
      </c>
      <c r="H744">
        <v>1</v>
      </c>
      <c r="I744" s="5" t="s">
        <v>4312</v>
      </c>
      <c r="J744" t="s">
        <v>6212</v>
      </c>
    </row>
    <row r="745" spans="1:10" x14ac:dyDescent="0.25">
      <c r="A745" s="8" t="s">
        <v>8647</v>
      </c>
      <c r="B745" t="s">
        <v>4936</v>
      </c>
      <c r="C745" t="s">
        <v>4340</v>
      </c>
      <c r="D745">
        <v>0</v>
      </c>
      <c r="E745" t="s">
        <v>8141</v>
      </c>
      <c r="H745">
        <v>1</v>
      </c>
      <c r="I745" s="5" t="s">
        <v>4312</v>
      </c>
      <c r="J745" t="s">
        <v>6213</v>
      </c>
    </row>
    <row r="746" spans="1:10" x14ac:dyDescent="0.25">
      <c r="A746" s="8" t="s">
        <v>8395</v>
      </c>
      <c r="B746" t="s">
        <v>4937</v>
      </c>
      <c r="C746" t="s">
        <v>4340</v>
      </c>
      <c r="D746" t="s">
        <v>8142</v>
      </c>
      <c r="E746" t="s">
        <v>4340</v>
      </c>
      <c r="H746">
        <v>1</v>
      </c>
      <c r="I746" s="5" t="s">
        <v>4312</v>
      </c>
      <c r="J746" t="s">
        <v>6214</v>
      </c>
    </row>
    <row r="747" spans="1:10" x14ac:dyDescent="0.25">
      <c r="A747" s="8" t="s">
        <v>8707</v>
      </c>
      <c r="B747" t="s">
        <v>4938</v>
      </c>
      <c r="C747" t="s">
        <v>4340</v>
      </c>
      <c r="D747" t="s">
        <v>8143</v>
      </c>
      <c r="E747" t="s">
        <v>4340</v>
      </c>
      <c r="H747">
        <v>1</v>
      </c>
      <c r="I747" s="5" t="s">
        <v>4312</v>
      </c>
      <c r="J747" t="s">
        <v>6215</v>
      </c>
    </row>
    <row r="748" spans="1:10" x14ac:dyDescent="0.25">
      <c r="A748" s="8" t="s">
        <v>8668</v>
      </c>
      <c r="B748" t="s">
        <v>4939</v>
      </c>
      <c r="C748" t="s">
        <v>4340</v>
      </c>
      <c r="D748" t="s">
        <v>8144</v>
      </c>
      <c r="E748" t="s">
        <v>4340</v>
      </c>
      <c r="H748">
        <v>1</v>
      </c>
      <c r="I748" s="5" t="s">
        <v>4312</v>
      </c>
      <c r="J748" t="s">
        <v>6216</v>
      </c>
    </row>
    <row r="749" spans="1:10" x14ac:dyDescent="0.25">
      <c r="A749" s="8" t="s">
        <v>8258</v>
      </c>
      <c r="B749" t="s">
        <v>4940</v>
      </c>
      <c r="D749" t="s">
        <v>8145</v>
      </c>
      <c r="E749" t="s">
        <v>4340</v>
      </c>
      <c r="H749">
        <v>1</v>
      </c>
      <c r="I749" s="5" t="s">
        <v>4312</v>
      </c>
      <c r="J749" t="s">
        <v>6862</v>
      </c>
    </row>
    <row r="750" spans="1:10" x14ac:dyDescent="0.25">
      <c r="A750" s="8" t="s">
        <v>8525</v>
      </c>
      <c r="B750" t="s">
        <v>4941</v>
      </c>
      <c r="C750" t="s">
        <v>4340</v>
      </c>
      <c r="D750">
        <v>0</v>
      </c>
      <c r="E750" t="s">
        <v>8146</v>
      </c>
      <c r="H750">
        <v>0</v>
      </c>
      <c r="I750" s="5">
        <v>45968</v>
      </c>
      <c r="J750" t="s">
        <v>6126</v>
      </c>
    </row>
    <row r="751" spans="1:10" x14ac:dyDescent="0.25">
      <c r="A751" s="8" t="s">
        <v>8776</v>
      </c>
      <c r="B751" t="s">
        <v>4942</v>
      </c>
      <c r="D751" t="s">
        <v>8147</v>
      </c>
      <c r="E751" t="s">
        <v>4340</v>
      </c>
      <c r="H751">
        <v>1</v>
      </c>
      <c r="I751" s="5" t="s">
        <v>4312</v>
      </c>
      <c r="J751" t="s">
        <v>6863</v>
      </c>
    </row>
    <row r="752" spans="1:10" x14ac:dyDescent="0.25">
      <c r="A752" s="8" t="s">
        <v>8494</v>
      </c>
      <c r="B752" t="s">
        <v>4943</v>
      </c>
      <c r="C752" t="s">
        <v>4340</v>
      </c>
      <c r="D752">
        <v>0</v>
      </c>
      <c r="E752" t="s">
        <v>8148</v>
      </c>
      <c r="H752">
        <v>1</v>
      </c>
      <c r="I752" s="5" t="s">
        <v>4312</v>
      </c>
      <c r="J752" t="s">
        <v>6217</v>
      </c>
    </row>
    <row r="753" spans="1:10" x14ac:dyDescent="0.25">
      <c r="A753" s="8" t="s">
        <v>8710</v>
      </c>
      <c r="B753" t="s">
        <v>4944</v>
      </c>
      <c r="C753" t="s">
        <v>4340</v>
      </c>
      <c r="D753" t="s">
        <v>8149</v>
      </c>
      <c r="E753" t="s">
        <v>4340</v>
      </c>
      <c r="H753">
        <v>1</v>
      </c>
      <c r="I753" s="5" t="s">
        <v>4312</v>
      </c>
      <c r="J753" t="s">
        <v>6218</v>
      </c>
    </row>
    <row r="754" spans="1:10" x14ac:dyDescent="0.25">
      <c r="A754" s="8" t="s">
        <v>8460</v>
      </c>
      <c r="B754" t="s">
        <v>4945</v>
      </c>
      <c r="C754" t="s">
        <v>4340</v>
      </c>
      <c r="D754" t="s">
        <v>8150</v>
      </c>
      <c r="E754" t="s">
        <v>4340</v>
      </c>
      <c r="H754">
        <v>1</v>
      </c>
      <c r="I754" s="5" t="s">
        <v>4312</v>
      </c>
      <c r="J754" t="s">
        <v>6219</v>
      </c>
    </row>
    <row r="755" spans="1:10" x14ac:dyDescent="0.25">
      <c r="A755" s="8" t="s">
        <v>8346</v>
      </c>
      <c r="B755" t="s">
        <v>4946</v>
      </c>
      <c r="C755" t="s">
        <v>4340</v>
      </c>
      <c r="D755" t="s">
        <v>8151</v>
      </c>
      <c r="E755" t="s">
        <v>4340</v>
      </c>
      <c r="H755">
        <v>1</v>
      </c>
      <c r="I755" s="5" t="s">
        <v>4312</v>
      </c>
      <c r="J755" t="s">
        <v>6220</v>
      </c>
    </row>
    <row r="756" spans="1:10" x14ac:dyDescent="0.25">
      <c r="A756" s="8" t="s">
        <v>8880</v>
      </c>
      <c r="B756" t="s">
        <v>4947</v>
      </c>
      <c r="C756" t="s">
        <v>4340</v>
      </c>
      <c r="D756" t="s">
        <v>8152</v>
      </c>
      <c r="E756" t="s">
        <v>4340</v>
      </c>
      <c r="G756" t="s">
        <v>5203</v>
      </c>
      <c r="H756">
        <v>0</v>
      </c>
      <c r="I756" s="5">
        <v>45968</v>
      </c>
      <c r="J756" t="s">
        <v>6127</v>
      </c>
    </row>
    <row r="757" spans="1:10" x14ac:dyDescent="0.25">
      <c r="A757" s="8" t="s">
        <v>8797</v>
      </c>
      <c r="B757" t="s">
        <v>4948</v>
      </c>
      <c r="C757" t="s">
        <v>4340</v>
      </c>
      <c r="D757" t="s">
        <v>8153</v>
      </c>
      <c r="E757" t="s">
        <v>4340</v>
      </c>
      <c r="H757">
        <v>1</v>
      </c>
      <c r="I757" s="5" t="s">
        <v>4312</v>
      </c>
      <c r="J757" t="s">
        <v>6221</v>
      </c>
    </row>
    <row r="758" spans="1:10" x14ac:dyDescent="0.25">
      <c r="A758" s="8" t="s">
        <v>8516</v>
      </c>
      <c r="B758" t="s">
        <v>4949</v>
      </c>
      <c r="C758" t="s">
        <v>4340</v>
      </c>
      <c r="D758" t="s">
        <v>8154</v>
      </c>
      <c r="E758" t="s">
        <v>4340</v>
      </c>
      <c r="H758">
        <v>1</v>
      </c>
      <c r="I758" s="5" t="s">
        <v>4312</v>
      </c>
      <c r="J758" t="s">
        <v>6222</v>
      </c>
    </row>
    <row r="759" spans="1:10" x14ac:dyDescent="0.25">
      <c r="A759" s="8" t="s">
        <v>8767</v>
      </c>
      <c r="B759" t="s">
        <v>4950</v>
      </c>
      <c r="C759" t="s">
        <v>4340</v>
      </c>
      <c r="D759" t="s">
        <v>8155</v>
      </c>
      <c r="E759" t="s">
        <v>4340</v>
      </c>
      <c r="G759" t="s">
        <v>5204</v>
      </c>
      <c r="H759">
        <v>1</v>
      </c>
      <c r="I759" s="5" t="s">
        <v>4312</v>
      </c>
      <c r="J759" t="s">
        <v>6223</v>
      </c>
    </row>
    <row r="760" spans="1:10" x14ac:dyDescent="0.25">
      <c r="A760" s="8" t="s">
        <v>8839</v>
      </c>
      <c r="B760" t="s">
        <v>4951</v>
      </c>
      <c r="C760" t="s">
        <v>4340</v>
      </c>
      <c r="D760" t="s">
        <v>8156</v>
      </c>
      <c r="E760" t="s">
        <v>4340</v>
      </c>
      <c r="H760">
        <v>1</v>
      </c>
      <c r="I760" s="5" t="s">
        <v>4312</v>
      </c>
      <c r="J760" t="s">
        <v>6224</v>
      </c>
    </row>
    <row r="761" spans="1:10" x14ac:dyDescent="0.25">
      <c r="A761" s="8" t="s">
        <v>8861</v>
      </c>
      <c r="B761" t="s">
        <v>4952</v>
      </c>
      <c r="C761" t="s">
        <v>4340</v>
      </c>
      <c r="D761" t="s">
        <v>8159</v>
      </c>
      <c r="E761" t="s">
        <v>4340</v>
      </c>
      <c r="H761">
        <v>1</v>
      </c>
      <c r="I761" s="5" t="s">
        <v>4312</v>
      </c>
      <c r="J761" t="s">
        <v>6225</v>
      </c>
    </row>
    <row r="762" spans="1:10" x14ac:dyDescent="0.25">
      <c r="A762" s="8" t="s">
        <v>8724</v>
      </c>
      <c r="B762" t="s">
        <v>4953</v>
      </c>
      <c r="C762" t="s">
        <v>4340</v>
      </c>
      <c r="D762" t="s">
        <v>8160</v>
      </c>
      <c r="E762" t="s">
        <v>4340</v>
      </c>
      <c r="H762">
        <v>1</v>
      </c>
      <c r="I762" s="5" t="s">
        <v>4312</v>
      </c>
      <c r="J762" t="s">
        <v>6226</v>
      </c>
    </row>
    <row r="763" spans="1:10" x14ac:dyDescent="0.25">
      <c r="A763" s="8" t="s">
        <v>8809</v>
      </c>
      <c r="C763" t="s">
        <v>4340</v>
      </c>
      <c r="D763" t="s">
        <v>8161</v>
      </c>
      <c r="E763" t="s">
        <v>4340</v>
      </c>
      <c r="G763" t="s">
        <v>5205</v>
      </c>
      <c r="H763">
        <v>0</v>
      </c>
      <c r="I763" s="5">
        <v>45939</v>
      </c>
      <c r="J763" t="s">
        <v>6128</v>
      </c>
    </row>
    <row r="764" spans="1:10" x14ac:dyDescent="0.25">
      <c r="A764" s="8" t="s">
        <v>8237</v>
      </c>
      <c r="B764" t="s">
        <v>4954</v>
      </c>
      <c r="C764" t="s">
        <v>6079</v>
      </c>
      <c r="D764" t="s">
        <v>8162</v>
      </c>
      <c r="E764" t="s">
        <v>4340</v>
      </c>
      <c r="G764" t="s">
        <v>5206</v>
      </c>
      <c r="H764">
        <v>1</v>
      </c>
      <c r="I764" s="5" t="s">
        <v>4312</v>
      </c>
      <c r="J764" t="s">
        <v>6227</v>
      </c>
    </row>
    <row r="765" spans="1:10" x14ac:dyDescent="0.25">
      <c r="A765" s="8" t="s">
        <v>8735</v>
      </c>
      <c r="B765" t="s">
        <v>4955</v>
      </c>
      <c r="C765" t="s">
        <v>4340</v>
      </c>
      <c r="D765" t="s">
        <v>8163</v>
      </c>
      <c r="E765" t="s">
        <v>4340</v>
      </c>
      <c r="H765">
        <v>1</v>
      </c>
      <c r="I765" s="5" t="s">
        <v>4312</v>
      </c>
      <c r="J765" t="s">
        <v>6228</v>
      </c>
    </row>
    <row r="766" spans="1:10" x14ac:dyDescent="0.25">
      <c r="A766" s="8" t="s">
        <v>8833</v>
      </c>
      <c r="B766" t="s">
        <v>4956</v>
      </c>
      <c r="C766" t="s">
        <v>4340</v>
      </c>
      <c r="D766">
        <v>0</v>
      </c>
      <c r="E766" t="s">
        <v>8164</v>
      </c>
      <c r="H766">
        <v>1</v>
      </c>
      <c r="I766" s="5" t="s">
        <v>4312</v>
      </c>
      <c r="J766" t="s">
        <v>6229</v>
      </c>
    </row>
    <row r="767" spans="1:10" x14ac:dyDescent="0.25">
      <c r="A767" s="8" t="s">
        <v>8512</v>
      </c>
      <c r="B767" t="s">
        <v>4957</v>
      </c>
      <c r="C767" t="s">
        <v>4340</v>
      </c>
      <c r="D767" t="s">
        <v>8165</v>
      </c>
      <c r="E767" t="s">
        <v>4340</v>
      </c>
      <c r="H767">
        <v>1</v>
      </c>
      <c r="I767" s="5" t="s">
        <v>4312</v>
      </c>
      <c r="J767" t="s">
        <v>6230</v>
      </c>
    </row>
    <row r="768" spans="1:10" x14ac:dyDescent="0.25">
      <c r="A768" s="8" t="s">
        <v>8831</v>
      </c>
      <c r="B768" t="s">
        <v>4958</v>
      </c>
      <c r="C768" t="s">
        <v>4340</v>
      </c>
      <c r="D768" t="s">
        <v>8166</v>
      </c>
      <c r="E768" t="s">
        <v>4340</v>
      </c>
      <c r="H768">
        <v>1</v>
      </c>
      <c r="I768" s="5" t="s">
        <v>4312</v>
      </c>
      <c r="J768" t="s">
        <v>6231</v>
      </c>
    </row>
    <row r="769" spans="1:10" x14ac:dyDescent="0.25">
      <c r="A769" s="8" t="s">
        <v>8682</v>
      </c>
      <c r="B769" t="s">
        <v>4959</v>
      </c>
      <c r="C769" t="s">
        <v>4340</v>
      </c>
      <c r="D769" t="s">
        <v>8167</v>
      </c>
      <c r="E769" t="s">
        <v>4340</v>
      </c>
      <c r="H769">
        <v>1</v>
      </c>
      <c r="I769" s="5" t="s">
        <v>4312</v>
      </c>
      <c r="J769" t="s">
        <v>6232</v>
      </c>
    </row>
    <row r="770" spans="1:10" x14ac:dyDescent="0.25">
      <c r="A770" s="8" t="s">
        <v>8987</v>
      </c>
      <c r="B770" t="s">
        <v>4960</v>
      </c>
      <c r="C770" t="s">
        <v>4340</v>
      </c>
      <c r="D770" t="s">
        <v>8168</v>
      </c>
      <c r="E770" t="s">
        <v>4340</v>
      </c>
      <c r="G770" t="s">
        <v>5207</v>
      </c>
      <c r="H770">
        <v>1</v>
      </c>
      <c r="I770" s="5" t="s">
        <v>4312</v>
      </c>
      <c r="J770" t="s">
        <v>6233</v>
      </c>
    </row>
    <row r="771" spans="1:10" x14ac:dyDescent="0.25">
      <c r="A771" s="8" t="s">
        <v>8632</v>
      </c>
      <c r="B771" t="s">
        <v>4961</v>
      </c>
      <c r="C771" t="s">
        <v>4340</v>
      </c>
      <c r="D771" t="s">
        <v>8169</v>
      </c>
      <c r="E771" t="s">
        <v>4340</v>
      </c>
      <c r="H771">
        <v>1</v>
      </c>
      <c r="I771" s="5" t="s">
        <v>4312</v>
      </c>
      <c r="J771" t="s">
        <v>6234</v>
      </c>
    </row>
    <row r="772" spans="1:10" x14ac:dyDescent="0.25">
      <c r="A772" s="8" t="s">
        <v>8598</v>
      </c>
      <c r="B772" t="s">
        <v>4962</v>
      </c>
      <c r="C772" t="s">
        <v>4340</v>
      </c>
      <c r="D772">
        <v>0</v>
      </c>
      <c r="E772" t="s">
        <v>8170</v>
      </c>
      <c r="H772">
        <v>1</v>
      </c>
      <c r="I772" s="5" t="s">
        <v>4312</v>
      </c>
      <c r="J772" t="s">
        <v>6235</v>
      </c>
    </row>
    <row r="773" spans="1:10" x14ac:dyDescent="0.25">
      <c r="A773" s="8" t="s">
        <v>8859</v>
      </c>
      <c r="B773" t="s">
        <v>4963</v>
      </c>
      <c r="C773" t="s">
        <v>6080</v>
      </c>
      <c r="D773" t="s">
        <v>8171</v>
      </c>
      <c r="E773" t="s">
        <v>4340</v>
      </c>
      <c r="G773" t="s">
        <v>5208</v>
      </c>
      <c r="H773">
        <v>1</v>
      </c>
      <c r="I773" s="5" t="s">
        <v>4312</v>
      </c>
      <c r="J773" t="s">
        <v>6236</v>
      </c>
    </row>
    <row r="774" spans="1:10" x14ac:dyDescent="0.25">
      <c r="A774" s="8" t="s">
        <v>8556</v>
      </c>
      <c r="B774" t="s">
        <v>4964</v>
      </c>
      <c r="C774" t="s">
        <v>4340</v>
      </c>
      <c r="D774" t="s">
        <v>8172</v>
      </c>
      <c r="E774" t="s">
        <v>4340</v>
      </c>
      <c r="H774">
        <v>1</v>
      </c>
      <c r="I774" s="5" t="s">
        <v>4312</v>
      </c>
      <c r="J774" t="s">
        <v>6237</v>
      </c>
    </row>
    <row r="775" spans="1:10" x14ac:dyDescent="0.25">
      <c r="A775" s="8" t="s">
        <v>8363</v>
      </c>
      <c r="B775" t="s">
        <v>4965</v>
      </c>
      <c r="C775" t="s">
        <v>4340</v>
      </c>
      <c r="D775" t="s">
        <v>8173</v>
      </c>
      <c r="E775" t="s">
        <v>4340</v>
      </c>
      <c r="H775">
        <v>1</v>
      </c>
      <c r="I775" s="5" t="s">
        <v>4312</v>
      </c>
      <c r="J775" t="s">
        <v>6238</v>
      </c>
    </row>
    <row r="776" spans="1:10" x14ac:dyDescent="0.25">
      <c r="A776" s="8" t="s">
        <v>8685</v>
      </c>
      <c r="B776" t="s">
        <v>4966</v>
      </c>
      <c r="C776" t="s">
        <v>4340</v>
      </c>
      <c r="D776" t="s">
        <v>8174</v>
      </c>
      <c r="E776" t="s">
        <v>4340</v>
      </c>
      <c r="G776" t="s">
        <v>5209</v>
      </c>
      <c r="H776">
        <v>1</v>
      </c>
      <c r="I776" s="5" t="s">
        <v>4312</v>
      </c>
      <c r="J776" t="s">
        <v>6239</v>
      </c>
    </row>
    <row r="777" spans="1:10" x14ac:dyDescent="0.25">
      <c r="A777" s="8" t="s">
        <v>8699</v>
      </c>
      <c r="B777" t="s">
        <v>4967</v>
      </c>
      <c r="D777">
        <v>0</v>
      </c>
      <c r="E777" t="s">
        <v>8175</v>
      </c>
      <c r="H777">
        <v>1</v>
      </c>
      <c r="I777" s="5" t="s">
        <v>4312</v>
      </c>
      <c r="J777" t="s">
        <v>6864</v>
      </c>
    </row>
    <row r="778" spans="1:10" x14ac:dyDescent="0.25">
      <c r="A778" s="8" t="s">
        <v>8890</v>
      </c>
      <c r="B778" t="s">
        <v>4968</v>
      </c>
      <c r="D778">
        <v>0</v>
      </c>
      <c r="E778" t="s">
        <v>8176</v>
      </c>
      <c r="H778">
        <v>1</v>
      </c>
      <c r="I778" s="5" t="s">
        <v>4312</v>
      </c>
      <c r="J778" t="s">
        <v>6865</v>
      </c>
    </row>
    <row r="779" spans="1:10" x14ac:dyDescent="0.25">
      <c r="A779" s="8" t="s">
        <v>8694</v>
      </c>
      <c r="B779" t="s">
        <v>4969</v>
      </c>
      <c r="C779" t="s">
        <v>4340</v>
      </c>
      <c r="D779" t="s">
        <v>8177</v>
      </c>
      <c r="E779" t="s">
        <v>4340</v>
      </c>
      <c r="H779">
        <v>1</v>
      </c>
      <c r="I779" s="5" t="s">
        <v>4312</v>
      </c>
      <c r="J779" t="s">
        <v>6240</v>
      </c>
    </row>
    <row r="780" spans="1:10" x14ac:dyDescent="0.25">
      <c r="A780" s="8" t="s">
        <v>8284</v>
      </c>
      <c r="B780" t="s">
        <v>4970</v>
      </c>
      <c r="D780" t="s">
        <v>8179</v>
      </c>
      <c r="E780" t="s">
        <v>4340</v>
      </c>
      <c r="G780" t="s">
        <v>5210</v>
      </c>
      <c r="H780">
        <v>1</v>
      </c>
      <c r="I780" s="5" t="s">
        <v>4312</v>
      </c>
      <c r="J780" t="s">
        <v>6866</v>
      </c>
    </row>
    <row r="781" spans="1:10" x14ac:dyDescent="0.25">
      <c r="A781" s="8" t="s">
        <v>8623</v>
      </c>
      <c r="B781" t="s">
        <v>4971</v>
      </c>
      <c r="D781" t="s">
        <v>8180</v>
      </c>
      <c r="E781" t="s">
        <v>4340</v>
      </c>
      <c r="H781">
        <v>1</v>
      </c>
      <c r="I781" s="5" t="s">
        <v>4312</v>
      </c>
      <c r="J781" t="s">
        <v>6867</v>
      </c>
    </row>
    <row r="782" spans="1:10" x14ac:dyDescent="0.25">
      <c r="A782" s="8" t="s">
        <v>8730</v>
      </c>
      <c r="B782" t="s">
        <v>4972</v>
      </c>
      <c r="D782" t="s">
        <v>8181</v>
      </c>
      <c r="E782" t="s">
        <v>4340</v>
      </c>
      <c r="H782">
        <v>1</v>
      </c>
      <c r="I782" s="5" t="s">
        <v>4312</v>
      </c>
      <c r="J782" t="s">
        <v>6868</v>
      </c>
    </row>
    <row r="783" spans="1:10" x14ac:dyDescent="0.25">
      <c r="A783" s="8" t="s">
        <v>8537</v>
      </c>
      <c r="C783" t="s">
        <v>4340</v>
      </c>
      <c r="D783" t="s">
        <v>8182</v>
      </c>
      <c r="E783" t="s">
        <v>4340</v>
      </c>
      <c r="H783">
        <v>1</v>
      </c>
      <c r="I783" s="5" t="s">
        <v>4312</v>
      </c>
      <c r="J783" t="s">
        <v>6241</v>
      </c>
    </row>
    <row r="784" spans="1:10" x14ac:dyDescent="0.25">
      <c r="A784" s="8" t="s">
        <v>8755</v>
      </c>
      <c r="C784" t="s">
        <v>4340</v>
      </c>
      <c r="D784" t="s">
        <v>8183</v>
      </c>
      <c r="E784" t="s">
        <v>4340</v>
      </c>
      <c r="H784">
        <v>1</v>
      </c>
      <c r="I784" s="5" t="s">
        <v>4312</v>
      </c>
      <c r="J784" t="s">
        <v>6242</v>
      </c>
    </row>
    <row r="785" spans="1:10" x14ac:dyDescent="0.25">
      <c r="A785" s="8" t="s">
        <v>8929</v>
      </c>
      <c r="B785" t="s">
        <v>4973</v>
      </c>
      <c r="C785" t="s">
        <v>4340</v>
      </c>
      <c r="D785">
        <v>0</v>
      </c>
      <c r="E785" t="s">
        <v>8184</v>
      </c>
      <c r="H785">
        <v>1</v>
      </c>
      <c r="I785" s="5" t="s">
        <v>4312</v>
      </c>
      <c r="J785" t="s">
        <v>6243</v>
      </c>
    </row>
    <row r="786" spans="1:10" x14ac:dyDescent="0.25">
      <c r="A786" s="8" t="s">
        <v>8225</v>
      </c>
      <c r="D786">
        <v>0</v>
      </c>
      <c r="E786" t="s">
        <v>8185</v>
      </c>
      <c r="H786">
        <v>1</v>
      </c>
      <c r="I786" s="5" t="s">
        <v>4312</v>
      </c>
      <c r="J786" t="s">
        <v>6869</v>
      </c>
    </row>
    <row r="787" spans="1:10" x14ac:dyDescent="0.25">
      <c r="A787" s="8" t="s">
        <v>8990</v>
      </c>
      <c r="D787" t="s">
        <v>8186</v>
      </c>
      <c r="E787" t="s">
        <v>4340</v>
      </c>
      <c r="H787">
        <v>1</v>
      </c>
      <c r="I787" s="5" t="s">
        <v>4312</v>
      </c>
      <c r="J787" t="s">
        <v>6870</v>
      </c>
    </row>
    <row r="788" spans="1:10" x14ac:dyDescent="0.25">
      <c r="A788" s="8" t="s">
        <v>8546</v>
      </c>
      <c r="D788" t="s">
        <v>8187</v>
      </c>
      <c r="E788" t="s">
        <v>4340</v>
      </c>
      <c r="H788">
        <v>1</v>
      </c>
      <c r="I788" s="5" t="s">
        <v>4312</v>
      </c>
      <c r="J788" t="s">
        <v>6871</v>
      </c>
    </row>
    <row r="789" spans="1:10" x14ac:dyDescent="0.25">
      <c r="A789" s="8" t="s">
        <v>8704</v>
      </c>
      <c r="C789" t="s">
        <v>4340</v>
      </c>
      <c r="D789" t="s">
        <v>8188</v>
      </c>
      <c r="E789" t="s">
        <v>4340</v>
      </c>
      <c r="G789" t="s">
        <v>5211</v>
      </c>
      <c r="H789">
        <v>1</v>
      </c>
      <c r="I789" s="5" t="s">
        <v>4312</v>
      </c>
      <c r="J789" t="s">
        <v>6244</v>
      </c>
    </row>
  </sheetData>
  <autoFilter ref="A1:J789" xr:uid="{04CF6EB7-90F4-422B-BCBD-FEEE0E7A920B}"/>
  <conditionalFormatting sqref="A907:A1048576 A1:A790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C412-0D9C-40E3-92B6-988027D39E28}">
  <dimension ref="A1:C5"/>
  <sheetViews>
    <sheetView workbookViewId="0">
      <selection activeCell="A6" sqref="A6"/>
    </sheetView>
  </sheetViews>
  <sheetFormatPr baseColWidth="10" defaultRowHeight="15" x14ac:dyDescent="0.25"/>
  <cols>
    <col min="2" max="2" width="27.42578125" bestFit="1" customWidth="1"/>
    <col min="3" max="3" width="32" bestFit="1" customWidth="1"/>
  </cols>
  <sheetData>
    <row r="1" spans="1:3" x14ac:dyDescent="0.25">
      <c r="B1" t="s">
        <v>4279</v>
      </c>
    </row>
    <row r="2" spans="1:3" x14ac:dyDescent="0.25">
      <c r="A2">
        <v>1</v>
      </c>
      <c r="B2" t="s">
        <v>4281</v>
      </c>
      <c r="C2" t="str">
        <f>_xlfn.CONCAT("('",B2,"',","1),")</f>
        <v>('ADMINISTRACIÓN Y FINANZAS',1),</v>
      </c>
    </row>
    <row r="3" spans="1:3" x14ac:dyDescent="0.25">
      <c r="A3">
        <v>2</v>
      </c>
      <c r="B3" t="s">
        <v>4282</v>
      </c>
      <c r="C3" t="str">
        <f t="shared" ref="C3:C5" si="0">_xlfn.CONCAT("('",B3,"',","1),")</f>
        <v>('COMERCIAL',1),</v>
      </c>
    </row>
    <row r="4" spans="1:3" x14ac:dyDescent="0.25">
      <c r="A4">
        <v>3</v>
      </c>
      <c r="B4" t="s">
        <v>4283</v>
      </c>
      <c r="C4" t="str">
        <f t="shared" si="0"/>
        <v>('OPERACIONES',1),</v>
      </c>
    </row>
    <row r="5" spans="1:3" x14ac:dyDescent="0.25">
      <c r="A5">
        <v>4</v>
      </c>
      <c r="B5" t="s">
        <v>4285</v>
      </c>
      <c r="C5" t="str">
        <f t="shared" si="0"/>
        <v>('SERVICIO TÉCNICO',1),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53EA-5BFC-4ECF-B87B-DB339EEA9DE3}">
  <dimension ref="A1:C30"/>
  <sheetViews>
    <sheetView workbookViewId="0">
      <selection activeCell="A20" sqref="A20:B20"/>
    </sheetView>
  </sheetViews>
  <sheetFormatPr baseColWidth="10" defaultRowHeight="15" x14ac:dyDescent="0.25"/>
  <cols>
    <col min="2" max="2" width="51.42578125" bestFit="1" customWidth="1"/>
    <col min="3" max="3" width="56" bestFit="1" customWidth="1"/>
  </cols>
  <sheetData>
    <row r="1" spans="1:3" x14ac:dyDescent="0.25">
      <c r="B1" t="s">
        <v>4280</v>
      </c>
    </row>
    <row r="2" spans="1:3" x14ac:dyDescent="0.25">
      <c r="A2">
        <v>1</v>
      </c>
      <c r="B2" t="s">
        <v>4279</v>
      </c>
      <c r="C2" t="str">
        <f>_xlfn.CONCAT("('",B2,"',","1),")</f>
        <v>('GERENCIA',1),</v>
      </c>
    </row>
    <row r="3" spans="1:3" x14ac:dyDescent="0.25">
      <c r="A3">
        <v>2</v>
      </c>
      <c r="B3" t="s">
        <v>4284</v>
      </c>
      <c r="C3" t="str">
        <f t="shared" ref="C3:C30" si="0">_xlfn.CONCAT("('",B3,"',","1),")</f>
        <v>('TESORERÍA',1),</v>
      </c>
    </row>
    <row r="4" spans="1:3" x14ac:dyDescent="0.25">
      <c r="A4">
        <v>3</v>
      </c>
      <c r="B4" t="s">
        <v>4286</v>
      </c>
      <c r="C4" t="str">
        <f t="shared" si="0"/>
        <v>('ÁREA TÉCNICA',1),</v>
      </c>
    </row>
    <row r="5" spans="1:3" x14ac:dyDescent="0.25">
      <c r="A5">
        <v>4</v>
      </c>
      <c r="B5" t="s">
        <v>4287</v>
      </c>
      <c r="C5" t="str">
        <f t="shared" si="0"/>
        <v>('TI',1),</v>
      </c>
    </row>
    <row r="6" spans="1:3" x14ac:dyDescent="0.25">
      <c r="A6">
        <v>5</v>
      </c>
      <c r="B6" t="s">
        <v>4288</v>
      </c>
      <c r="C6" t="str">
        <f t="shared" si="0"/>
        <v>('CAMPO',1),</v>
      </c>
    </row>
    <row r="7" spans="1:3" x14ac:dyDescent="0.25">
      <c r="A7">
        <v>6</v>
      </c>
      <c r="B7" t="s">
        <v>4289</v>
      </c>
      <c r="C7" t="str">
        <f t="shared" si="0"/>
        <v>('SERVICIOS GENERALES',1),</v>
      </c>
    </row>
    <row r="8" spans="1:3" x14ac:dyDescent="0.25">
      <c r="A8">
        <v>7</v>
      </c>
      <c r="B8" t="s">
        <v>4290</v>
      </c>
      <c r="C8" t="str">
        <f t="shared" si="0"/>
        <v>('ARRIENDO',1),</v>
      </c>
    </row>
    <row r="9" spans="1:3" x14ac:dyDescent="0.25">
      <c r="A9">
        <v>8</v>
      </c>
      <c r="B9" t="s">
        <v>4291</v>
      </c>
      <c r="C9" t="str">
        <f t="shared" si="0"/>
        <v>('COMPRAS',1),</v>
      </c>
    </row>
    <row r="10" spans="1:3" x14ac:dyDescent="0.25">
      <c r="A10">
        <v>9</v>
      </c>
      <c r="B10" t="s">
        <v>4292</v>
      </c>
      <c r="C10" t="str">
        <f t="shared" si="0"/>
        <v>('TALLER',1),</v>
      </c>
    </row>
    <row r="11" spans="1:3" x14ac:dyDescent="0.25">
      <c r="A11">
        <v>10</v>
      </c>
      <c r="B11" t="s">
        <v>1777</v>
      </c>
      <c r="C11" t="str">
        <f t="shared" si="0"/>
        <v>('CRÉDITOS, COBRANZAS Y APALANCAMIENTO FINANCIERO',1),</v>
      </c>
    </row>
    <row r="12" spans="1:3" x14ac:dyDescent="0.25">
      <c r="A12">
        <v>11</v>
      </c>
      <c r="B12" t="s">
        <v>4293</v>
      </c>
      <c r="C12" t="str">
        <f t="shared" si="0"/>
        <v>('CAPACITA',1),</v>
      </c>
    </row>
    <row r="13" spans="1:3" x14ac:dyDescent="0.25">
      <c r="A13">
        <v>12</v>
      </c>
      <c r="B13" t="s">
        <v>4294</v>
      </c>
      <c r="C13" t="str">
        <f t="shared" si="0"/>
        <v>('VENTA DE USADOS',1),</v>
      </c>
    </row>
    <row r="14" spans="1:3" x14ac:dyDescent="0.25">
      <c r="A14">
        <v>13</v>
      </c>
      <c r="B14" t="s">
        <v>4295</v>
      </c>
      <c r="C14" t="str">
        <f t="shared" si="0"/>
        <v>('REPUESTOS',1),</v>
      </c>
    </row>
    <row r="15" spans="1:3" x14ac:dyDescent="0.25">
      <c r="A15">
        <v>14</v>
      </c>
      <c r="B15" t="s">
        <v>4296</v>
      </c>
      <c r="C15" t="str">
        <f t="shared" si="0"/>
        <v>('EQUIPOS Y CONTRATOS',1),</v>
      </c>
    </row>
    <row r="16" spans="1:3" x14ac:dyDescent="0.25">
      <c r="A16">
        <v>15</v>
      </c>
      <c r="B16" t="s">
        <v>4297</v>
      </c>
      <c r="C16" t="str">
        <f t="shared" si="0"/>
        <v>('PLANEAMIENTO',1),</v>
      </c>
    </row>
    <row r="17" spans="1:3" x14ac:dyDescent="0.25">
      <c r="A17">
        <v>16</v>
      </c>
      <c r="B17" t="s">
        <v>4298</v>
      </c>
      <c r="C17" t="str">
        <f t="shared" si="0"/>
        <v>('ALMACENES',1),</v>
      </c>
    </row>
    <row r="18" spans="1:3" x14ac:dyDescent="0.25">
      <c r="A18">
        <v>17</v>
      </c>
      <c r="B18" t="s">
        <v>4299</v>
      </c>
      <c r="C18" t="str">
        <f t="shared" si="0"/>
        <v>('DISTRIBUCIÓN',1),</v>
      </c>
    </row>
    <row r="19" spans="1:3" x14ac:dyDescent="0.25">
      <c r="A19">
        <v>18</v>
      </c>
      <c r="B19" t="s">
        <v>4300</v>
      </c>
      <c r="C19" t="str">
        <f t="shared" si="0"/>
        <v>('FINANZAS',1),</v>
      </c>
    </row>
    <row r="20" spans="1:3" x14ac:dyDescent="0.25">
      <c r="A20">
        <v>19</v>
      </c>
      <c r="B20" t="s">
        <v>4301</v>
      </c>
      <c r="C20" t="str">
        <f t="shared" si="0"/>
        <v>('RECURSOS HUMANOS',1),</v>
      </c>
    </row>
    <row r="21" spans="1:3" x14ac:dyDescent="0.25">
      <c r="A21">
        <v>20</v>
      </c>
      <c r="B21" t="s">
        <v>4302</v>
      </c>
      <c r="C21" t="str">
        <f t="shared" si="0"/>
        <v>('PLANIFICACIÓN Y CONTROL',1),</v>
      </c>
    </row>
    <row r="22" spans="1:3" x14ac:dyDescent="0.25">
      <c r="A22">
        <v>21</v>
      </c>
      <c r="B22" t="s">
        <v>4303</v>
      </c>
      <c r="C22" t="str">
        <f t="shared" si="0"/>
        <v>('SISTEMA INTEGRADO DE GESTIÓN',1),</v>
      </c>
    </row>
    <row r="23" spans="1:3" x14ac:dyDescent="0.25">
      <c r="A23">
        <v>22</v>
      </c>
      <c r="B23" t="s">
        <v>4304</v>
      </c>
      <c r="C23" t="str">
        <f t="shared" si="0"/>
        <v>('VALORACIONES Y FACTURACION',1),</v>
      </c>
    </row>
    <row r="24" spans="1:3" x14ac:dyDescent="0.25">
      <c r="A24">
        <v>23</v>
      </c>
      <c r="B24" t="s">
        <v>4305</v>
      </c>
      <c r="C24" t="str">
        <f t="shared" si="0"/>
        <v>('MARKETING',1),</v>
      </c>
    </row>
    <row r="25" spans="1:3" x14ac:dyDescent="0.25">
      <c r="A25">
        <v>24</v>
      </c>
      <c r="B25" t="s">
        <v>4306</v>
      </c>
      <c r="C25" t="str">
        <f t="shared" si="0"/>
        <v>('CONTABILIDAD',1),</v>
      </c>
    </row>
    <row r="26" spans="1:3" x14ac:dyDescent="0.25">
      <c r="A26">
        <v>25</v>
      </c>
      <c r="B26" t="s">
        <v>4307</v>
      </c>
      <c r="C26" t="str">
        <f t="shared" si="0"/>
        <v>('INNOVACIÓN',1),</v>
      </c>
    </row>
    <row r="27" spans="1:3" x14ac:dyDescent="0.25">
      <c r="A27">
        <v>26</v>
      </c>
      <c r="B27" t="s">
        <v>4308</v>
      </c>
      <c r="C27" t="str">
        <f t="shared" si="0"/>
        <v>('INTELIGENCIA COMERCIAL',1),</v>
      </c>
    </row>
    <row r="28" spans="1:3" x14ac:dyDescent="0.25">
      <c r="A28">
        <v>27</v>
      </c>
      <c r="B28" t="s">
        <v>4309</v>
      </c>
      <c r="C28" t="str">
        <f t="shared" si="0"/>
        <v>('COORDINACIÓN COMERCIAL',1),</v>
      </c>
    </row>
    <row r="29" spans="1:3" x14ac:dyDescent="0.25">
      <c r="A29">
        <v>28</v>
      </c>
      <c r="B29" t="s">
        <v>4310</v>
      </c>
      <c r="C29" t="str">
        <f t="shared" si="0"/>
        <v>('SSOMA',1),</v>
      </c>
    </row>
    <row r="30" spans="1:3" x14ac:dyDescent="0.25">
      <c r="A30">
        <v>29</v>
      </c>
      <c r="B30" t="s">
        <v>4311</v>
      </c>
      <c r="C30" t="str">
        <f t="shared" si="0"/>
        <v>('LEGAL',1),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8CB2-AB0C-41FE-AA67-E28DFDFB8100}">
  <dimension ref="A1:B225"/>
  <sheetViews>
    <sheetView topLeftCell="A94" workbookViewId="0">
      <selection activeCell="A119" sqref="A119:B119"/>
    </sheetView>
  </sheetViews>
  <sheetFormatPr baseColWidth="10" defaultRowHeight="15" x14ac:dyDescent="0.25"/>
  <sheetData>
    <row r="1" spans="1:2" x14ac:dyDescent="0.25">
      <c r="B1" t="s">
        <v>7292</v>
      </c>
    </row>
    <row r="2" spans="1:2" x14ac:dyDescent="0.25">
      <c r="A2">
        <v>1</v>
      </c>
      <c r="B2" t="s">
        <v>7293</v>
      </c>
    </row>
    <row r="3" spans="1:2" x14ac:dyDescent="0.25">
      <c r="A3">
        <v>2</v>
      </c>
      <c r="B3" t="s">
        <v>7294</v>
      </c>
    </row>
    <row r="4" spans="1:2" x14ac:dyDescent="0.25">
      <c r="A4">
        <v>3</v>
      </c>
      <c r="B4" t="s">
        <v>7295</v>
      </c>
    </row>
    <row r="5" spans="1:2" x14ac:dyDescent="0.25">
      <c r="A5">
        <v>4</v>
      </c>
      <c r="B5" t="s">
        <v>7296</v>
      </c>
    </row>
    <row r="6" spans="1:2" x14ac:dyDescent="0.25">
      <c r="A6">
        <v>5</v>
      </c>
      <c r="B6" t="s">
        <v>7297</v>
      </c>
    </row>
    <row r="7" spans="1:2" x14ac:dyDescent="0.25">
      <c r="A7">
        <v>6</v>
      </c>
      <c r="B7" t="s">
        <v>7298</v>
      </c>
    </row>
    <row r="8" spans="1:2" x14ac:dyDescent="0.25">
      <c r="A8">
        <v>7</v>
      </c>
      <c r="B8" t="s">
        <v>7299</v>
      </c>
    </row>
    <row r="9" spans="1:2" x14ac:dyDescent="0.25">
      <c r="A9">
        <v>8</v>
      </c>
      <c r="B9" t="s">
        <v>7300</v>
      </c>
    </row>
    <row r="10" spans="1:2" x14ac:dyDescent="0.25">
      <c r="A10">
        <v>9</v>
      </c>
      <c r="B10" t="s">
        <v>7301</v>
      </c>
    </row>
    <row r="11" spans="1:2" x14ac:dyDescent="0.25">
      <c r="A11">
        <v>10</v>
      </c>
      <c r="B11" t="s">
        <v>7302</v>
      </c>
    </row>
    <row r="12" spans="1:2" x14ac:dyDescent="0.25">
      <c r="A12">
        <v>11</v>
      </c>
      <c r="B12" t="s">
        <v>7303</v>
      </c>
    </row>
    <row r="13" spans="1:2" x14ac:dyDescent="0.25">
      <c r="A13">
        <v>12</v>
      </c>
      <c r="B13" t="s">
        <v>7304</v>
      </c>
    </row>
    <row r="14" spans="1:2" x14ac:dyDescent="0.25">
      <c r="A14">
        <v>13</v>
      </c>
      <c r="B14" t="s">
        <v>7305</v>
      </c>
    </row>
    <row r="15" spans="1:2" x14ac:dyDescent="0.25">
      <c r="A15">
        <v>14</v>
      </c>
      <c r="B15" t="s">
        <v>7306</v>
      </c>
    </row>
    <row r="16" spans="1:2" x14ac:dyDescent="0.25">
      <c r="A16">
        <v>15</v>
      </c>
      <c r="B16" t="s">
        <v>7307</v>
      </c>
    </row>
    <row r="17" spans="1:2" x14ac:dyDescent="0.25">
      <c r="A17">
        <v>16</v>
      </c>
      <c r="B17" t="s">
        <v>7308</v>
      </c>
    </row>
    <row r="18" spans="1:2" x14ac:dyDescent="0.25">
      <c r="A18">
        <v>17</v>
      </c>
      <c r="B18" t="s">
        <v>7309</v>
      </c>
    </row>
    <row r="19" spans="1:2" x14ac:dyDescent="0.25">
      <c r="A19">
        <v>18</v>
      </c>
      <c r="B19" t="s">
        <v>7310</v>
      </c>
    </row>
    <row r="20" spans="1:2" x14ac:dyDescent="0.25">
      <c r="A20">
        <v>19</v>
      </c>
      <c r="B20" t="s">
        <v>7311</v>
      </c>
    </row>
    <row r="21" spans="1:2" x14ac:dyDescent="0.25">
      <c r="A21">
        <v>20</v>
      </c>
      <c r="B21" t="s">
        <v>7312</v>
      </c>
    </row>
    <row r="22" spans="1:2" x14ac:dyDescent="0.25">
      <c r="A22">
        <v>21</v>
      </c>
      <c r="B22" t="s">
        <v>7313</v>
      </c>
    </row>
    <row r="23" spans="1:2" x14ac:dyDescent="0.25">
      <c r="A23">
        <v>22</v>
      </c>
      <c r="B23" t="s">
        <v>7314</v>
      </c>
    </row>
    <row r="24" spans="1:2" x14ac:dyDescent="0.25">
      <c r="A24">
        <v>23</v>
      </c>
      <c r="B24" t="s">
        <v>7315</v>
      </c>
    </row>
    <row r="25" spans="1:2" x14ac:dyDescent="0.25">
      <c r="A25">
        <v>24</v>
      </c>
      <c r="B25" t="s">
        <v>7316</v>
      </c>
    </row>
    <row r="26" spans="1:2" x14ac:dyDescent="0.25">
      <c r="A26">
        <v>25</v>
      </c>
      <c r="B26" t="s">
        <v>7317</v>
      </c>
    </row>
    <row r="27" spans="1:2" x14ac:dyDescent="0.25">
      <c r="A27">
        <v>26</v>
      </c>
      <c r="B27" t="s">
        <v>7318</v>
      </c>
    </row>
    <row r="28" spans="1:2" x14ac:dyDescent="0.25">
      <c r="A28">
        <v>27</v>
      </c>
      <c r="B28" t="s">
        <v>7319</v>
      </c>
    </row>
    <row r="29" spans="1:2" x14ac:dyDescent="0.25">
      <c r="A29">
        <v>28</v>
      </c>
      <c r="B29" t="s">
        <v>7320</v>
      </c>
    </row>
    <row r="30" spans="1:2" x14ac:dyDescent="0.25">
      <c r="A30">
        <v>29</v>
      </c>
      <c r="B30" t="s">
        <v>7321</v>
      </c>
    </row>
    <row r="31" spans="1:2" x14ac:dyDescent="0.25">
      <c r="A31">
        <v>30</v>
      </c>
      <c r="B31" t="s">
        <v>7322</v>
      </c>
    </row>
    <row r="32" spans="1:2" x14ac:dyDescent="0.25">
      <c r="A32">
        <v>31</v>
      </c>
      <c r="B32" t="s">
        <v>7323</v>
      </c>
    </row>
    <row r="33" spans="1:2" x14ac:dyDescent="0.25">
      <c r="A33">
        <v>32</v>
      </c>
      <c r="B33" t="s">
        <v>7324</v>
      </c>
    </row>
    <row r="34" spans="1:2" x14ac:dyDescent="0.25">
      <c r="A34">
        <v>33</v>
      </c>
      <c r="B34" t="s">
        <v>7325</v>
      </c>
    </row>
    <row r="35" spans="1:2" x14ac:dyDescent="0.25">
      <c r="A35">
        <v>34</v>
      </c>
      <c r="B35" t="s">
        <v>7326</v>
      </c>
    </row>
    <row r="36" spans="1:2" x14ac:dyDescent="0.25">
      <c r="A36">
        <v>35</v>
      </c>
      <c r="B36" t="s">
        <v>7327</v>
      </c>
    </row>
    <row r="37" spans="1:2" x14ac:dyDescent="0.25">
      <c r="A37">
        <v>36</v>
      </c>
      <c r="B37" t="s">
        <v>7328</v>
      </c>
    </row>
    <row r="38" spans="1:2" x14ac:dyDescent="0.25">
      <c r="A38">
        <v>37</v>
      </c>
      <c r="B38" t="s">
        <v>7329</v>
      </c>
    </row>
    <row r="39" spans="1:2" x14ac:dyDescent="0.25">
      <c r="A39">
        <v>38</v>
      </c>
      <c r="B39" t="s">
        <v>7330</v>
      </c>
    </row>
    <row r="40" spans="1:2" x14ac:dyDescent="0.25">
      <c r="A40">
        <v>39</v>
      </c>
      <c r="B40" t="s">
        <v>7331</v>
      </c>
    </row>
    <row r="41" spans="1:2" x14ac:dyDescent="0.25">
      <c r="A41">
        <v>40</v>
      </c>
      <c r="B41" t="s">
        <v>7332</v>
      </c>
    </row>
    <row r="42" spans="1:2" x14ac:dyDescent="0.25">
      <c r="A42">
        <v>41</v>
      </c>
      <c r="B42" t="s">
        <v>7333</v>
      </c>
    </row>
    <row r="43" spans="1:2" x14ac:dyDescent="0.25">
      <c r="A43">
        <v>42</v>
      </c>
      <c r="B43" t="s">
        <v>7334</v>
      </c>
    </row>
    <row r="44" spans="1:2" x14ac:dyDescent="0.25">
      <c r="A44">
        <v>43</v>
      </c>
      <c r="B44" t="s">
        <v>7335</v>
      </c>
    </row>
    <row r="45" spans="1:2" x14ac:dyDescent="0.25">
      <c r="A45">
        <v>44</v>
      </c>
      <c r="B45" t="s">
        <v>7336</v>
      </c>
    </row>
    <row r="46" spans="1:2" x14ac:dyDescent="0.25">
      <c r="A46">
        <v>45</v>
      </c>
      <c r="B46" t="s">
        <v>7337</v>
      </c>
    </row>
    <row r="47" spans="1:2" x14ac:dyDescent="0.25">
      <c r="A47">
        <v>46</v>
      </c>
      <c r="B47" t="s">
        <v>7338</v>
      </c>
    </row>
    <row r="48" spans="1:2" x14ac:dyDescent="0.25">
      <c r="A48">
        <v>47</v>
      </c>
      <c r="B48" t="s">
        <v>7339</v>
      </c>
    </row>
    <row r="49" spans="1:2" x14ac:dyDescent="0.25">
      <c r="A49">
        <v>48</v>
      </c>
      <c r="B49" t="s">
        <v>7340</v>
      </c>
    </row>
    <row r="50" spans="1:2" x14ac:dyDescent="0.25">
      <c r="A50">
        <v>49</v>
      </c>
      <c r="B50" t="s">
        <v>7341</v>
      </c>
    </row>
    <row r="51" spans="1:2" x14ac:dyDescent="0.25">
      <c r="A51">
        <v>50</v>
      </c>
      <c r="B51" t="s">
        <v>7342</v>
      </c>
    </row>
    <row r="52" spans="1:2" x14ac:dyDescent="0.25">
      <c r="A52">
        <v>51</v>
      </c>
      <c r="B52" t="s">
        <v>7343</v>
      </c>
    </row>
    <row r="53" spans="1:2" x14ac:dyDescent="0.25">
      <c r="A53">
        <v>52</v>
      </c>
      <c r="B53" t="s">
        <v>7344</v>
      </c>
    </row>
    <row r="54" spans="1:2" x14ac:dyDescent="0.25">
      <c r="A54">
        <v>53</v>
      </c>
      <c r="B54" t="s">
        <v>7345</v>
      </c>
    </row>
    <row r="55" spans="1:2" x14ac:dyDescent="0.25">
      <c r="A55">
        <v>54</v>
      </c>
      <c r="B55" t="s">
        <v>7346</v>
      </c>
    </row>
    <row r="56" spans="1:2" x14ac:dyDescent="0.25">
      <c r="A56">
        <v>55</v>
      </c>
      <c r="B56" t="s">
        <v>7347</v>
      </c>
    </row>
    <row r="57" spans="1:2" x14ac:dyDescent="0.25">
      <c r="A57">
        <v>56</v>
      </c>
      <c r="B57" t="s">
        <v>7348</v>
      </c>
    </row>
    <row r="58" spans="1:2" x14ac:dyDescent="0.25">
      <c r="A58">
        <v>57</v>
      </c>
      <c r="B58" t="s">
        <v>7349</v>
      </c>
    </row>
    <row r="59" spans="1:2" x14ac:dyDescent="0.25">
      <c r="A59">
        <v>58</v>
      </c>
      <c r="B59" t="s">
        <v>7350</v>
      </c>
    </row>
    <row r="60" spans="1:2" x14ac:dyDescent="0.25">
      <c r="A60">
        <v>59</v>
      </c>
      <c r="B60" t="s">
        <v>7351</v>
      </c>
    </row>
    <row r="61" spans="1:2" x14ac:dyDescent="0.25">
      <c r="A61">
        <v>60</v>
      </c>
      <c r="B61" t="s">
        <v>7352</v>
      </c>
    </row>
    <row r="62" spans="1:2" x14ac:dyDescent="0.25">
      <c r="A62">
        <v>61</v>
      </c>
      <c r="B62" t="s">
        <v>7353</v>
      </c>
    </row>
    <row r="63" spans="1:2" x14ac:dyDescent="0.25">
      <c r="A63">
        <v>62</v>
      </c>
      <c r="B63" t="s">
        <v>7354</v>
      </c>
    </row>
    <row r="64" spans="1:2" x14ac:dyDescent="0.25">
      <c r="A64">
        <v>63</v>
      </c>
      <c r="B64" t="s">
        <v>7355</v>
      </c>
    </row>
    <row r="65" spans="1:2" x14ac:dyDescent="0.25">
      <c r="A65">
        <v>64</v>
      </c>
      <c r="B65" t="s">
        <v>7356</v>
      </c>
    </row>
    <row r="66" spans="1:2" x14ac:dyDescent="0.25">
      <c r="A66">
        <v>65</v>
      </c>
      <c r="B66" t="s">
        <v>7357</v>
      </c>
    </row>
    <row r="67" spans="1:2" x14ac:dyDescent="0.25">
      <c r="A67">
        <v>66</v>
      </c>
      <c r="B67" t="s">
        <v>7358</v>
      </c>
    </row>
    <row r="68" spans="1:2" x14ac:dyDescent="0.25">
      <c r="A68">
        <v>67</v>
      </c>
      <c r="B68" t="s">
        <v>7359</v>
      </c>
    </row>
    <row r="69" spans="1:2" x14ac:dyDescent="0.25">
      <c r="A69">
        <v>68</v>
      </c>
      <c r="B69" t="s">
        <v>7360</v>
      </c>
    </row>
    <row r="70" spans="1:2" x14ac:dyDescent="0.25">
      <c r="A70">
        <v>69</v>
      </c>
      <c r="B70" t="s">
        <v>7361</v>
      </c>
    </row>
    <row r="71" spans="1:2" x14ac:dyDescent="0.25">
      <c r="A71">
        <v>70</v>
      </c>
      <c r="B71" t="s">
        <v>7362</v>
      </c>
    </row>
    <row r="72" spans="1:2" x14ac:dyDescent="0.25">
      <c r="A72">
        <v>71</v>
      </c>
      <c r="B72" t="s">
        <v>7363</v>
      </c>
    </row>
    <row r="73" spans="1:2" x14ac:dyDescent="0.25">
      <c r="A73">
        <v>72</v>
      </c>
      <c r="B73" t="s">
        <v>7364</v>
      </c>
    </row>
    <row r="74" spans="1:2" x14ac:dyDescent="0.25">
      <c r="A74">
        <v>73</v>
      </c>
      <c r="B74" t="s">
        <v>7365</v>
      </c>
    </row>
    <row r="75" spans="1:2" x14ac:dyDescent="0.25">
      <c r="A75">
        <v>74</v>
      </c>
      <c r="B75" t="s">
        <v>7366</v>
      </c>
    </row>
    <row r="76" spans="1:2" x14ac:dyDescent="0.25">
      <c r="A76">
        <v>75</v>
      </c>
      <c r="B76" t="s">
        <v>7367</v>
      </c>
    </row>
    <row r="77" spans="1:2" x14ac:dyDescent="0.25">
      <c r="A77">
        <v>76</v>
      </c>
      <c r="B77" t="s">
        <v>7368</v>
      </c>
    </row>
    <row r="78" spans="1:2" x14ac:dyDescent="0.25">
      <c r="A78">
        <v>77</v>
      </c>
      <c r="B78" t="s">
        <v>7369</v>
      </c>
    </row>
    <row r="79" spans="1:2" x14ac:dyDescent="0.25">
      <c r="A79">
        <v>78</v>
      </c>
      <c r="B79" t="s">
        <v>7370</v>
      </c>
    </row>
    <row r="80" spans="1:2" x14ac:dyDescent="0.25">
      <c r="A80">
        <v>79</v>
      </c>
      <c r="B80" t="s">
        <v>7371</v>
      </c>
    </row>
    <row r="81" spans="1:2" x14ac:dyDescent="0.25">
      <c r="A81">
        <v>80</v>
      </c>
      <c r="B81" t="s">
        <v>7372</v>
      </c>
    </row>
    <row r="82" spans="1:2" x14ac:dyDescent="0.25">
      <c r="A82">
        <v>81</v>
      </c>
      <c r="B82" t="s">
        <v>7373</v>
      </c>
    </row>
    <row r="83" spans="1:2" x14ac:dyDescent="0.25">
      <c r="A83">
        <v>82</v>
      </c>
      <c r="B83" t="s">
        <v>7374</v>
      </c>
    </row>
    <row r="84" spans="1:2" x14ac:dyDescent="0.25">
      <c r="A84">
        <v>83</v>
      </c>
      <c r="B84" t="s">
        <v>7375</v>
      </c>
    </row>
    <row r="85" spans="1:2" x14ac:dyDescent="0.25">
      <c r="A85">
        <v>84</v>
      </c>
      <c r="B85" t="s">
        <v>7376</v>
      </c>
    </row>
    <row r="86" spans="1:2" x14ac:dyDescent="0.25">
      <c r="A86">
        <v>85</v>
      </c>
      <c r="B86" t="s">
        <v>7377</v>
      </c>
    </row>
    <row r="87" spans="1:2" x14ac:dyDescent="0.25">
      <c r="A87">
        <v>86</v>
      </c>
      <c r="B87" t="s">
        <v>7378</v>
      </c>
    </row>
    <row r="88" spans="1:2" x14ac:dyDescent="0.25">
      <c r="A88">
        <v>87</v>
      </c>
      <c r="B88" t="s">
        <v>7379</v>
      </c>
    </row>
    <row r="89" spans="1:2" x14ac:dyDescent="0.25">
      <c r="A89">
        <v>88</v>
      </c>
      <c r="B89" t="s">
        <v>7380</v>
      </c>
    </row>
    <row r="90" spans="1:2" x14ac:dyDescent="0.25">
      <c r="A90">
        <v>89</v>
      </c>
      <c r="B90" t="s">
        <v>7381</v>
      </c>
    </row>
    <row r="91" spans="1:2" x14ac:dyDescent="0.25">
      <c r="A91">
        <v>90</v>
      </c>
      <c r="B91" t="s">
        <v>7382</v>
      </c>
    </row>
    <row r="92" spans="1:2" x14ac:dyDescent="0.25">
      <c r="A92">
        <v>91</v>
      </c>
      <c r="B92" t="s">
        <v>7383</v>
      </c>
    </row>
    <row r="93" spans="1:2" x14ac:dyDescent="0.25">
      <c r="A93">
        <v>92</v>
      </c>
      <c r="B93" t="s">
        <v>7384</v>
      </c>
    </row>
    <row r="94" spans="1:2" x14ac:dyDescent="0.25">
      <c r="A94">
        <v>93</v>
      </c>
      <c r="B94" t="s">
        <v>7385</v>
      </c>
    </row>
    <row r="95" spans="1:2" x14ac:dyDescent="0.25">
      <c r="A95">
        <v>94</v>
      </c>
      <c r="B95" t="s">
        <v>7386</v>
      </c>
    </row>
    <row r="96" spans="1:2" x14ac:dyDescent="0.25">
      <c r="A96">
        <v>95</v>
      </c>
      <c r="B96" t="s">
        <v>7387</v>
      </c>
    </row>
    <row r="97" spans="1:2" x14ac:dyDescent="0.25">
      <c r="A97">
        <v>96</v>
      </c>
      <c r="B97" t="s">
        <v>7388</v>
      </c>
    </row>
    <row r="98" spans="1:2" x14ac:dyDescent="0.25">
      <c r="A98">
        <v>97</v>
      </c>
      <c r="B98" t="s">
        <v>7389</v>
      </c>
    </row>
    <row r="99" spans="1:2" x14ac:dyDescent="0.25">
      <c r="A99">
        <v>98</v>
      </c>
      <c r="B99" t="s">
        <v>7390</v>
      </c>
    </row>
    <row r="100" spans="1:2" x14ac:dyDescent="0.25">
      <c r="A100">
        <v>99</v>
      </c>
      <c r="B100" t="s">
        <v>7391</v>
      </c>
    </row>
    <row r="101" spans="1:2" x14ac:dyDescent="0.25">
      <c r="A101">
        <v>100</v>
      </c>
      <c r="B101" t="s">
        <v>7392</v>
      </c>
    </row>
    <row r="102" spans="1:2" x14ac:dyDescent="0.25">
      <c r="A102">
        <v>101</v>
      </c>
      <c r="B102" t="s">
        <v>7393</v>
      </c>
    </row>
    <row r="103" spans="1:2" x14ac:dyDescent="0.25">
      <c r="A103">
        <v>102</v>
      </c>
      <c r="B103" t="s">
        <v>7394</v>
      </c>
    </row>
    <row r="104" spans="1:2" x14ac:dyDescent="0.25">
      <c r="A104">
        <v>103</v>
      </c>
      <c r="B104" t="s">
        <v>7395</v>
      </c>
    </row>
    <row r="105" spans="1:2" x14ac:dyDescent="0.25">
      <c r="A105">
        <v>104</v>
      </c>
      <c r="B105" t="s">
        <v>7396</v>
      </c>
    </row>
    <row r="106" spans="1:2" x14ac:dyDescent="0.25">
      <c r="A106">
        <v>105</v>
      </c>
      <c r="B106" t="s">
        <v>7397</v>
      </c>
    </row>
    <row r="107" spans="1:2" x14ac:dyDescent="0.25">
      <c r="A107">
        <v>106</v>
      </c>
      <c r="B107" t="s">
        <v>7398</v>
      </c>
    </row>
    <row r="108" spans="1:2" x14ac:dyDescent="0.25">
      <c r="A108">
        <v>107</v>
      </c>
      <c r="B108" t="s">
        <v>7399</v>
      </c>
    </row>
    <row r="109" spans="1:2" x14ac:dyDescent="0.25">
      <c r="A109">
        <v>108</v>
      </c>
      <c r="B109" t="s">
        <v>7400</v>
      </c>
    </row>
    <row r="110" spans="1:2" x14ac:dyDescent="0.25">
      <c r="A110">
        <v>109</v>
      </c>
      <c r="B110" t="s">
        <v>7401</v>
      </c>
    </row>
    <row r="111" spans="1:2" x14ac:dyDescent="0.25">
      <c r="A111">
        <v>110</v>
      </c>
      <c r="B111" t="s">
        <v>7402</v>
      </c>
    </row>
    <row r="112" spans="1:2" x14ac:dyDescent="0.25">
      <c r="A112">
        <v>111</v>
      </c>
      <c r="B112" t="s">
        <v>7403</v>
      </c>
    </row>
    <row r="113" spans="1:2" x14ac:dyDescent="0.25">
      <c r="A113">
        <v>112</v>
      </c>
      <c r="B113" t="s">
        <v>7404</v>
      </c>
    </row>
    <row r="114" spans="1:2" x14ac:dyDescent="0.25">
      <c r="A114">
        <v>113</v>
      </c>
      <c r="B114" t="s">
        <v>7405</v>
      </c>
    </row>
    <row r="115" spans="1:2" x14ac:dyDescent="0.25">
      <c r="A115">
        <v>114</v>
      </c>
      <c r="B115" t="s">
        <v>7406</v>
      </c>
    </row>
    <row r="116" spans="1:2" x14ac:dyDescent="0.25">
      <c r="A116">
        <v>115</v>
      </c>
      <c r="B116" t="s">
        <v>7407</v>
      </c>
    </row>
    <row r="117" spans="1:2" x14ac:dyDescent="0.25">
      <c r="A117">
        <v>116</v>
      </c>
      <c r="B117" t="s">
        <v>7408</v>
      </c>
    </row>
    <row r="118" spans="1:2" x14ac:dyDescent="0.25">
      <c r="A118">
        <v>117</v>
      </c>
      <c r="B118" t="s">
        <v>7409</v>
      </c>
    </row>
    <row r="119" spans="1:2" x14ac:dyDescent="0.25">
      <c r="A119">
        <v>118</v>
      </c>
      <c r="B119" t="s">
        <v>7410</v>
      </c>
    </row>
    <row r="120" spans="1:2" x14ac:dyDescent="0.25">
      <c r="A120">
        <v>119</v>
      </c>
      <c r="B120" t="s">
        <v>7411</v>
      </c>
    </row>
    <row r="121" spans="1:2" x14ac:dyDescent="0.25">
      <c r="A121">
        <v>120</v>
      </c>
      <c r="B121" t="s">
        <v>7412</v>
      </c>
    </row>
    <row r="122" spans="1:2" x14ac:dyDescent="0.25">
      <c r="A122">
        <v>121</v>
      </c>
      <c r="B122" t="s">
        <v>7413</v>
      </c>
    </row>
    <row r="123" spans="1:2" x14ac:dyDescent="0.25">
      <c r="A123">
        <v>122</v>
      </c>
      <c r="B123" t="s">
        <v>7414</v>
      </c>
    </row>
    <row r="124" spans="1:2" x14ac:dyDescent="0.25">
      <c r="A124">
        <v>123</v>
      </c>
      <c r="B124" t="s">
        <v>7415</v>
      </c>
    </row>
    <row r="125" spans="1:2" x14ac:dyDescent="0.25">
      <c r="A125">
        <v>124</v>
      </c>
      <c r="B125" t="s">
        <v>7416</v>
      </c>
    </row>
    <row r="126" spans="1:2" x14ac:dyDescent="0.25">
      <c r="A126">
        <v>125</v>
      </c>
      <c r="B126" t="s">
        <v>7417</v>
      </c>
    </row>
    <row r="127" spans="1:2" x14ac:dyDescent="0.25">
      <c r="A127">
        <v>126</v>
      </c>
      <c r="B127" t="s">
        <v>7418</v>
      </c>
    </row>
    <row r="128" spans="1:2" x14ac:dyDescent="0.25">
      <c r="A128">
        <v>127</v>
      </c>
      <c r="B128" t="s">
        <v>7419</v>
      </c>
    </row>
    <row r="129" spans="1:2" x14ac:dyDescent="0.25">
      <c r="A129">
        <v>128</v>
      </c>
      <c r="B129" t="s">
        <v>7420</v>
      </c>
    </row>
    <row r="130" spans="1:2" x14ac:dyDescent="0.25">
      <c r="A130">
        <v>129</v>
      </c>
      <c r="B130" t="s">
        <v>7421</v>
      </c>
    </row>
    <row r="131" spans="1:2" x14ac:dyDescent="0.25">
      <c r="A131">
        <v>130</v>
      </c>
      <c r="B131" t="s">
        <v>7422</v>
      </c>
    </row>
    <row r="132" spans="1:2" x14ac:dyDescent="0.25">
      <c r="A132">
        <v>131</v>
      </c>
      <c r="B132" t="s">
        <v>7423</v>
      </c>
    </row>
    <row r="133" spans="1:2" x14ac:dyDescent="0.25">
      <c r="A133">
        <v>132</v>
      </c>
      <c r="B133" t="s">
        <v>7424</v>
      </c>
    </row>
    <row r="134" spans="1:2" x14ac:dyDescent="0.25">
      <c r="A134">
        <v>133</v>
      </c>
      <c r="B134" t="s">
        <v>7425</v>
      </c>
    </row>
    <row r="135" spans="1:2" x14ac:dyDescent="0.25">
      <c r="A135">
        <v>134</v>
      </c>
      <c r="B135" t="s">
        <v>7426</v>
      </c>
    </row>
    <row r="136" spans="1:2" x14ac:dyDescent="0.25">
      <c r="A136">
        <v>135</v>
      </c>
      <c r="B136" t="s">
        <v>7427</v>
      </c>
    </row>
    <row r="137" spans="1:2" x14ac:dyDescent="0.25">
      <c r="A137">
        <v>136</v>
      </c>
      <c r="B137" t="s">
        <v>7428</v>
      </c>
    </row>
    <row r="138" spans="1:2" x14ac:dyDescent="0.25">
      <c r="A138">
        <v>137</v>
      </c>
      <c r="B138" t="s">
        <v>7429</v>
      </c>
    </row>
    <row r="139" spans="1:2" x14ac:dyDescent="0.25">
      <c r="A139">
        <v>138</v>
      </c>
      <c r="B139" t="s">
        <v>7430</v>
      </c>
    </row>
    <row r="140" spans="1:2" x14ac:dyDescent="0.25">
      <c r="A140">
        <v>139</v>
      </c>
      <c r="B140" t="s">
        <v>7431</v>
      </c>
    </row>
    <row r="141" spans="1:2" x14ac:dyDescent="0.25">
      <c r="A141">
        <v>140</v>
      </c>
      <c r="B141" t="s">
        <v>7432</v>
      </c>
    </row>
    <row r="142" spans="1:2" x14ac:dyDescent="0.25">
      <c r="A142">
        <v>141</v>
      </c>
      <c r="B142" t="s">
        <v>7433</v>
      </c>
    </row>
    <row r="143" spans="1:2" x14ac:dyDescent="0.25">
      <c r="A143">
        <v>142</v>
      </c>
      <c r="B143" t="s">
        <v>7434</v>
      </c>
    </row>
    <row r="144" spans="1:2" x14ac:dyDescent="0.25">
      <c r="A144">
        <v>143</v>
      </c>
      <c r="B144" t="s">
        <v>7435</v>
      </c>
    </row>
    <row r="145" spans="1:2" x14ac:dyDescent="0.25">
      <c r="A145">
        <v>144</v>
      </c>
      <c r="B145" t="s">
        <v>7436</v>
      </c>
    </row>
    <row r="146" spans="1:2" x14ac:dyDescent="0.25">
      <c r="A146">
        <v>145</v>
      </c>
      <c r="B146" t="s">
        <v>7437</v>
      </c>
    </row>
    <row r="147" spans="1:2" x14ac:dyDescent="0.25">
      <c r="A147">
        <v>146</v>
      </c>
      <c r="B147" t="s">
        <v>7438</v>
      </c>
    </row>
    <row r="148" spans="1:2" x14ac:dyDescent="0.25">
      <c r="A148">
        <v>147</v>
      </c>
      <c r="B148" t="s">
        <v>7439</v>
      </c>
    </row>
    <row r="149" spans="1:2" x14ac:dyDescent="0.25">
      <c r="A149">
        <v>148</v>
      </c>
      <c r="B149" t="s">
        <v>7440</v>
      </c>
    </row>
    <row r="150" spans="1:2" x14ac:dyDescent="0.25">
      <c r="A150">
        <v>149</v>
      </c>
      <c r="B150" t="s">
        <v>7441</v>
      </c>
    </row>
    <row r="151" spans="1:2" x14ac:dyDescent="0.25">
      <c r="A151">
        <v>150</v>
      </c>
      <c r="B151" t="s">
        <v>7442</v>
      </c>
    </row>
    <row r="152" spans="1:2" x14ac:dyDescent="0.25">
      <c r="A152">
        <v>151</v>
      </c>
      <c r="B152" t="s">
        <v>7443</v>
      </c>
    </row>
    <row r="153" spans="1:2" x14ac:dyDescent="0.25">
      <c r="A153">
        <v>152</v>
      </c>
      <c r="B153" t="s">
        <v>7444</v>
      </c>
    </row>
    <row r="154" spans="1:2" x14ac:dyDescent="0.25">
      <c r="A154">
        <v>153</v>
      </c>
      <c r="B154" t="s">
        <v>7445</v>
      </c>
    </row>
    <row r="155" spans="1:2" x14ac:dyDescent="0.25">
      <c r="A155">
        <v>154</v>
      </c>
      <c r="B155" t="s">
        <v>7446</v>
      </c>
    </row>
    <row r="156" spans="1:2" x14ac:dyDescent="0.25">
      <c r="A156">
        <v>155</v>
      </c>
      <c r="B156" t="s">
        <v>7447</v>
      </c>
    </row>
    <row r="157" spans="1:2" x14ac:dyDescent="0.25">
      <c r="A157">
        <v>156</v>
      </c>
      <c r="B157" t="s">
        <v>7448</v>
      </c>
    </row>
    <row r="158" spans="1:2" x14ac:dyDescent="0.25">
      <c r="A158">
        <v>157</v>
      </c>
      <c r="B158" t="s">
        <v>7449</v>
      </c>
    </row>
    <row r="159" spans="1:2" x14ac:dyDescent="0.25">
      <c r="A159">
        <v>158</v>
      </c>
      <c r="B159" t="s">
        <v>7450</v>
      </c>
    </row>
    <row r="160" spans="1:2" x14ac:dyDescent="0.25">
      <c r="A160">
        <v>159</v>
      </c>
      <c r="B160" t="s">
        <v>7451</v>
      </c>
    </row>
    <row r="161" spans="1:2" x14ac:dyDescent="0.25">
      <c r="A161">
        <v>160</v>
      </c>
      <c r="B161" t="s">
        <v>7452</v>
      </c>
    </row>
    <row r="162" spans="1:2" x14ac:dyDescent="0.25">
      <c r="A162">
        <v>161</v>
      </c>
      <c r="B162" t="s">
        <v>7453</v>
      </c>
    </row>
    <row r="163" spans="1:2" x14ac:dyDescent="0.25">
      <c r="A163">
        <v>162</v>
      </c>
      <c r="B163" t="s">
        <v>7454</v>
      </c>
    </row>
    <row r="164" spans="1:2" x14ac:dyDescent="0.25">
      <c r="A164">
        <v>163</v>
      </c>
      <c r="B164" t="s">
        <v>7455</v>
      </c>
    </row>
    <row r="165" spans="1:2" x14ac:dyDescent="0.25">
      <c r="A165">
        <v>164</v>
      </c>
      <c r="B165" t="s">
        <v>7456</v>
      </c>
    </row>
    <row r="166" spans="1:2" x14ac:dyDescent="0.25">
      <c r="A166">
        <v>165</v>
      </c>
      <c r="B166" t="s">
        <v>7457</v>
      </c>
    </row>
    <row r="167" spans="1:2" x14ac:dyDescent="0.25">
      <c r="A167">
        <v>166</v>
      </c>
      <c r="B167" t="s">
        <v>7458</v>
      </c>
    </row>
    <row r="168" spans="1:2" x14ac:dyDescent="0.25">
      <c r="A168">
        <v>167</v>
      </c>
      <c r="B168" t="s">
        <v>7459</v>
      </c>
    </row>
    <row r="169" spans="1:2" x14ac:dyDescent="0.25">
      <c r="A169">
        <v>168</v>
      </c>
      <c r="B169" t="s">
        <v>7460</v>
      </c>
    </row>
    <row r="170" spans="1:2" x14ac:dyDescent="0.25">
      <c r="A170">
        <v>169</v>
      </c>
      <c r="B170" t="s">
        <v>7461</v>
      </c>
    </row>
    <row r="171" spans="1:2" x14ac:dyDescent="0.25">
      <c r="A171">
        <v>170</v>
      </c>
      <c r="B171" t="s">
        <v>7462</v>
      </c>
    </row>
    <row r="172" spans="1:2" x14ac:dyDescent="0.25">
      <c r="A172">
        <v>171</v>
      </c>
      <c r="B172" t="s">
        <v>7463</v>
      </c>
    </row>
    <row r="173" spans="1:2" x14ac:dyDescent="0.25">
      <c r="A173">
        <v>172</v>
      </c>
      <c r="B173" t="s">
        <v>7464</v>
      </c>
    </row>
    <row r="174" spans="1:2" x14ac:dyDescent="0.25">
      <c r="A174">
        <v>173</v>
      </c>
      <c r="B174" t="s">
        <v>7465</v>
      </c>
    </row>
    <row r="175" spans="1:2" x14ac:dyDescent="0.25">
      <c r="A175">
        <v>174</v>
      </c>
      <c r="B175" t="s">
        <v>7466</v>
      </c>
    </row>
    <row r="176" spans="1:2" x14ac:dyDescent="0.25">
      <c r="A176">
        <v>175</v>
      </c>
      <c r="B176" t="s">
        <v>7467</v>
      </c>
    </row>
    <row r="177" spans="1:2" x14ac:dyDescent="0.25">
      <c r="A177">
        <v>176</v>
      </c>
      <c r="B177" t="s">
        <v>7468</v>
      </c>
    </row>
    <row r="178" spans="1:2" x14ac:dyDescent="0.25">
      <c r="A178">
        <v>177</v>
      </c>
      <c r="B178" t="s">
        <v>7469</v>
      </c>
    </row>
    <row r="179" spans="1:2" x14ac:dyDescent="0.25">
      <c r="A179">
        <v>178</v>
      </c>
      <c r="B179" t="s">
        <v>7470</v>
      </c>
    </row>
    <row r="180" spans="1:2" x14ac:dyDescent="0.25">
      <c r="A180">
        <v>179</v>
      </c>
      <c r="B180" t="s">
        <v>7471</v>
      </c>
    </row>
    <row r="181" spans="1:2" x14ac:dyDescent="0.25">
      <c r="A181">
        <v>180</v>
      </c>
      <c r="B181" t="s">
        <v>7472</v>
      </c>
    </row>
    <row r="182" spans="1:2" x14ac:dyDescent="0.25">
      <c r="A182">
        <v>181</v>
      </c>
      <c r="B182" t="s">
        <v>7473</v>
      </c>
    </row>
    <row r="183" spans="1:2" x14ac:dyDescent="0.25">
      <c r="A183">
        <v>182</v>
      </c>
      <c r="B183" t="s">
        <v>7474</v>
      </c>
    </row>
    <row r="184" spans="1:2" x14ac:dyDescent="0.25">
      <c r="A184">
        <v>183</v>
      </c>
      <c r="B184" t="s">
        <v>7475</v>
      </c>
    </row>
    <row r="185" spans="1:2" x14ac:dyDescent="0.25">
      <c r="A185">
        <v>184</v>
      </c>
      <c r="B185" t="s">
        <v>7476</v>
      </c>
    </row>
    <row r="186" spans="1:2" x14ac:dyDescent="0.25">
      <c r="A186">
        <v>185</v>
      </c>
      <c r="B186" t="s">
        <v>7477</v>
      </c>
    </row>
    <row r="187" spans="1:2" x14ac:dyDescent="0.25">
      <c r="A187">
        <v>186</v>
      </c>
      <c r="B187" t="s">
        <v>7478</v>
      </c>
    </row>
    <row r="188" spans="1:2" x14ac:dyDescent="0.25">
      <c r="A188">
        <v>187</v>
      </c>
      <c r="B188" t="s">
        <v>7479</v>
      </c>
    </row>
    <row r="189" spans="1:2" x14ac:dyDescent="0.25">
      <c r="A189">
        <v>188</v>
      </c>
      <c r="B189" t="s">
        <v>7480</v>
      </c>
    </row>
    <row r="190" spans="1:2" x14ac:dyDescent="0.25">
      <c r="A190">
        <v>189</v>
      </c>
      <c r="B190" t="s">
        <v>7481</v>
      </c>
    </row>
    <row r="191" spans="1:2" x14ac:dyDescent="0.25">
      <c r="A191">
        <v>190</v>
      </c>
      <c r="B191" t="s">
        <v>7482</v>
      </c>
    </row>
    <row r="192" spans="1:2" x14ac:dyDescent="0.25">
      <c r="A192">
        <v>191</v>
      </c>
      <c r="B192" t="s">
        <v>7483</v>
      </c>
    </row>
    <row r="193" spans="1:2" x14ac:dyDescent="0.25">
      <c r="A193">
        <v>192</v>
      </c>
      <c r="B193" t="s">
        <v>7484</v>
      </c>
    </row>
    <row r="194" spans="1:2" x14ac:dyDescent="0.25">
      <c r="A194">
        <v>193</v>
      </c>
      <c r="B194" t="s">
        <v>7485</v>
      </c>
    </row>
    <row r="195" spans="1:2" x14ac:dyDescent="0.25">
      <c r="A195">
        <v>194</v>
      </c>
      <c r="B195" t="s">
        <v>7486</v>
      </c>
    </row>
    <row r="196" spans="1:2" x14ac:dyDescent="0.25">
      <c r="A196">
        <v>195</v>
      </c>
      <c r="B196" t="s">
        <v>7487</v>
      </c>
    </row>
    <row r="197" spans="1:2" x14ac:dyDescent="0.25">
      <c r="A197">
        <v>196</v>
      </c>
      <c r="B197" t="s">
        <v>7488</v>
      </c>
    </row>
    <row r="198" spans="1:2" x14ac:dyDescent="0.25">
      <c r="A198">
        <v>197</v>
      </c>
      <c r="B198" t="s">
        <v>7489</v>
      </c>
    </row>
    <row r="199" spans="1:2" x14ac:dyDescent="0.25">
      <c r="A199">
        <v>198</v>
      </c>
      <c r="B199" t="s">
        <v>7490</v>
      </c>
    </row>
    <row r="200" spans="1:2" x14ac:dyDescent="0.25">
      <c r="A200">
        <v>199</v>
      </c>
      <c r="B200" t="s">
        <v>7491</v>
      </c>
    </row>
    <row r="201" spans="1:2" x14ac:dyDescent="0.25">
      <c r="A201">
        <v>200</v>
      </c>
      <c r="B201" t="s">
        <v>7492</v>
      </c>
    </row>
    <row r="202" spans="1:2" x14ac:dyDescent="0.25">
      <c r="A202">
        <v>201</v>
      </c>
      <c r="B202" t="s">
        <v>7493</v>
      </c>
    </row>
    <row r="203" spans="1:2" x14ac:dyDescent="0.25">
      <c r="A203">
        <v>202</v>
      </c>
      <c r="B203" t="s">
        <v>7494</v>
      </c>
    </row>
    <row r="204" spans="1:2" x14ac:dyDescent="0.25">
      <c r="A204">
        <v>203</v>
      </c>
      <c r="B204" t="s">
        <v>7495</v>
      </c>
    </row>
    <row r="205" spans="1:2" x14ac:dyDescent="0.25">
      <c r="A205">
        <v>204</v>
      </c>
      <c r="B205" t="s">
        <v>7496</v>
      </c>
    </row>
    <row r="206" spans="1:2" x14ac:dyDescent="0.25">
      <c r="A206">
        <v>205</v>
      </c>
      <c r="B206" t="s">
        <v>7497</v>
      </c>
    </row>
    <row r="207" spans="1:2" x14ac:dyDescent="0.25">
      <c r="A207">
        <v>206</v>
      </c>
      <c r="B207" t="s">
        <v>7498</v>
      </c>
    </row>
    <row r="208" spans="1:2" x14ac:dyDescent="0.25">
      <c r="A208">
        <v>207</v>
      </c>
      <c r="B208" t="s">
        <v>7499</v>
      </c>
    </row>
    <row r="209" spans="1:2" x14ac:dyDescent="0.25">
      <c r="A209">
        <v>208</v>
      </c>
      <c r="B209" t="s">
        <v>7500</v>
      </c>
    </row>
    <row r="210" spans="1:2" x14ac:dyDescent="0.25">
      <c r="A210">
        <v>209</v>
      </c>
      <c r="B210" t="s">
        <v>7501</v>
      </c>
    </row>
    <row r="211" spans="1:2" x14ac:dyDescent="0.25">
      <c r="A211">
        <v>210</v>
      </c>
      <c r="B211" t="s">
        <v>7502</v>
      </c>
    </row>
    <row r="212" spans="1:2" x14ac:dyDescent="0.25">
      <c r="A212">
        <v>211</v>
      </c>
      <c r="B212" t="s">
        <v>7503</v>
      </c>
    </row>
    <row r="213" spans="1:2" x14ac:dyDescent="0.25">
      <c r="A213">
        <v>212</v>
      </c>
      <c r="B213" t="s">
        <v>7504</v>
      </c>
    </row>
    <row r="214" spans="1:2" x14ac:dyDescent="0.25">
      <c r="A214">
        <v>213</v>
      </c>
      <c r="B214" t="s">
        <v>7505</v>
      </c>
    </row>
    <row r="215" spans="1:2" x14ac:dyDescent="0.25">
      <c r="A215">
        <v>214</v>
      </c>
      <c r="B215" t="s">
        <v>7506</v>
      </c>
    </row>
    <row r="216" spans="1:2" x14ac:dyDescent="0.25">
      <c r="A216">
        <v>215</v>
      </c>
      <c r="B216" t="s">
        <v>7507</v>
      </c>
    </row>
    <row r="217" spans="1:2" x14ac:dyDescent="0.25">
      <c r="A217">
        <v>216</v>
      </c>
      <c r="B217" t="s">
        <v>7508</v>
      </c>
    </row>
    <row r="218" spans="1:2" x14ac:dyDescent="0.25">
      <c r="A218">
        <v>217</v>
      </c>
      <c r="B218" t="s">
        <v>7509</v>
      </c>
    </row>
    <row r="219" spans="1:2" x14ac:dyDescent="0.25">
      <c r="A219">
        <v>218</v>
      </c>
      <c r="B219" t="s">
        <v>7510</v>
      </c>
    </row>
    <row r="220" spans="1:2" x14ac:dyDescent="0.25">
      <c r="A220">
        <v>219</v>
      </c>
      <c r="B220" t="s">
        <v>7511</v>
      </c>
    </row>
    <row r="221" spans="1:2" x14ac:dyDescent="0.25">
      <c r="A221">
        <v>220</v>
      </c>
      <c r="B221" t="s">
        <v>7512</v>
      </c>
    </row>
    <row r="222" spans="1:2" x14ac:dyDescent="0.25">
      <c r="A222">
        <v>221</v>
      </c>
      <c r="B222" t="s">
        <v>7513</v>
      </c>
    </row>
    <row r="223" spans="1:2" x14ac:dyDescent="0.25">
      <c r="A223">
        <v>222</v>
      </c>
      <c r="B223" t="s">
        <v>7514</v>
      </c>
    </row>
    <row r="224" spans="1:2" x14ac:dyDescent="0.25">
      <c r="A224">
        <v>223</v>
      </c>
      <c r="B224" t="s">
        <v>7515</v>
      </c>
    </row>
    <row r="225" spans="1:2" x14ac:dyDescent="0.25">
      <c r="A225">
        <v>224</v>
      </c>
      <c r="B225" t="s">
        <v>7516</v>
      </c>
    </row>
  </sheetData>
  <autoFilter ref="A1:B225" xr:uid="{24688CB2-AB0C-41FE-AA67-E28DFDFB81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E249-A6CC-4339-92E9-6402FC9279DE}">
  <dimension ref="A1:G262"/>
  <sheetViews>
    <sheetView workbookViewId="0">
      <selection activeCell="D1" sqref="D1"/>
    </sheetView>
  </sheetViews>
  <sheetFormatPr baseColWidth="10" defaultRowHeight="15" x14ac:dyDescent="0.25"/>
  <cols>
    <col min="1" max="1" width="10.140625" bestFit="1" customWidth="1"/>
    <col min="2" max="2" width="12" bestFit="1" customWidth="1"/>
    <col min="3" max="3" width="7.7109375" bestFit="1" customWidth="1"/>
    <col min="4" max="4" width="30.42578125" bestFit="1" customWidth="1"/>
    <col min="5" max="5" width="24.85546875" bestFit="1" customWidth="1"/>
    <col min="6" max="6" width="19.28515625" bestFit="1" customWidth="1"/>
    <col min="7" max="7" width="55.85546875" bestFit="1" customWidth="1"/>
  </cols>
  <sheetData>
    <row r="1" spans="1:7" x14ac:dyDescent="0.25">
      <c r="A1" t="s">
        <v>7292</v>
      </c>
      <c r="B1" t="s">
        <v>4279</v>
      </c>
      <c r="C1" t="s">
        <v>4280</v>
      </c>
      <c r="D1" t="s">
        <v>9008</v>
      </c>
      <c r="E1" t="s">
        <v>9007</v>
      </c>
      <c r="F1" t="s">
        <v>8994</v>
      </c>
    </row>
    <row r="2" spans="1:7" x14ac:dyDescent="0.25">
      <c r="A2">
        <v>100</v>
      </c>
      <c r="B2">
        <v>1</v>
      </c>
      <c r="C2">
        <v>19</v>
      </c>
      <c r="D2" t="s">
        <v>4275</v>
      </c>
      <c r="G2" t="str">
        <f>_xlfn.CONCAT("(",A2,",",B2,",",C2,",'",D2,"',","'",E2,"'",",'",F2,"'","),")</f>
        <v>(100,1,19,'SUPERVISORES/COORDINADORES','',''),</v>
      </c>
    </row>
    <row r="3" spans="1:7" x14ac:dyDescent="0.25">
      <c r="A3">
        <v>101</v>
      </c>
      <c r="B3">
        <v>3</v>
      </c>
      <c r="C3">
        <v>16</v>
      </c>
      <c r="D3" t="s">
        <v>4275</v>
      </c>
      <c r="G3" t="str">
        <f t="shared" ref="G3:G66" si="0">_xlfn.CONCAT("(",A3,",",B3,",",C3,",'",D3,"',","'",E3,"'",",'",F3,"'","),")</f>
        <v>(101,3,16,'SUPERVISORES/COORDINADORES','',''),</v>
      </c>
    </row>
    <row r="4" spans="1:7" x14ac:dyDescent="0.25">
      <c r="A4">
        <v>102</v>
      </c>
      <c r="B4">
        <v>4</v>
      </c>
      <c r="C4">
        <v>9</v>
      </c>
      <c r="D4" t="s">
        <v>4275</v>
      </c>
      <c r="G4" t="str">
        <f t="shared" si="0"/>
        <v>(102,4,9,'SUPERVISORES/COORDINADORES','',''),</v>
      </c>
    </row>
    <row r="5" spans="1:7" x14ac:dyDescent="0.25">
      <c r="A5">
        <v>103</v>
      </c>
      <c r="B5">
        <v>1</v>
      </c>
      <c r="C5">
        <v>28</v>
      </c>
      <c r="D5" t="s">
        <v>4275</v>
      </c>
      <c r="E5" t="s">
        <v>4340</v>
      </c>
      <c r="F5" t="s">
        <v>4340</v>
      </c>
      <c r="G5" t="str">
        <f t="shared" si="0"/>
        <v>(103,1,28,'SUPERVISORES/COORDINADORES','',''),</v>
      </c>
    </row>
    <row r="6" spans="1:7" x14ac:dyDescent="0.25">
      <c r="A6">
        <v>104</v>
      </c>
      <c r="B6">
        <v>2</v>
      </c>
      <c r="C6">
        <v>7</v>
      </c>
      <c r="D6" t="s">
        <v>4276</v>
      </c>
      <c r="F6" t="s">
        <v>4340</v>
      </c>
      <c r="G6" t="str">
        <f t="shared" si="0"/>
        <v>(104,2,7,'EJECUTIVOS/ASESORES','',''),</v>
      </c>
    </row>
    <row r="7" spans="1:7" x14ac:dyDescent="0.25">
      <c r="A7">
        <v>104</v>
      </c>
      <c r="B7">
        <v>3</v>
      </c>
      <c r="C7">
        <v>14</v>
      </c>
      <c r="D7" t="s">
        <v>4276</v>
      </c>
      <c r="G7" t="str">
        <f t="shared" si="0"/>
        <v>(104,3,14,'EJECUTIVOS/ASESORES','',''),</v>
      </c>
    </row>
    <row r="8" spans="1:7" x14ac:dyDescent="0.25">
      <c r="A8">
        <v>10</v>
      </c>
      <c r="B8">
        <v>4</v>
      </c>
      <c r="C8">
        <v>5</v>
      </c>
      <c r="D8" t="s">
        <v>4271</v>
      </c>
      <c r="G8" t="str">
        <f t="shared" si="0"/>
        <v>(10,4,5,'ANALISTAS','',''),</v>
      </c>
    </row>
    <row r="9" spans="1:7" x14ac:dyDescent="0.25">
      <c r="A9">
        <v>105</v>
      </c>
      <c r="B9">
        <v>4</v>
      </c>
      <c r="C9">
        <v>11</v>
      </c>
      <c r="D9" t="s">
        <v>4276</v>
      </c>
      <c r="G9" t="str">
        <f t="shared" si="0"/>
        <v>(105,4,11,'EJECUTIVOS/ASESORES','',''),</v>
      </c>
    </row>
    <row r="10" spans="1:7" x14ac:dyDescent="0.25">
      <c r="A10">
        <v>106</v>
      </c>
      <c r="B10">
        <v>2</v>
      </c>
      <c r="C10">
        <v>7</v>
      </c>
      <c r="D10" t="s">
        <v>4276</v>
      </c>
      <c r="G10" t="str">
        <f t="shared" si="0"/>
        <v>(106,2,7,'EJECUTIVOS/ASESORES','',''),</v>
      </c>
    </row>
    <row r="11" spans="1:7" x14ac:dyDescent="0.25">
      <c r="A11">
        <v>107</v>
      </c>
      <c r="B11">
        <v>1</v>
      </c>
      <c r="C11">
        <v>28</v>
      </c>
      <c r="D11" t="s">
        <v>4272</v>
      </c>
      <c r="G11" t="str">
        <f t="shared" si="0"/>
        <v>(107,1,28,'ASISTENTES','',''),</v>
      </c>
    </row>
    <row r="12" spans="1:7" x14ac:dyDescent="0.25">
      <c r="A12">
        <v>108</v>
      </c>
      <c r="B12">
        <v>4</v>
      </c>
      <c r="C12">
        <v>11</v>
      </c>
      <c r="D12" t="s">
        <v>4277</v>
      </c>
      <c r="G12" t="str">
        <f t="shared" si="0"/>
        <v>(108,4,11,'ESPECIALISTAS/RESPONSABLES','',''),</v>
      </c>
    </row>
    <row r="13" spans="1:7" x14ac:dyDescent="0.25">
      <c r="A13">
        <v>109</v>
      </c>
      <c r="B13">
        <v>3</v>
      </c>
      <c r="C13">
        <v>25</v>
      </c>
      <c r="D13" t="s">
        <v>4277</v>
      </c>
      <c r="G13" t="str">
        <f t="shared" si="0"/>
        <v>(109,3,25,'ESPECIALISTAS/RESPONSABLES','',''),</v>
      </c>
    </row>
    <row r="14" spans="1:7" x14ac:dyDescent="0.25">
      <c r="A14">
        <v>110</v>
      </c>
      <c r="B14">
        <v>4</v>
      </c>
      <c r="C14">
        <v>11</v>
      </c>
      <c r="D14" t="s">
        <v>4277</v>
      </c>
      <c r="G14" t="str">
        <f t="shared" si="0"/>
        <v>(110,4,11,'ESPECIALISTAS/RESPONSABLES','',''),</v>
      </c>
    </row>
    <row r="15" spans="1:7" x14ac:dyDescent="0.25">
      <c r="A15">
        <v>111</v>
      </c>
      <c r="B15">
        <v>4</v>
      </c>
      <c r="C15">
        <v>11</v>
      </c>
      <c r="D15" t="s">
        <v>4277</v>
      </c>
      <c r="G15" t="str">
        <f t="shared" si="0"/>
        <v>(111,4,11,'ESPECIALISTAS/RESPONSABLES','',''),</v>
      </c>
    </row>
    <row r="16" spans="1:7" x14ac:dyDescent="0.25">
      <c r="A16">
        <v>112</v>
      </c>
      <c r="B16">
        <v>4</v>
      </c>
      <c r="C16">
        <v>9</v>
      </c>
      <c r="D16" t="s">
        <v>4277</v>
      </c>
      <c r="G16" t="str">
        <f t="shared" si="0"/>
        <v>(112,4,9,'ESPECIALISTAS/RESPONSABLES','',''),</v>
      </c>
    </row>
    <row r="17" spans="1:7" x14ac:dyDescent="0.25">
      <c r="A17">
        <v>113</v>
      </c>
      <c r="B17">
        <v>3</v>
      </c>
      <c r="C17">
        <v>14</v>
      </c>
      <c r="D17" t="s">
        <v>4277</v>
      </c>
      <c r="G17" t="str">
        <f t="shared" si="0"/>
        <v>(113,3,14,'ESPECIALISTAS/RESPONSABLES','',''),</v>
      </c>
    </row>
    <row r="18" spans="1:7" x14ac:dyDescent="0.25">
      <c r="A18">
        <v>114</v>
      </c>
      <c r="B18">
        <v>2</v>
      </c>
      <c r="C18">
        <v>1</v>
      </c>
      <c r="D18" t="s">
        <v>4270</v>
      </c>
      <c r="G18" t="str">
        <f t="shared" si="0"/>
        <v>(114,2,1,'GERENTES','',''),</v>
      </c>
    </row>
    <row r="19" spans="1:7" x14ac:dyDescent="0.25">
      <c r="A19">
        <v>11</v>
      </c>
      <c r="B19">
        <v>4</v>
      </c>
      <c r="C19">
        <v>9</v>
      </c>
      <c r="D19" t="s">
        <v>4271</v>
      </c>
      <c r="G19" t="str">
        <f t="shared" si="0"/>
        <v>(11,4,9,'ANALISTAS','',''),</v>
      </c>
    </row>
    <row r="20" spans="1:7" x14ac:dyDescent="0.25">
      <c r="A20">
        <v>115</v>
      </c>
      <c r="B20">
        <v>1</v>
      </c>
      <c r="C20">
        <v>1</v>
      </c>
      <c r="D20" t="s">
        <v>4270</v>
      </c>
      <c r="G20" t="str">
        <f t="shared" si="0"/>
        <v>(115,1,1,'GERENTES','',''),</v>
      </c>
    </row>
    <row r="21" spans="1:7" x14ac:dyDescent="0.25">
      <c r="A21">
        <v>116</v>
      </c>
      <c r="B21">
        <v>3</v>
      </c>
      <c r="C21">
        <v>1</v>
      </c>
      <c r="D21" t="s">
        <v>4270</v>
      </c>
      <c r="G21" t="str">
        <f t="shared" si="0"/>
        <v>(116,3,1,'GERENTES','',''),</v>
      </c>
    </row>
    <row r="22" spans="1:7" x14ac:dyDescent="0.25">
      <c r="A22">
        <v>117</v>
      </c>
      <c r="B22">
        <v>4</v>
      </c>
      <c r="C22">
        <v>1</v>
      </c>
      <c r="D22" t="s">
        <v>4270</v>
      </c>
      <c r="E22" t="s">
        <v>4340</v>
      </c>
      <c r="F22" t="s">
        <v>4340</v>
      </c>
      <c r="G22" t="str">
        <f t="shared" si="0"/>
        <v>(117,4,1,'GERENTES','',''),</v>
      </c>
    </row>
    <row r="23" spans="1:7" x14ac:dyDescent="0.25">
      <c r="A23">
        <v>118</v>
      </c>
      <c r="B23">
        <v>1</v>
      </c>
      <c r="C23">
        <v>1</v>
      </c>
      <c r="D23" t="s">
        <v>4270</v>
      </c>
      <c r="G23" t="str">
        <f t="shared" si="0"/>
        <v>(118,1,1,'GERENTES','',''),</v>
      </c>
    </row>
    <row r="24" spans="1:7" x14ac:dyDescent="0.25">
      <c r="A24">
        <v>119</v>
      </c>
      <c r="B24">
        <v>1</v>
      </c>
      <c r="C24">
        <v>10</v>
      </c>
      <c r="D24" t="s">
        <v>4272</v>
      </c>
      <c r="G24" t="str">
        <f t="shared" si="0"/>
        <v>(119,1,10,'ASISTENTES','',''),</v>
      </c>
    </row>
    <row r="25" spans="1:7" x14ac:dyDescent="0.25">
      <c r="A25">
        <v>119</v>
      </c>
      <c r="B25">
        <v>1</v>
      </c>
      <c r="C25">
        <v>18</v>
      </c>
      <c r="D25" t="s">
        <v>4272</v>
      </c>
      <c r="G25" t="str">
        <f t="shared" si="0"/>
        <v>(119,1,18,'ASISTENTES','',''),</v>
      </c>
    </row>
    <row r="26" spans="1:7" x14ac:dyDescent="0.25">
      <c r="A26">
        <v>120</v>
      </c>
      <c r="B26">
        <v>2</v>
      </c>
      <c r="C26">
        <v>23</v>
      </c>
      <c r="D26" t="s">
        <v>4271</v>
      </c>
      <c r="G26" t="str">
        <f t="shared" si="0"/>
        <v>(120,2,23,'ANALISTAS','',''),</v>
      </c>
    </row>
    <row r="27" spans="1:7" x14ac:dyDescent="0.25">
      <c r="A27">
        <v>121</v>
      </c>
      <c r="B27">
        <v>2</v>
      </c>
      <c r="C27">
        <v>7</v>
      </c>
      <c r="D27" t="s">
        <v>4271</v>
      </c>
      <c r="G27" t="str">
        <f t="shared" si="0"/>
        <v>(121,2,7,'ANALISTAS','',''),</v>
      </c>
    </row>
    <row r="28" spans="1:7" x14ac:dyDescent="0.25">
      <c r="A28">
        <v>122</v>
      </c>
      <c r="B28">
        <v>4</v>
      </c>
      <c r="C28">
        <v>11</v>
      </c>
      <c r="D28" t="s">
        <v>4273</v>
      </c>
      <c r="G28" t="str">
        <f t="shared" si="0"/>
        <v>(122,4,11,'TÉCNICOS','',''),</v>
      </c>
    </row>
    <row r="29" spans="1:7" x14ac:dyDescent="0.25">
      <c r="A29">
        <v>123</v>
      </c>
      <c r="B29">
        <v>4</v>
      </c>
      <c r="C29">
        <v>11</v>
      </c>
      <c r="D29" t="s">
        <v>4273</v>
      </c>
      <c r="G29" t="str">
        <f t="shared" si="0"/>
        <v>(123,4,11,'TÉCNICOS','',''),</v>
      </c>
    </row>
    <row r="30" spans="1:7" x14ac:dyDescent="0.25">
      <c r="A30">
        <v>12</v>
      </c>
      <c r="B30">
        <v>4</v>
      </c>
      <c r="C30">
        <v>15</v>
      </c>
      <c r="D30" t="s">
        <v>4271</v>
      </c>
      <c r="G30" t="str">
        <f t="shared" si="0"/>
        <v>(12,4,15,'ANALISTAS','',''),</v>
      </c>
    </row>
    <row r="31" spans="1:7" x14ac:dyDescent="0.25">
      <c r="A31">
        <v>124</v>
      </c>
      <c r="B31">
        <v>4</v>
      </c>
      <c r="C31">
        <v>11</v>
      </c>
      <c r="D31" t="s">
        <v>4273</v>
      </c>
      <c r="G31" t="str">
        <f t="shared" si="0"/>
        <v>(124,4,11,'TÉCNICOS','',''),</v>
      </c>
    </row>
    <row r="32" spans="1:7" x14ac:dyDescent="0.25">
      <c r="A32">
        <v>125</v>
      </c>
      <c r="B32">
        <v>2</v>
      </c>
      <c r="C32">
        <v>23</v>
      </c>
      <c r="D32" t="s">
        <v>4274</v>
      </c>
      <c r="G32" t="str">
        <f t="shared" si="0"/>
        <v>(125,2,23,'JEFES','',''),</v>
      </c>
    </row>
    <row r="33" spans="1:7" x14ac:dyDescent="0.25">
      <c r="A33">
        <v>126</v>
      </c>
      <c r="B33">
        <v>4</v>
      </c>
      <c r="C33">
        <v>3</v>
      </c>
      <c r="D33" t="s">
        <v>4274</v>
      </c>
      <c r="G33" t="str">
        <f t="shared" si="0"/>
        <v>(126,4,3,'JEFES','',''),</v>
      </c>
    </row>
    <row r="34" spans="1:7" x14ac:dyDescent="0.25">
      <c r="A34">
        <v>127</v>
      </c>
      <c r="B34">
        <v>1</v>
      </c>
      <c r="C34">
        <v>24</v>
      </c>
      <c r="D34" t="s">
        <v>4274</v>
      </c>
      <c r="G34" t="str">
        <f t="shared" si="0"/>
        <v>(127,1,24,'JEFES','',''),</v>
      </c>
    </row>
    <row r="35" spans="1:7" x14ac:dyDescent="0.25">
      <c r="A35">
        <v>128</v>
      </c>
      <c r="B35">
        <v>1</v>
      </c>
      <c r="C35">
        <v>10</v>
      </c>
      <c r="D35" t="s">
        <v>4274</v>
      </c>
      <c r="G35" t="str">
        <f t="shared" si="0"/>
        <v>(128,1,10,'JEFES','',''),</v>
      </c>
    </row>
    <row r="36" spans="1:7" x14ac:dyDescent="0.25">
      <c r="A36">
        <v>129</v>
      </c>
      <c r="B36">
        <v>2</v>
      </c>
      <c r="C36">
        <v>7</v>
      </c>
      <c r="D36" t="s">
        <v>4274</v>
      </c>
      <c r="G36" t="str">
        <f t="shared" si="0"/>
        <v>(129,2,7,'JEFES','',''),</v>
      </c>
    </row>
    <row r="37" spans="1:7" x14ac:dyDescent="0.25">
      <c r="A37">
        <v>130</v>
      </c>
      <c r="B37">
        <v>4</v>
      </c>
      <c r="C37">
        <v>5</v>
      </c>
      <c r="D37" t="s">
        <v>4274</v>
      </c>
      <c r="G37" t="str">
        <f t="shared" si="0"/>
        <v>(130,4,5,'JEFES','',''),</v>
      </c>
    </row>
    <row r="38" spans="1:7" x14ac:dyDescent="0.25">
      <c r="A38">
        <v>131</v>
      </c>
      <c r="B38">
        <v>3</v>
      </c>
      <c r="C38">
        <v>14</v>
      </c>
      <c r="D38" t="s">
        <v>4274</v>
      </c>
      <c r="G38" t="str">
        <f t="shared" si="0"/>
        <v>(131,3,14,'JEFES','',''),</v>
      </c>
    </row>
    <row r="39" spans="1:7" x14ac:dyDescent="0.25">
      <c r="A39">
        <v>132</v>
      </c>
      <c r="B39">
        <v>1</v>
      </c>
      <c r="C39">
        <v>20</v>
      </c>
      <c r="D39" t="s">
        <v>4274</v>
      </c>
      <c r="G39" t="str">
        <f t="shared" si="0"/>
        <v>(132,1,20,'JEFES','',''),</v>
      </c>
    </row>
    <row r="40" spans="1:7" x14ac:dyDescent="0.25">
      <c r="A40">
        <v>1</v>
      </c>
      <c r="B40">
        <v>3</v>
      </c>
      <c r="C40">
        <v>25</v>
      </c>
      <c r="D40" t="s">
        <v>4271</v>
      </c>
      <c r="G40" t="str">
        <f t="shared" si="0"/>
        <v>(1,3,25,'ANALISTAS','',''),</v>
      </c>
    </row>
    <row r="41" spans="1:7" x14ac:dyDescent="0.25">
      <c r="A41">
        <v>133</v>
      </c>
      <c r="B41">
        <v>3</v>
      </c>
      <c r="C41">
        <v>13</v>
      </c>
      <c r="D41" t="s">
        <v>4274</v>
      </c>
      <c r="G41" t="str">
        <f t="shared" si="0"/>
        <v>(133,3,13,'JEFES','',''),</v>
      </c>
    </row>
    <row r="42" spans="1:7" x14ac:dyDescent="0.25">
      <c r="A42">
        <v>13</v>
      </c>
      <c r="B42">
        <v>3</v>
      </c>
      <c r="C42">
        <v>8</v>
      </c>
      <c r="D42" t="s">
        <v>4271</v>
      </c>
      <c r="G42" t="str">
        <f t="shared" si="0"/>
        <v>(13,3,8,'ANALISTAS','',''),</v>
      </c>
    </row>
    <row r="43" spans="1:7" x14ac:dyDescent="0.25">
      <c r="A43">
        <v>134</v>
      </c>
      <c r="B43">
        <v>1</v>
      </c>
      <c r="C43">
        <v>19</v>
      </c>
      <c r="D43" t="s">
        <v>4274</v>
      </c>
      <c r="G43" t="str">
        <f t="shared" si="0"/>
        <v>(134,1,19,'JEFES','',''),</v>
      </c>
    </row>
    <row r="44" spans="1:7" x14ac:dyDescent="0.25">
      <c r="A44">
        <v>135</v>
      </c>
      <c r="B44">
        <v>3</v>
      </c>
      <c r="C44">
        <v>8</v>
      </c>
      <c r="D44" t="s">
        <v>4274</v>
      </c>
      <c r="G44" t="str">
        <f t="shared" si="0"/>
        <v>(135,3,8,'JEFES','',''),</v>
      </c>
    </row>
    <row r="45" spans="1:7" x14ac:dyDescent="0.25">
      <c r="A45">
        <v>136</v>
      </c>
      <c r="B45">
        <v>2</v>
      </c>
      <c r="C45">
        <v>7</v>
      </c>
      <c r="D45" t="s">
        <v>4274</v>
      </c>
      <c r="G45" t="str">
        <f t="shared" si="0"/>
        <v>(136,2,7,'JEFES','',''),</v>
      </c>
    </row>
    <row r="46" spans="1:7" x14ac:dyDescent="0.25">
      <c r="A46">
        <v>137</v>
      </c>
      <c r="B46">
        <v>2</v>
      </c>
      <c r="C46">
        <v>7</v>
      </c>
      <c r="D46" t="s">
        <v>4274</v>
      </c>
      <c r="G46" t="str">
        <f t="shared" si="0"/>
        <v>(137,2,7,'JEFES','',''),</v>
      </c>
    </row>
    <row r="47" spans="1:7" x14ac:dyDescent="0.25">
      <c r="A47">
        <v>138</v>
      </c>
      <c r="B47">
        <v>2</v>
      </c>
      <c r="C47">
        <v>7</v>
      </c>
      <c r="D47" t="s">
        <v>4274</v>
      </c>
      <c r="G47" t="str">
        <f t="shared" si="0"/>
        <v>(138,2,7,'JEFES','',''),</v>
      </c>
    </row>
    <row r="48" spans="1:7" x14ac:dyDescent="0.25">
      <c r="A48">
        <v>139</v>
      </c>
      <c r="B48">
        <v>2</v>
      </c>
      <c r="C48">
        <v>7</v>
      </c>
      <c r="D48" t="s">
        <v>4274</v>
      </c>
      <c r="G48" t="str">
        <f t="shared" si="0"/>
        <v>(139,2,7,'JEFES','',''),</v>
      </c>
    </row>
    <row r="49" spans="1:7" x14ac:dyDescent="0.25">
      <c r="A49">
        <v>140</v>
      </c>
      <c r="B49">
        <v>4</v>
      </c>
      <c r="C49">
        <v>9</v>
      </c>
      <c r="D49" t="s">
        <v>4274</v>
      </c>
      <c r="G49" t="str">
        <f t="shared" si="0"/>
        <v>(140,4,9,'JEFES','',''),</v>
      </c>
    </row>
    <row r="50" spans="1:7" x14ac:dyDescent="0.25">
      <c r="A50">
        <v>141</v>
      </c>
      <c r="B50">
        <v>2</v>
      </c>
      <c r="C50">
        <v>7</v>
      </c>
      <c r="D50" t="s">
        <v>4274</v>
      </c>
      <c r="G50" t="str">
        <f t="shared" si="0"/>
        <v>(141,2,7,'JEFES','',''),</v>
      </c>
    </row>
    <row r="51" spans="1:7" x14ac:dyDescent="0.25">
      <c r="A51">
        <v>14</v>
      </c>
      <c r="B51">
        <v>2</v>
      </c>
      <c r="C51">
        <v>27</v>
      </c>
      <c r="D51" t="s">
        <v>4271</v>
      </c>
      <c r="G51" t="str">
        <f t="shared" si="0"/>
        <v>(14,2,27,'ANALISTAS','',''),</v>
      </c>
    </row>
    <row r="52" spans="1:7" x14ac:dyDescent="0.25">
      <c r="A52">
        <v>142</v>
      </c>
      <c r="B52">
        <v>2</v>
      </c>
      <c r="C52">
        <v>7</v>
      </c>
      <c r="D52" t="s">
        <v>4274</v>
      </c>
      <c r="G52" t="str">
        <f t="shared" si="0"/>
        <v>(142,2,7,'JEFES','',''),</v>
      </c>
    </row>
    <row r="53" spans="1:7" x14ac:dyDescent="0.25">
      <c r="A53">
        <v>143</v>
      </c>
      <c r="B53">
        <v>2</v>
      </c>
      <c r="C53">
        <v>7</v>
      </c>
      <c r="D53" t="s">
        <v>4274</v>
      </c>
      <c r="G53" t="str">
        <f t="shared" si="0"/>
        <v>(143,2,7,'JEFES','',''),</v>
      </c>
    </row>
    <row r="54" spans="1:7" x14ac:dyDescent="0.25">
      <c r="A54">
        <v>144</v>
      </c>
      <c r="B54">
        <v>3</v>
      </c>
      <c r="C54">
        <v>13</v>
      </c>
      <c r="D54" t="s">
        <v>4275</v>
      </c>
      <c r="G54" t="str">
        <f t="shared" si="0"/>
        <v>(144,3,13,'SUPERVISORES/COORDINADORES','',''),</v>
      </c>
    </row>
    <row r="55" spans="1:7" x14ac:dyDescent="0.25">
      <c r="A55">
        <v>145</v>
      </c>
      <c r="B55">
        <v>4</v>
      </c>
      <c r="C55">
        <v>9</v>
      </c>
      <c r="D55" t="s">
        <v>4273</v>
      </c>
      <c r="E55" t="s">
        <v>9016</v>
      </c>
      <c r="F55" t="s">
        <v>9012</v>
      </c>
      <c r="G55" t="str">
        <f t="shared" si="0"/>
        <v>(145,4,9,'TÉCNICOS','LAVADOR','OFICIOS MÚLTIPLE'),</v>
      </c>
    </row>
    <row r="56" spans="1:7" x14ac:dyDescent="0.25">
      <c r="A56">
        <v>146</v>
      </c>
      <c r="B56">
        <v>1</v>
      </c>
      <c r="C56">
        <v>6</v>
      </c>
      <c r="G56" t="str">
        <f t="shared" si="0"/>
        <v>(146,1,6,'','',''),</v>
      </c>
    </row>
    <row r="57" spans="1:7" x14ac:dyDescent="0.25">
      <c r="A57">
        <v>146</v>
      </c>
      <c r="B57">
        <v>1</v>
      </c>
      <c r="C57">
        <v>6</v>
      </c>
      <c r="D57" t="s">
        <v>4273</v>
      </c>
      <c r="G57" t="str">
        <f t="shared" si="0"/>
        <v>(146,1,6,'TÉCNICOS','',''),</v>
      </c>
    </row>
    <row r="58" spans="1:7" x14ac:dyDescent="0.25">
      <c r="A58">
        <v>147</v>
      </c>
      <c r="B58">
        <v>4</v>
      </c>
      <c r="C58">
        <v>9</v>
      </c>
      <c r="D58" t="s">
        <v>4273</v>
      </c>
      <c r="E58" t="s">
        <v>9011</v>
      </c>
      <c r="F58" t="s">
        <v>9012</v>
      </c>
      <c r="G58" t="str">
        <f t="shared" si="0"/>
        <v>(147,4,9,'TÉCNICOS','MÚLTIPLE','OFICIOS MÚLTIPLE'),</v>
      </c>
    </row>
    <row r="59" spans="1:7" x14ac:dyDescent="0.25">
      <c r="A59">
        <v>148</v>
      </c>
      <c r="B59">
        <v>4</v>
      </c>
      <c r="C59">
        <v>9</v>
      </c>
      <c r="D59" t="s">
        <v>4273</v>
      </c>
      <c r="E59" t="s">
        <v>9016</v>
      </c>
      <c r="F59" t="s">
        <v>9012</v>
      </c>
      <c r="G59" t="str">
        <f t="shared" si="0"/>
        <v>(148,4,9,'TÉCNICOS','LAVADOR','OFICIOS MÚLTIPLE'),</v>
      </c>
    </row>
    <row r="60" spans="1:7" x14ac:dyDescent="0.25">
      <c r="A60">
        <v>148</v>
      </c>
      <c r="B60">
        <v>4</v>
      </c>
      <c r="C60">
        <v>9</v>
      </c>
      <c r="D60" t="s">
        <v>4273</v>
      </c>
      <c r="E60" t="s">
        <v>9011</v>
      </c>
      <c r="F60" t="s">
        <v>9012</v>
      </c>
      <c r="G60" t="str">
        <f t="shared" si="0"/>
        <v>(148,4,9,'TÉCNICOS','MÚLTIPLE','OFICIOS MÚLTIPLE'),</v>
      </c>
    </row>
    <row r="61" spans="1:7" x14ac:dyDescent="0.25">
      <c r="A61">
        <v>148</v>
      </c>
      <c r="B61">
        <v>4</v>
      </c>
      <c r="C61">
        <v>9</v>
      </c>
      <c r="D61" t="s">
        <v>4273</v>
      </c>
      <c r="E61" t="s">
        <v>7445</v>
      </c>
      <c r="F61" t="s">
        <v>9012</v>
      </c>
      <c r="G61" t="str">
        <f t="shared" si="0"/>
        <v>(148,4,9,'TÉCNICOS','PINTOR','OFICIOS MÚLTIPLE'),</v>
      </c>
    </row>
    <row r="62" spans="1:7" x14ac:dyDescent="0.25">
      <c r="A62">
        <v>148</v>
      </c>
      <c r="B62">
        <v>4</v>
      </c>
      <c r="C62">
        <v>9</v>
      </c>
      <c r="D62" t="s">
        <v>4273</v>
      </c>
      <c r="E62" t="s">
        <v>9013</v>
      </c>
      <c r="F62" t="s">
        <v>9012</v>
      </c>
      <c r="G62" t="str">
        <f t="shared" si="0"/>
        <v>(148,4,9,'TÉCNICOS','PLANCHADOR','OFICIOS MÚLTIPLE'),</v>
      </c>
    </row>
    <row r="63" spans="1:7" x14ac:dyDescent="0.25">
      <c r="A63">
        <v>149</v>
      </c>
      <c r="B63">
        <v>4</v>
      </c>
      <c r="C63">
        <v>9</v>
      </c>
      <c r="D63" t="s">
        <v>4273</v>
      </c>
      <c r="E63" t="s">
        <v>9011</v>
      </c>
      <c r="F63" t="s">
        <v>9012</v>
      </c>
      <c r="G63" t="str">
        <f t="shared" si="0"/>
        <v>(149,4,9,'TÉCNICOS','MÚLTIPLE','OFICIOS MÚLTIPLE'),</v>
      </c>
    </row>
    <row r="64" spans="1:7" x14ac:dyDescent="0.25">
      <c r="A64">
        <v>149</v>
      </c>
      <c r="B64">
        <v>4</v>
      </c>
      <c r="C64">
        <v>9</v>
      </c>
      <c r="D64" t="s">
        <v>4273</v>
      </c>
      <c r="E64" t="s">
        <v>7445</v>
      </c>
      <c r="F64" t="s">
        <v>9012</v>
      </c>
      <c r="G64" t="str">
        <f t="shared" si="0"/>
        <v>(149,4,9,'TÉCNICOS','PINTOR','OFICIOS MÚLTIPLE'),</v>
      </c>
    </row>
    <row r="65" spans="1:7" x14ac:dyDescent="0.25">
      <c r="A65">
        <v>150</v>
      </c>
      <c r="B65">
        <v>1</v>
      </c>
      <c r="C65">
        <v>6</v>
      </c>
      <c r="G65" t="str">
        <f t="shared" si="0"/>
        <v>(150,1,6,'','',''),</v>
      </c>
    </row>
    <row r="66" spans="1:7" x14ac:dyDescent="0.25">
      <c r="A66">
        <v>151</v>
      </c>
      <c r="B66">
        <v>1</v>
      </c>
      <c r="C66">
        <v>6</v>
      </c>
      <c r="G66" t="str">
        <f t="shared" si="0"/>
        <v>(151,1,6,'','',''),</v>
      </c>
    </row>
    <row r="67" spans="1:7" x14ac:dyDescent="0.25">
      <c r="A67">
        <v>151</v>
      </c>
      <c r="B67">
        <v>1</v>
      </c>
      <c r="C67">
        <v>6</v>
      </c>
      <c r="D67" t="s">
        <v>4273</v>
      </c>
      <c r="G67" t="str">
        <f t="shared" ref="G67:G130" si="1">_xlfn.CONCAT("(",A67,",",B67,",",C67,",'",D67,"',","'",E67,"'",",'",F67,"'","),")</f>
        <v>(151,1,6,'TÉCNICOS','',''),</v>
      </c>
    </row>
    <row r="68" spans="1:7" x14ac:dyDescent="0.25">
      <c r="A68">
        <v>152</v>
      </c>
      <c r="B68">
        <v>1</v>
      </c>
      <c r="C68">
        <v>6</v>
      </c>
      <c r="D68" t="s">
        <v>4273</v>
      </c>
      <c r="G68" t="str">
        <f t="shared" si="1"/>
        <v>(152,1,6,'TÉCNICOS','',''),</v>
      </c>
    </row>
    <row r="69" spans="1:7" x14ac:dyDescent="0.25">
      <c r="A69">
        <v>15</v>
      </c>
      <c r="B69">
        <v>3</v>
      </c>
      <c r="C69">
        <v>14</v>
      </c>
      <c r="D69" t="s">
        <v>4271</v>
      </c>
      <c r="G69" t="str">
        <f t="shared" si="1"/>
        <v>(15,3,14,'ANALISTAS','',''),</v>
      </c>
    </row>
    <row r="70" spans="1:7" x14ac:dyDescent="0.25">
      <c r="A70">
        <v>153</v>
      </c>
      <c r="B70">
        <v>4</v>
      </c>
      <c r="C70">
        <v>9</v>
      </c>
      <c r="D70" t="s">
        <v>4273</v>
      </c>
      <c r="E70" t="s">
        <v>7445</v>
      </c>
      <c r="F70" t="s">
        <v>9012</v>
      </c>
      <c r="G70" t="str">
        <f t="shared" si="1"/>
        <v>(153,4,9,'TÉCNICOS','PINTOR','OFICIOS MÚLTIPLE'),</v>
      </c>
    </row>
    <row r="71" spans="1:7" x14ac:dyDescent="0.25">
      <c r="A71">
        <v>154</v>
      </c>
      <c r="B71">
        <v>2</v>
      </c>
      <c r="C71">
        <v>12</v>
      </c>
      <c r="D71" t="s">
        <v>4278</v>
      </c>
      <c r="G71" t="str">
        <f t="shared" si="1"/>
        <v>(154,2,12,'PRACTICANTES','',''),</v>
      </c>
    </row>
    <row r="72" spans="1:7" x14ac:dyDescent="0.25">
      <c r="A72">
        <v>154</v>
      </c>
      <c r="B72">
        <v>2</v>
      </c>
      <c r="C72">
        <v>7</v>
      </c>
      <c r="D72" t="s">
        <v>4278</v>
      </c>
      <c r="G72" t="str">
        <f t="shared" si="1"/>
        <v>(154,2,7,'PRACTICANTES','',''),</v>
      </c>
    </row>
    <row r="73" spans="1:7" x14ac:dyDescent="0.25">
      <c r="A73">
        <v>155</v>
      </c>
      <c r="B73">
        <v>1</v>
      </c>
      <c r="C73">
        <v>24</v>
      </c>
      <c r="D73" t="s">
        <v>4278</v>
      </c>
      <c r="G73" t="str">
        <f t="shared" si="1"/>
        <v>(155,1,24,'PRACTICANTES','',''),</v>
      </c>
    </row>
    <row r="74" spans="1:7" x14ac:dyDescent="0.25">
      <c r="A74">
        <v>156</v>
      </c>
      <c r="B74">
        <v>1</v>
      </c>
      <c r="C74">
        <v>20</v>
      </c>
      <c r="D74" t="s">
        <v>4278</v>
      </c>
      <c r="G74" t="str">
        <f t="shared" si="1"/>
        <v>(156,1,20,'PRACTICANTES','',''),</v>
      </c>
    </row>
    <row r="75" spans="1:7" x14ac:dyDescent="0.25">
      <c r="A75">
        <v>157</v>
      </c>
      <c r="B75">
        <v>3</v>
      </c>
      <c r="C75">
        <v>8</v>
      </c>
      <c r="D75" t="s">
        <v>4278</v>
      </c>
      <c r="G75" t="str">
        <f t="shared" si="1"/>
        <v>(157,3,8,'PRACTICANTES','',''),</v>
      </c>
    </row>
    <row r="76" spans="1:7" x14ac:dyDescent="0.25">
      <c r="A76">
        <v>158</v>
      </c>
      <c r="B76">
        <v>3</v>
      </c>
      <c r="C76">
        <v>16</v>
      </c>
      <c r="D76" t="s">
        <v>4278</v>
      </c>
      <c r="G76" t="str">
        <f t="shared" si="1"/>
        <v>(158,3,16,'PRACTICANTES','',''),</v>
      </c>
    </row>
    <row r="77" spans="1:7" x14ac:dyDescent="0.25">
      <c r="A77">
        <v>159</v>
      </c>
      <c r="B77">
        <v>4</v>
      </c>
      <c r="C77">
        <v>3</v>
      </c>
      <c r="D77" t="s">
        <v>4278</v>
      </c>
      <c r="G77" t="str">
        <f t="shared" si="1"/>
        <v>(159,4,3,'PRACTICANTES','',''),</v>
      </c>
    </row>
    <row r="78" spans="1:7" x14ac:dyDescent="0.25">
      <c r="A78">
        <v>160</v>
      </c>
      <c r="B78">
        <v>3</v>
      </c>
      <c r="C78">
        <v>14</v>
      </c>
      <c r="D78" t="s">
        <v>4278</v>
      </c>
      <c r="G78" t="str">
        <f t="shared" si="1"/>
        <v>(160,3,14,'PRACTICANTES','',''),</v>
      </c>
    </row>
    <row r="79" spans="1:7" x14ac:dyDescent="0.25">
      <c r="A79">
        <v>160</v>
      </c>
      <c r="B79">
        <v>3</v>
      </c>
      <c r="C79">
        <v>22</v>
      </c>
      <c r="D79" t="s">
        <v>4278</v>
      </c>
      <c r="G79" t="str">
        <f t="shared" si="1"/>
        <v>(160,3,22,'PRACTICANTES','',''),</v>
      </c>
    </row>
    <row r="80" spans="1:7" x14ac:dyDescent="0.25">
      <c r="A80">
        <v>161</v>
      </c>
      <c r="B80">
        <v>1</v>
      </c>
      <c r="C80">
        <v>24</v>
      </c>
      <c r="D80" t="s">
        <v>4278</v>
      </c>
      <c r="G80" t="str">
        <f t="shared" si="1"/>
        <v>(161,1,24,'PRACTICANTES','',''),</v>
      </c>
    </row>
    <row r="81" spans="1:7" x14ac:dyDescent="0.25">
      <c r="A81">
        <v>16</v>
      </c>
      <c r="B81">
        <v>1</v>
      </c>
      <c r="C81">
        <v>19</v>
      </c>
      <c r="D81" t="s">
        <v>4271</v>
      </c>
      <c r="G81" t="str">
        <f t="shared" si="1"/>
        <v>(16,1,19,'ANALISTAS','',''),</v>
      </c>
    </row>
    <row r="82" spans="1:7" x14ac:dyDescent="0.25">
      <c r="A82">
        <v>162</v>
      </c>
      <c r="B82">
        <v>1</v>
      </c>
      <c r="C82">
        <v>20</v>
      </c>
      <c r="D82" t="s">
        <v>4278</v>
      </c>
      <c r="G82" t="str">
        <f t="shared" si="1"/>
        <v>(162,1,20,'PRACTICANTES','',''),</v>
      </c>
    </row>
    <row r="83" spans="1:7" x14ac:dyDescent="0.25">
      <c r="A83">
        <v>163</v>
      </c>
      <c r="B83">
        <v>4</v>
      </c>
      <c r="C83">
        <v>3</v>
      </c>
      <c r="D83" t="s">
        <v>4278</v>
      </c>
      <c r="G83" t="str">
        <f t="shared" si="1"/>
        <v>(163,4,3,'PRACTICANTES','',''),</v>
      </c>
    </row>
    <row r="84" spans="1:7" x14ac:dyDescent="0.25">
      <c r="A84">
        <v>164</v>
      </c>
      <c r="B84">
        <v>2</v>
      </c>
      <c r="C84">
        <v>23</v>
      </c>
      <c r="D84" t="s">
        <v>4278</v>
      </c>
      <c r="G84" t="str">
        <f t="shared" si="1"/>
        <v>(164,2,23,'PRACTICANTES','',''),</v>
      </c>
    </row>
    <row r="85" spans="1:7" x14ac:dyDescent="0.25">
      <c r="A85">
        <v>165</v>
      </c>
      <c r="B85">
        <v>2</v>
      </c>
      <c r="C85">
        <v>23</v>
      </c>
      <c r="D85" t="s">
        <v>4278</v>
      </c>
      <c r="G85" t="str">
        <f t="shared" si="1"/>
        <v>(165,2,23,'PRACTICANTES','',''),</v>
      </c>
    </row>
    <row r="86" spans="1:7" x14ac:dyDescent="0.25">
      <c r="A86">
        <v>166</v>
      </c>
      <c r="B86">
        <v>4</v>
      </c>
      <c r="C86">
        <v>5</v>
      </c>
      <c r="D86" t="s">
        <v>4278</v>
      </c>
      <c r="G86" t="str">
        <f t="shared" si="1"/>
        <v>(166,4,5,'PRACTICANTES','',''),</v>
      </c>
    </row>
    <row r="87" spans="1:7" x14ac:dyDescent="0.25">
      <c r="A87">
        <v>167</v>
      </c>
      <c r="B87">
        <v>4</v>
      </c>
      <c r="C87">
        <v>3</v>
      </c>
      <c r="D87" t="s">
        <v>4278</v>
      </c>
      <c r="G87" t="str">
        <f t="shared" si="1"/>
        <v>(167,4,3,'PRACTICANTES','',''),</v>
      </c>
    </row>
    <row r="88" spans="1:7" x14ac:dyDescent="0.25">
      <c r="A88">
        <v>168</v>
      </c>
      <c r="B88">
        <v>3</v>
      </c>
      <c r="C88">
        <v>14</v>
      </c>
      <c r="D88" t="s">
        <v>4278</v>
      </c>
      <c r="G88" t="str">
        <f t="shared" si="1"/>
        <v>(168,3,14,'PRACTICANTES','',''),</v>
      </c>
    </row>
    <row r="89" spans="1:7" x14ac:dyDescent="0.25">
      <c r="A89">
        <v>169</v>
      </c>
      <c r="B89">
        <v>4</v>
      </c>
      <c r="C89">
        <v>5</v>
      </c>
      <c r="D89" t="s">
        <v>4278</v>
      </c>
      <c r="G89" t="str">
        <f t="shared" si="1"/>
        <v>(169,4,5,'PRACTICANTES','',''),</v>
      </c>
    </row>
    <row r="90" spans="1:7" x14ac:dyDescent="0.25">
      <c r="A90">
        <v>170</v>
      </c>
      <c r="B90">
        <v>4</v>
      </c>
      <c r="C90">
        <v>15</v>
      </c>
      <c r="D90" t="s">
        <v>4278</v>
      </c>
      <c r="E90" t="s">
        <v>4340</v>
      </c>
      <c r="F90" t="s">
        <v>4340</v>
      </c>
      <c r="G90" t="str">
        <f t="shared" si="1"/>
        <v>(170,4,15,'PRACTICANTES','',''),</v>
      </c>
    </row>
    <row r="91" spans="1:7" x14ac:dyDescent="0.25">
      <c r="A91">
        <v>171</v>
      </c>
      <c r="B91">
        <v>4</v>
      </c>
      <c r="C91">
        <v>9</v>
      </c>
      <c r="D91" t="s">
        <v>4278</v>
      </c>
      <c r="G91" t="str">
        <f t="shared" si="1"/>
        <v>(171,4,9,'PRACTICANTES','',''),</v>
      </c>
    </row>
    <row r="92" spans="1:7" x14ac:dyDescent="0.25">
      <c r="A92">
        <v>17</v>
      </c>
      <c r="B92">
        <v>2</v>
      </c>
      <c r="C92">
        <v>23</v>
      </c>
      <c r="D92" t="s">
        <v>4271</v>
      </c>
      <c r="E92" t="s">
        <v>4340</v>
      </c>
      <c r="F92" t="s">
        <v>4340</v>
      </c>
      <c r="G92" t="str">
        <f t="shared" si="1"/>
        <v>(17,2,23,'ANALISTAS','',''),</v>
      </c>
    </row>
    <row r="93" spans="1:7" x14ac:dyDescent="0.25">
      <c r="A93">
        <v>172</v>
      </c>
      <c r="B93">
        <v>3</v>
      </c>
      <c r="C93">
        <v>13</v>
      </c>
      <c r="D93" t="s">
        <v>4278</v>
      </c>
      <c r="G93" t="str">
        <f t="shared" si="1"/>
        <v>(172,3,13,'PRACTICANTES','',''),</v>
      </c>
    </row>
    <row r="94" spans="1:7" x14ac:dyDescent="0.25">
      <c r="A94">
        <v>173</v>
      </c>
      <c r="B94">
        <v>1</v>
      </c>
      <c r="C94">
        <v>19</v>
      </c>
      <c r="D94" t="s">
        <v>4278</v>
      </c>
      <c r="G94" t="str">
        <f t="shared" si="1"/>
        <v>(173,1,19,'PRACTICANTES','',''),</v>
      </c>
    </row>
    <row r="95" spans="1:7" x14ac:dyDescent="0.25">
      <c r="A95">
        <v>174</v>
      </c>
      <c r="B95">
        <v>4</v>
      </c>
      <c r="C95">
        <v>5</v>
      </c>
      <c r="D95" t="s">
        <v>4278</v>
      </c>
      <c r="G95" t="str">
        <f t="shared" si="1"/>
        <v>(174,4,5,'PRACTICANTES','',''),</v>
      </c>
    </row>
    <row r="96" spans="1:7" x14ac:dyDescent="0.25">
      <c r="A96">
        <v>175</v>
      </c>
      <c r="B96">
        <v>3</v>
      </c>
      <c r="C96">
        <v>21</v>
      </c>
      <c r="D96" t="s">
        <v>4278</v>
      </c>
      <c r="G96" t="str">
        <f t="shared" si="1"/>
        <v>(175,3,21,'PRACTICANTES','',''),</v>
      </c>
    </row>
    <row r="97" spans="1:7" x14ac:dyDescent="0.25">
      <c r="A97">
        <v>176</v>
      </c>
      <c r="B97">
        <v>1</v>
      </c>
      <c r="C97">
        <v>6</v>
      </c>
      <c r="D97" t="s">
        <v>4278</v>
      </c>
      <c r="G97" t="str">
        <f t="shared" si="1"/>
        <v>(176,1,6,'PRACTICANTES','',''),</v>
      </c>
    </row>
    <row r="98" spans="1:7" x14ac:dyDescent="0.25">
      <c r="A98">
        <v>177</v>
      </c>
      <c r="B98">
        <v>4</v>
      </c>
      <c r="C98">
        <v>5</v>
      </c>
      <c r="D98" t="s">
        <v>4278</v>
      </c>
      <c r="G98" t="str">
        <f t="shared" si="1"/>
        <v>(177,4,5,'PRACTICANTES','',''),</v>
      </c>
    </row>
    <row r="99" spans="1:7" x14ac:dyDescent="0.25">
      <c r="A99">
        <v>178</v>
      </c>
      <c r="B99">
        <v>4</v>
      </c>
      <c r="C99">
        <v>9</v>
      </c>
      <c r="D99" t="s">
        <v>4278</v>
      </c>
      <c r="G99" t="str">
        <f t="shared" si="1"/>
        <v>(178,4,9,'PRACTICANTES','',''),</v>
      </c>
    </row>
    <row r="100" spans="1:7" x14ac:dyDescent="0.25">
      <c r="A100">
        <v>179</v>
      </c>
      <c r="B100">
        <v>1</v>
      </c>
      <c r="C100">
        <v>18</v>
      </c>
      <c r="D100" t="s">
        <v>4278</v>
      </c>
      <c r="G100" t="str">
        <f t="shared" si="1"/>
        <v>(179,1,18,'PRACTICANTES','',''),</v>
      </c>
    </row>
    <row r="101" spans="1:7" x14ac:dyDescent="0.25">
      <c r="A101">
        <v>180</v>
      </c>
      <c r="B101">
        <v>3</v>
      </c>
      <c r="C101">
        <v>16</v>
      </c>
      <c r="D101" t="s">
        <v>4278</v>
      </c>
      <c r="G101" t="str">
        <f t="shared" si="1"/>
        <v>(180,3,16,'PRACTICANTES','',''),</v>
      </c>
    </row>
    <row r="102" spans="1:7" x14ac:dyDescent="0.25">
      <c r="A102">
        <v>181</v>
      </c>
      <c r="B102">
        <v>2</v>
      </c>
      <c r="C102">
        <v>23</v>
      </c>
      <c r="D102" t="s">
        <v>4278</v>
      </c>
      <c r="G102" t="str">
        <f t="shared" si="1"/>
        <v>(181,2,23,'PRACTICANTES','',''),</v>
      </c>
    </row>
    <row r="103" spans="1:7" x14ac:dyDescent="0.25">
      <c r="A103">
        <v>18</v>
      </c>
      <c r="B103">
        <v>1</v>
      </c>
      <c r="C103">
        <v>24</v>
      </c>
      <c r="D103" t="s">
        <v>4271</v>
      </c>
      <c r="G103" t="str">
        <f t="shared" si="1"/>
        <v>(18,1,24,'ANALISTAS','',''),</v>
      </c>
    </row>
    <row r="104" spans="1:7" x14ac:dyDescent="0.25">
      <c r="A104">
        <v>182</v>
      </c>
      <c r="B104">
        <v>4</v>
      </c>
      <c r="C104">
        <v>9</v>
      </c>
      <c r="D104" t="s">
        <v>4278</v>
      </c>
      <c r="G104" t="str">
        <f t="shared" si="1"/>
        <v>(182,4,9,'PRACTICANTES','',''),</v>
      </c>
    </row>
    <row r="105" spans="1:7" x14ac:dyDescent="0.25">
      <c r="A105">
        <v>183</v>
      </c>
      <c r="B105">
        <v>1</v>
      </c>
      <c r="C105">
        <v>28</v>
      </c>
      <c r="D105" t="s">
        <v>4272</v>
      </c>
      <c r="G105" t="str">
        <f t="shared" si="1"/>
        <v>(183,1,28,'ASISTENTES','',''),</v>
      </c>
    </row>
    <row r="106" spans="1:7" x14ac:dyDescent="0.25">
      <c r="A106">
        <v>184</v>
      </c>
      <c r="B106">
        <v>2</v>
      </c>
      <c r="C106">
        <v>7</v>
      </c>
      <c r="D106" t="s">
        <v>4277</v>
      </c>
      <c r="G106" t="str">
        <f t="shared" si="1"/>
        <v>(184,2,7,'ESPECIALISTAS/RESPONSABLES','',''),</v>
      </c>
    </row>
    <row r="107" spans="1:7" x14ac:dyDescent="0.25">
      <c r="A107">
        <v>185</v>
      </c>
      <c r="B107">
        <v>3</v>
      </c>
      <c r="C107">
        <v>16</v>
      </c>
      <c r="D107" t="s">
        <v>4277</v>
      </c>
      <c r="G107" t="str">
        <f t="shared" si="1"/>
        <v>(185,3,16,'ESPECIALISTAS/RESPONSABLES','',''),</v>
      </c>
    </row>
    <row r="108" spans="1:7" x14ac:dyDescent="0.25">
      <c r="A108">
        <v>186</v>
      </c>
      <c r="B108">
        <v>3</v>
      </c>
      <c r="C108">
        <v>16</v>
      </c>
      <c r="D108" t="s">
        <v>4277</v>
      </c>
      <c r="G108" t="str">
        <f t="shared" si="1"/>
        <v>(186,3,16,'ESPECIALISTAS/RESPONSABLES','',''),</v>
      </c>
    </row>
    <row r="109" spans="1:7" x14ac:dyDescent="0.25">
      <c r="A109">
        <v>187</v>
      </c>
      <c r="B109">
        <v>4</v>
      </c>
      <c r="C109">
        <v>11</v>
      </c>
      <c r="D109" t="s">
        <v>4277</v>
      </c>
      <c r="G109" t="str">
        <f t="shared" si="1"/>
        <v>(187,4,11,'ESPECIALISTAS/RESPONSABLES','',''),</v>
      </c>
    </row>
    <row r="110" spans="1:7" x14ac:dyDescent="0.25">
      <c r="A110">
        <v>188</v>
      </c>
      <c r="B110">
        <v>2</v>
      </c>
      <c r="C110">
        <v>7</v>
      </c>
      <c r="D110" t="s">
        <v>4277</v>
      </c>
      <c r="G110" t="str">
        <f t="shared" si="1"/>
        <v>(188,2,7,'ESPECIALISTAS/RESPONSABLES','',''),</v>
      </c>
    </row>
    <row r="111" spans="1:7" x14ac:dyDescent="0.25">
      <c r="A111">
        <v>189</v>
      </c>
      <c r="B111">
        <v>3</v>
      </c>
      <c r="C111">
        <v>17</v>
      </c>
      <c r="D111" t="s">
        <v>4277</v>
      </c>
      <c r="G111" t="str">
        <f t="shared" si="1"/>
        <v>(189,3,17,'ESPECIALISTAS/RESPONSABLES','',''),</v>
      </c>
    </row>
    <row r="112" spans="1:7" x14ac:dyDescent="0.25">
      <c r="A112">
        <v>190</v>
      </c>
      <c r="B112">
        <v>2</v>
      </c>
      <c r="C112">
        <v>1</v>
      </c>
      <c r="D112" t="s">
        <v>4277</v>
      </c>
      <c r="E112" t="s">
        <v>4340</v>
      </c>
      <c r="F112" t="s">
        <v>4340</v>
      </c>
      <c r="G112" t="str">
        <f t="shared" si="1"/>
        <v>(190,2,1,'ESPECIALISTAS/RESPONSABLES','',''),</v>
      </c>
    </row>
    <row r="113" spans="1:7" x14ac:dyDescent="0.25">
      <c r="A113">
        <v>19</v>
      </c>
      <c r="B113">
        <v>1</v>
      </c>
      <c r="C113">
        <v>19</v>
      </c>
      <c r="D113" t="s">
        <v>4271</v>
      </c>
      <c r="G113" t="str">
        <f t="shared" si="1"/>
        <v>(19,1,19,'ANALISTAS','',''),</v>
      </c>
    </row>
    <row r="114" spans="1:7" x14ac:dyDescent="0.25">
      <c r="A114">
        <v>191</v>
      </c>
      <c r="B114">
        <v>2</v>
      </c>
      <c r="C114">
        <v>26</v>
      </c>
      <c r="D114" t="s">
        <v>4277</v>
      </c>
      <c r="G114" t="str">
        <f t="shared" si="1"/>
        <v>(191,2,26,'ESPECIALISTAS/RESPONSABLES','',''),</v>
      </c>
    </row>
    <row r="115" spans="1:7" x14ac:dyDescent="0.25">
      <c r="A115">
        <v>192</v>
      </c>
      <c r="B115">
        <v>2</v>
      </c>
      <c r="C115">
        <v>23</v>
      </c>
      <c r="D115" t="s">
        <v>4277</v>
      </c>
      <c r="G115" t="str">
        <f t="shared" si="1"/>
        <v>(192,2,23,'ESPECIALISTAS/RESPONSABLES','',''),</v>
      </c>
    </row>
    <row r="116" spans="1:7" x14ac:dyDescent="0.25">
      <c r="A116">
        <v>193</v>
      </c>
      <c r="B116">
        <v>2</v>
      </c>
      <c r="C116">
        <v>23</v>
      </c>
      <c r="D116" t="s">
        <v>4277</v>
      </c>
      <c r="G116" t="str">
        <f t="shared" si="1"/>
        <v>(193,2,23,'ESPECIALISTAS/RESPONSABLES','',''),</v>
      </c>
    </row>
    <row r="117" spans="1:7" x14ac:dyDescent="0.25">
      <c r="A117">
        <v>194</v>
      </c>
      <c r="B117">
        <v>1</v>
      </c>
      <c r="C117">
        <v>19</v>
      </c>
      <c r="D117" t="s">
        <v>4277</v>
      </c>
      <c r="G117" t="str">
        <f t="shared" si="1"/>
        <v>(194,1,19,'ESPECIALISTAS/RESPONSABLES','',''),</v>
      </c>
    </row>
    <row r="118" spans="1:7" x14ac:dyDescent="0.25">
      <c r="A118">
        <v>195</v>
      </c>
      <c r="B118">
        <v>3</v>
      </c>
      <c r="C118">
        <v>14</v>
      </c>
      <c r="D118" t="s">
        <v>4277</v>
      </c>
      <c r="G118" t="str">
        <f t="shared" si="1"/>
        <v>(195,3,14,'ESPECIALISTAS/RESPONSABLES','',''),</v>
      </c>
    </row>
    <row r="119" spans="1:7" x14ac:dyDescent="0.25">
      <c r="A119">
        <v>196</v>
      </c>
      <c r="B119">
        <v>3</v>
      </c>
      <c r="C119">
        <v>16</v>
      </c>
      <c r="D119" t="s">
        <v>4277</v>
      </c>
      <c r="G119" t="str">
        <f t="shared" si="1"/>
        <v>(196,3,16,'ESPECIALISTAS/RESPONSABLES','',''),</v>
      </c>
    </row>
    <row r="120" spans="1:7" x14ac:dyDescent="0.25">
      <c r="A120">
        <v>197</v>
      </c>
      <c r="B120">
        <v>3</v>
      </c>
      <c r="C120">
        <v>16</v>
      </c>
      <c r="D120" t="s">
        <v>4277</v>
      </c>
      <c r="G120" t="str">
        <f t="shared" si="1"/>
        <v>(197,3,16,'ESPECIALISTAS/RESPONSABLES','',''),</v>
      </c>
    </row>
    <row r="121" spans="1:7" x14ac:dyDescent="0.25">
      <c r="A121">
        <v>198</v>
      </c>
      <c r="B121">
        <v>4</v>
      </c>
      <c r="C121">
        <v>9</v>
      </c>
      <c r="D121" t="s">
        <v>4273</v>
      </c>
      <c r="E121" t="s">
        <v>7490</v>
      </c>
      <c r="F121" t="s">
        <v>9010</v>
      </c>
      <c r="G121" t="str">
        <f t="shared" si="1"/>
        <v>(198,4,9,'TÉCNICOS','SOLDADOR','OFICIOS SOLDADURA'),</v>
      </c>
    </row>
    <row r="122" spans="1:7" x14ac:dyDescent="0.25">
      <c r="A122">
        <v>199</v>
      </c>
      <c r="B122">
        <v>4</v>
      </c>
      <c r="C122">
        <v>9</v>
      </c>
      <c r="D122" t="s">
        <v>4273</v>
      </c>
      <c r="E122" t="s">
        <v>9013</v>
      </c>
      <c r="F122" t="s">
        <v>9010</v>
      </c>
      <c r="G122" t="str">
        <f t="shared" si="1"/>
        <v>(199,4,9,'TÉCNICOS','PLANCHADOR','OFICIOS SOLDADURA'),</v>
      </c>
    </row>
    <row r="123" spans="1:7" x14ac:dyDescent="0.25">
      <c r="A123">
        <v>199</v>
      </c>
      <c r="B123">
        <v>4</v>
      </c>
      <c r="C123">
        <v>9</v>
      </c>
      <c r="D123" t="s">
        <v>4273</v>
      </c>
      <c r="E123" t="s">
        <v>7490</v>
      </c>
      <c r="F123" t="s">
        <v>9010</v>
      </c>
      <c r="G123" t="str">
        <f t="shared" si="1"/>
        <v>(199,4,9,'TÉCNICOS','SOLDADOR','OFICIOS SOLDADURA'),</v>
      </c>
    </row>
    <row r="124" spans="1:7" x14ac:dyDescent="0.25">
      <c r="A124">
        <v>200</v>
      </c>
      <c r="B124">
        <v>4</v>
      </c>
      <c r="C124">
        <v>9</v>
      </c>
      <c r="D124" t="s">
        <v>4273</v>
      </c>
      <c r="E124" t="s">
        <v>9015</v>
      </c>
      <c r="F124" t="s">
        <v>9010</v>
      </c>
      <c r="G124" t="str">
        <f t="shared" si="1"/>
        <v>(200,4,9,'TÉCNICOS','BARRENADOR','OFICIOS SOLDADURA'),</v>
      </c>
    </row>
    <row r="125" spans="1:7" x14ac:dyDescent="0.25">
      <c r="A125">
        <v>200</v>
      </c>
      <c r="B125">
        <v>4</v>
      </c>
      <c r="C125">
        <v>9</v>
      </c>
      <c r="D125" t="s">
        <v>4273</v>
      </c>
      <c r="E125" t="s">
        <v>9013</v>
      </c>
      <c r="F125" t="s">
        <v>9010</v>
      </c>
      <c r="G125" t="str">
        <f t="shared" si="1"/>
        <v>(200,4,9,'TÉCNICOS','PLANCHADOR','OFICIOS SOLDADURA'),</v>
      </c>
    </row>
    <row r="126" spans="1:7" x14ac:dyDescent="0.25">
      <c r="A126">
        <v>200</v>
      </c>
      <c r="B126">
        <v>4</v>
      </c>
      <c r="C126">
        <v>9</v>
      </c>
      <c r="D126" t="s">
        <v>4273</v>
      </c>
      <c r="E126" t="s">
        <v>7490</v>
      </c>
      <c r="F126" t="s">
        <v>9010</v>
      </c>
      <c r="G126" t="str">
        <f t="shared" si="1"/>
        <v>(200,4,9,'TÉCNICOS','SOLDADOR','OFICIOS SOLDADURA'),</v>
      </c>
    </row>
    <row r="127" spans="1:7" x14ac:dyDescent="0.25">
      <c r="A127">
        <v>20</v>
      </c>
      <c r="B127">
        <v>1</v>
      </c>
      <c r="C127">
        <v>19</v>
      </c>
      <c r="D127" t="s">
        <v>4271</v>
      </c>
      <c r="E127" t="s">
        <v>4340</v>
      </c>
      <c r="F127" t="s">
        <v>4340</v>
      </c>
      <c r="G127" t="str">
        <f t="shared" si="1"/>
        <v>(20,1,19,'ANALISTAS','',''),</v>
      </c>
    </row>
    <row r="128" spans="1:7" x14ac:dyDescent="0.25">
      <c r="A128">
        <v>201</v>
      </c>
      <c r="B128">
        <v>4</v>
      </c>
      <c r="C128">
        <v>9</v>
      </c>
      <c r="D128" t="s">
        <v>4273</v>
      </c>
      <c r="E128" t="s">
        <v>7490</v>
      </c>
      <c r="F128" t="s">
        <v>9010</v>
      </c>
      <c r="G128" t="str">
        <f t="shared" si="1"/>
        <v>(201,4,9,'TÉCNICOS','SOLDADOR','OFICIOS SOLDADURA'),</v>
      </c>
    </row>
    <row r="129" spans="1:7" x14ac:dyDescent="0.25">
      <c r="A129">
        <v>202</v>
      </c>
      <c r="B129">
        <v>4</v>
      </c>
      <c r="C129">
        <v>9</v>
      </c>
      <c r="D129" t="s">
        <v>4273</v>
      </c>
      <c r="E129" t="s">
        <v>7490</v>
      </c>
      <c r="F129" t="s">
        <v>9010</v>
      </c>
      <c r="G129" t="str">
        <f t="shared" si="1"/>
        <v>(202,4,9,'TÉCNICOS','SOLDADOR','OFICIOS SOLDADURA'),</v>
      </c>
    </row>
    <row r="130" spans="1:7" x14ac:dyDescent="0.25">
      <c r="A130">
        <v>203</v>
      </c>
      <c r="B130">
        <v>4</v>
      </c>
      <c r="C130">
        <v>1</v>
      </c>
      <c r="D130" t="s">
        <v>4270</v>
      </c>
      <c r="G130" t="str">
        <f t="shared" si="1"/>
        <v>(203,4,1,'GERENTES','',''),</v>
      </c>
    </row>
    <row r="131" spans="1:7" x14ac:dyDescent="0.25">
      <c r="A131">
        <v>204</v>
      </c>
      <c r="B131">
        <v>2</v>
      </c>
      <c r="C131">
        <v>7</v>
      </c>
      <c r="D131" t="s">
        <v>4275</v>
      </c>
      <c r="G131" t="str">
        <f t="shared" ref="G131:G194" si="2">_xlfn.CONCAT("(",A131,",",B131,",",C131,",'",D131,"',","'",E131,"'",",'",F131,"'","),")</f>
        <v>(204,2,7,'SUPERVISORES/COORDINADORES','',''),</v>
      </c>
    </row>
    <row r="132" spans="1:7" x14ac:dyDescent="0.25">
      <c r="A132">
        <v>205</v>
      </c>
      <c r="B132">
        <v>4</v>
      </c>
      <c r="C132">
        <v>3</v>
      </c>
      <c r="D132" t="s">
        <v>4275</v>
      </c>
      <c r="G132" t="str">
        <f t="shared" si="2"/>
        <v>(205,4,3,'SUPERVISORES/COORDINADORES','',''),</v>
      </c>
    </row>
    <row r="133" spans="1:7" x14ac:dyDescent="0.25">
      <c r="A133">
        <v>206</v>
      </c>
      <c r="B133">
        <v>4</v>
      </c>
      <c r="C133">
        <v>5</v>
      </c>
      <c r="D133" t="s">
        <v>4275</v>
      </c>
      <c r="G133" t="str">
        <f t="shared" si="2"/>
        <v>(206,4,5,'SUPERVISORES/COORDINADORES','',''),</v>
      </c>
    </row>
    <row r="134" spans="1:7" x14ac:dyDescent="0.25">
      <c r="A134">
        <v>207</v>
      </c>
      <c r="B134">
        <v>3</v>
      </c>
      <c r="C134">
        <v>8</v>
      </c>
      <c r="D134" t="s">
        <v>4275</v>
      </c>
      <c r="G134" t="str">
        <f t="shared" si="2"/>
        <v>(207,3,8,'SUPERVISORES/COORDINADORES','',''),</v>
      </c>
    </row>
    <row r="135" spans="1:7" x14ac:dyDescent="0.25">
      <c r="A135">
        <v>208</v>
      </c>
      <c r="B135">
        <v>4</v>
      </c>
      <c r="C135">
        <v>5</v>
      </c>
      <c r="D135" t="s">
        <v>4275</v>
      </c>
      <c r="G135" t="str">
        <f t="shared" si="2"/>
        <v>(208,4,5,'SUPERVISORES/COORDINADORES','',''),</v>
      </c>
    </row>
    <row r="136" spans="1:7" x14ac:dyDescent="0.25">
      <c r="A136">
        <v>209</v>
      </c>
      <c r="B136">
        <v>4</v>
      </c>
      <c r="C136">
        <v>9</v>
      </c>
      <c r="D136" t="s">
        <v>4275</v>
      </c>
      <c r="G136" t="str">
        <f t="shared" si="2"/>
        <v>(209,4,9,'SUPERVISORES/COORDINADORES','',''),</v>
      </c>
    </row>
    <row r="137" spans="1:7" x14ac:dyDescent="0.25">
      <c r="A137">
        <v>210</v>
      </c>
      <c r="B137">
        <v>3</v>
      </c>
      <c r="C137">
        <v>22</v>
      </c>
      <c r="D137" t="s">
        <v>4275</v>
      </c>
      <c r="G137" t="str">
        <f t="shared" si="2"/>
        <v>(210,3,22,'SUPERVISORES/COORDINADORES','',''),</v>
      </c>
    </row>
    <row r="138" spans="1:7" x14ac:dyDescent="0.25">
      <c r="A138">
        <v>21</v>
      </c>
      <c r="B138">
        <v>1</v>
      </c>
      <c r="C138">
        <v>19</v>
      </c>
      <c r="D138" t="s">
        <v>4271</v>
      </c>
      <c r="G138" t="str">
        <f t="shared" si="2"/>
        <v>(21,1,19,'ANALISTAS','',''),</v>
      </c>
    </row>
    <row r="139" spans="1:7" x14ac:dyDescent="0.25">
      <c r="A139">
        <v>211</v>
      </c>
      <c r="B139">
        <v>4</v>
      </c>
      <c r="C139">
        <v>5</v>
      </c>
      <c r="D139" t="s">
        <v>4275</v>
      </c>
      <c r="G139" t="str">
        <f t="shared" si="2"/>
        <v>(211,4,5,'SUPERVISORES/COORDINADORES','',''),</v>
      </c>
    </row>
    <row r="140" spans="1:7" x14ac:dyDescent="0.25">
      <c r="A140">
        <v>212</v>
      </c>
      <c r="B140">
        <v>4</v>
      </c>
      <c r="C140">
        <v>5</v>
      </c>
      <c r="D140" t="s">
        <v>4275</v>
      </c>
      <c r="G140" t="str">
        <f t="shared" si="2"/>
        <v>(212,4,5,'SUPERVISORES/COORDINADORES','',''),</v>
      </c>
    </row>
    <row r="141" spans="1:7" x14ac:dyDescent="0.25">
      <c r="A141">
        <v>213</v>
      </c>
      <c r="B141">
        <v>1</v>
      </c>
      <c r="C141">
        <v>6</v>
      </c>
      <c r="D141" t="s">
        <v>4275</v>
      </c>
      <c r="E141" t="s">
        <v>4340</v>
      </c>
      <c r="F141" t="s">
        <v>4340</v>
      </c>
      <c r="G141" t="str">
        <f t="shared" si="2"/>
        <v>(213,1,6,'SUPERVISORES/COORDINADORES','',''),</v>
      </c>
    </row>
    <row r="142" spans="1:7" x14ac:dyDescent="0.25">
      <c r="A142">
        <v>214</v>
      </c>
      <c r="B142">
        <v>4</v>
      </c>
      <c r="C142">
        <v>5</v>
      </c>
      <c r="D142" t="s">
        <v>4275</v>
      </c>
      <c r="G142" t="str">
        <f t="shared" si="2"/>
        <v>(214,4,5,'SUPERVISORES/COORDINADORES','',''),</v>
      </c>
    </row>
    <row r="143" spans="1:7" x14ac:dyDescent="0.25">
      <c r="A143">
        <v>215</v>
      </c>
      <c r="B143">
        <v>2</v>
      </c>
      <c r="C143">
        <v>12</v>
      </c>
      <c r="D143" t="s">
        <v>4275</v>
      </c>
      <c r="G143" t="str">
        <f t="shared" si="2"/>
        <v>(215,2,12,'SUPERVISORES/COORDINADORES','',''),</v>
      </c>
    </row>
    <row r="144" spans="1:7" x14ac:dyDescent="0.25">
      <c r="A144">
        <v>215</v>
      </c>
      <c r="B144">
        <v>4</v>
      </c>
      <c r="C144">
        <v>9</v>
      </c>
      <c r="D144" t="s">
        <v>4275</v>
      </c>
      <c r="E144" t="s">
        <v>9016</v>
      </c>
      <c r="F144" t="s">
        <v>9012</v>
      </c>
      <c r="G144" t="str">
        <f t="shared" si="2"/>
        <v>(215,4,9,'SUPERVISORES/COORDINADORES','LAVADOR','OFICIOS MÚLTIPLE'),</v>
      </c>
    </row>
    <row r="145" spans="1:7" x14ac:dyDescent="0.25">
      <c r="A145">
        <v>216</v>
      </c>
      <c r="B145">
        <v>3</v>
      </c>
      <c r="C145">
        <v>21</v>
      </c>
      <c r="D145" t="s">
        <v>4275</v>
      </c>
      <c r="G145" t="str">
        <f t="shared" si="2"/>
        <v>(216,3,21,'SUPERVISORES/COORDINADORES','',''),</v>
      </c>
    </row>
    <row r="146" spans="1:7" x14ac:dyDescent="0.25">
      <c r="A146">
        <v>2</v>
      </c>
      <c r="B146">
        <v>1</v>
      </c>
      <c r="C146">
        <v>6</v>
      </c>
      <c r="D146" t="s">
        <v>4273</v>
      </c>
      <c r="E146" t="s">
        <v>4340</v>
      </c>
      <c r="F146" t="s">
        <v>4340</v>
      </c>
      <c r="G146" t="str">
        <f t="shared" si="2"/>
        <v>(2,1,6,'TÉCNICOS','',''),</v>
      </c>
    </row>
    <row r="147" spans="1:7" x14ac:dyDescent="0.25">
      <c r="A147">
        <v>217</v>
      </c>
      <c r="B147">
        <v>4</v>
      </c>
      <c r="C147">
        <v>9</v>
      </c>
      <c r="D147" t="s">
        <v>4273</v>
      </c>
      <c r="E147" t="s">
        <v>9009</v>
      </c>
      <c r="F147" t="s">
        <v>4273</v>
      </c>
      <c r="G147" t="str">
        <f t="shared" si="2"/>
        <v>(217,4,9,'TÉCNICOS','MECÁNICO','TÉCNICOS'),</v>
      </c>
    </row>
    <row r="148" spans="1:7" x14ac:dyDescent="0.25">
      <c r="A148">
        <v>218</v>
      </c>
      <c r="B148">
        <v>4</v>
      </c>
      <c r="C148">
        <v>5</v>
      </c>
      <c r="D148" t="s">
        <v>4273</v>
      </c>
      <c r="E148" t="s">
        <v>9014</v>
      </c>
      <c r="F148" t="s">
        <v>4273</v>
      </c>
      <c r="G148" t="str">
        <f t="shared" si="2"/>
        <v>(218,4,5,'TÉCNICOS','ELECTRICISTA MECÁNICO','TÉCNICOS'),</v>
      </c>
    </row>
    <row r="149" spans="1:7" x14ac:dyDescent="0.25">
      <c r="A149">
        <v>218</v>
      </c>
      <c r="B149">
        <v>4</v>
      </c>
      <c r="C149">
        <v>9</v>
      </c>
      <c r="D149" t="s">
        <v>4273</v>
      </c>
      <c r="E149" t="s">
        <v>9014</v>
      </c>
      <c r="F149" t="s">
        <v>4273</v>
      </c>
      <c r="G149" t="str">
        <f t="shared" si="2"/>
        <v>(218,4,9,'TÉCNICOS','ELECTRICISTA MECÁNICO','TÉCNICOS'),</v>
      </c>
    </row>
    <row r="150" spans="1:7" x14ac:dyDescent="0.25">
      <c r="A150">
        <v>219</v>
      </c>
      <c r="B150">
        <v>4</v>
      </c>
      <c r="C150">
        <v>9</v>
      </c>
      <c r="D150" t="s">
        <v>4273</v>
      </c>
      <c r="E150" t="s">
        <v>9009</v>
      </c>
      <c r="F150" t="s">
        <v>4273</v>
      </c>
      <c r="G150" t="str">
        <f t="shared" si="2"/>
        <v>(219,4,9,'TÉCNICOS','MECÁNICO','TÉCNICOS'),</v>
      </c>
    </row>
    <row r="151" spans="1:7" x14ac:dyDescent="0.25">
      <c r="A151">
        <v>220</v>
      </c>
      <c r="B151">
        <v>4</v>
      </c>
      <c r="C151">
        <v>5</v>
      </c>
      <c r="D151" t="s">
        <v>4273</v>
      </c>
      <c r="E151" t="s">
        <v>9009</v>
      </c>
      <c r="F151" t="s">
        <v>4273</v>
      </c>
      <c r="G151" t="str">
        <f t="shared" si="2"/>
        <v>(220,4,5,'TÉCNICOS','MECÁNICO','TÉCNICOS'),</v>
      </c>
    </row>
    <row r="152" spans="1:7" x14ac:dyDescent="0.25">
      <c r="A152">
        <v>22</v>
      </c>
      <c r="B152">
        <v>1</v>
      </c>
      <c r="C152">
        <v>19</v>
      </c>
      <c r="D152" t="s">
        <v>4271</v>
      </c>
      <c r="G152" t="str">
        <f t="shared" si="2"/>
        <v>(22,1,19,'ANALISTAS','',''),</v>
      </c>
    </row>
    <row r="153" spans="1:7" x14ac:dyDescent="0.25">
      <c r="A153">
        <v>221</v>
      </c>
      <c r="B153">
        <v>4</v>
      </c>
      <c r="C153">
        <v>5</v>
      </c>
      <c r="D153" t="s">
        <v>4273</v>
      </c>
      <c r="E153" t="s">
        <v>9014</v>
      </c>
      <c r="F153" t="s">
        <v>4273</v>
      </c>
      <c r="G153" t="str">
        <f t="shared" si="2"/>
        <v>(221,4,5,'TÉCNICOS','ELECTRICISTA MECÁNICO','TÉCNICOS'),</v>
      </c>
    </row>
    <row r="154" spans="1:7" x14ac:dyDescent="0.25">
      <c r="A154">
        <v>222</v>
      </c>
      <c r="B154">
        <v>3</v>
      </c>
      <c r="C154">
        <v>8</v>
      </c>
      <c r="D154" t="s">
        <v>4273</v>
      </c>
      <c r="G154" t="str">
        <f t="shared" si="2"/>
        <v>(222,3,8,'TÉCNICOS','',''),</v>
      </c>
    </row>
    <row r="155" spans="1:7" x14ac:dyDescent="0.25">
      <c r="A155">
        <v>222</v>
      </c>
      <c r="B155">
        <v>4</v>
      </c>
      <c r="C155">
        <v>5</v>
      </c>
      <c r="D155" t="s">
        <v>4273</v>
      </c>
      <c r="G155" t="str">
        <f t="shared" si="2"/>
        <v>(222,4,5,'TÉCNICOS','',''),</v>
      </c>
    </row>
    <row r="156" spans="1:7" x14ac:dyDescent="0.25">
      <c r="A156">
        <v>222</v>
      </c>
      <c r="B156">
        <v>4</v>
      </c>
      <c r="C156">
        <v>5</v>
      </c>
      <c r="D156" t="s">
        <v>4273</v>
      </c>
      <c r="E156" t="s">
        <v>9018</v>
      </c>
      <c r="F156" t="s">
        <v>4273</v>
      </c>
      <c r="G156" t="str">
        <f t="shared" si="2"/>
        <v>(222,4,5,'TÉCNICOS','MECÁNICO AGRÍCOLA','TÉCNICOS'),</v>
      </c>
    </row>
    <row r="157" spans="1:7" x14ac:dyDescent="0.25">
      <c r="A157">
        <v>222</v>
      </c>
      <c r="B157">
        <v>4</v>
      </c>
      <c r="C157">
        <v>5</v>
      </c>
      <c r="D157" t="s">
        <v>4273</v>
      </c>
      <c r="E157" t="s">
        <v>9009</v>
      </c>
      <c r="F157" t="s">
        <v>4273</v>
      </c>
      <c r="G157" t="str">
        <f t="shared" si="2"/>
        <v>(222,4,5,'TÉCNICOS','MECÁNICO','TÉCNICOS'),</v>
      </c>
    </row>
    <row r="158" spans="1:7" x14ac:dyDescent="0.25">
      <c r="A158">
        <v>222</v>
      </c>
      <c r="B158">
        <v>4</v>
      </c>
      <c r="C158">
        <v>5</v>
      </c>
      <c r="D158" t="s">
        <v>4273</v>
      </c>
      <c r="F158" t="s">
        <v>4273</v>
      </c>
      <c r="G158" t="str">
        <f t="shared" si="2"/>
        <v>(222,4,5,'TÉCNICOS','','TÉCNICOS'),</v>
      </c>
    </row>
    <row r="159" spans="1:7" x14ac:dyDescent="0.25">
      <c r="A159">
        <v>222</v>
      </c>
      <c r="B159">
        <v>4</v>
      </c>
      <c r="C159">
        <v>9</v>
      </c>
      <c r="D159" t="s">
        <v>4273</v>
      </c>
      <c r="G159" t="str">
        <f t="shared" si="2"/>
        <v>(222,4,9,'TÉCNICOS','',''),</v>
      </c>
    </row>
    <row r="160" spans="1:7" x14ac:dyDescent="0.25">
      <c r="A160">
        <v>222</v>
      </c>
      <c r="B160">
        <v>4</v>
      </c>
      <c r="C160">
        <v>9</v>
      </c>
      <c r="D160" t="s">
        <v>4273</v>
      </c>
      <c r="E160" t="s">
        <v>9017</v>
      </c>
      <c r="F160" t="s">
        <v>4273</v>
      </c>
      <c r="G160" t="str">
        <f t="shared" si="2"/>
        <v>(222,4,9,'TÉCNICOS','ELECTRICISTA GENERACIÓN','TÉCNICOS'),</v>
      </c>
    </row>
    <row r="161" spans="1:7" x14ac:dyDescent="0.25">
      <c r="A161">
        <v>222</v>
      </c>
      <c r="B161">
        <v>4</v>
      </c>
      <c r="C161">
        <v>9</v>
      </c>
      <c r="D161" t="s">
        <v>4273</v>
      </c>
      <c r="E161" t="s">
        <v>9014</v>
      </c>
      <c r="F161" t="s">
        <v>4273</v>
      </c>
      <c r="G161" t="str">
        <f t="shared" si="2"/>
        <v>(222,4,9,'TÉCNICOS','ELECTRICISTA MECÁNICO','TÉCNICOS'),</v>
      </c>
    </row>
    <row r="162" spans="1:7" x14ac:dyDescent="0.25">
      <c r="A162">
        <v>222</v>
      </c>
      <c r="B162">
        <v>4</v>
      </c>
      <c r="C162">
        <v>9</v>
      </c>
      <c r="D162" t="s">
        <v>4273</v>
      </c>
      <c r="E162" t="s">
        <v>9009</v>
      </c>
      <c r="F162" t="s">
        <v>4273</v>
      </c>
      <c r="G162" t="str">
        <f t="shared" si="2"/>
        <v>(222,4,9,'TÉCNICOS','MECÁNICO','TÉCNICOS'),</v>
      </c>
    </row>
    <row r="163" spans="1:7" x14ac:dyDescent="0.25">
      <c r="A163">
        <v>223</v>
      </c>
      <c r="B163">
        <v>4</v>
      </c>
      <c r="C163">
        <v>5</v>
      </c>
      <c r="D163" t="s">
        <v>4273</v>
      </c>
      <c r="G163" t="str">
        <f t="shared" si="2"/>
        <v>(223,4,5,'TÉCNICOS','',''),</v>
      </c>
    </row>
    <row r="164" spans="1:7" x14ac:dyDescent="0.25">
      <c r="A164">
        <v>223</v>
      </c>
      <c r="B164">
        <v>4</v>
      </c>
      <c r="C164">
        <v>5</v>
      </c>
      <c r="D164" t="s">
        <v>4273</v>
      </c>
      <c r="E164" t="s">
        <v>9009</v>
      </c>
      <c r="F164" t="s">
        <v>4273</v>
      </c>
      <c r="G164" t="str">
        <f t="shared" si="2"/>
        <v>(223,4,5,'TÉCNICOS','MECÁNICO','TÉCNICOS'),</v>
      </c>
    </row>
    <row r="165" spans="1:7" x14ac:dyDescent="0.25">
      <c r="A165">
        <v>223</v>
      </c>
      <c r="B165">
        <v>4</v>
      </c>
      <c r="C165">
        <v>5</v>
      </c>
      <c r="D165" t="s">
        <v>4273</v>
      </c>
      <c r="F165" t="s">
        <v>4273</v>
      </c>
      <c r="G165" t="str">
        <f t="shared" si="2"/>
        <v>(223,4,5,'TÉCNICOS','','TÉCNICOS'),</v>
      </c>
    </row>
    <row r="166" spans="1:7" x14ac:dyDescent="0.25">
      <c r="A166">
        <v>223</v>
      </c>
      <c r="B166">
        <v>4</v>
      </c>
      <c r="C166">
        <v>9</v>
      </c>
      <c r="D166" t="s">
        <v>4273</v>
      </c>
      <c r="E166" t="s">
        <v>9017</v>
      </c>
      <c r="F166" t="s">
        <v>4273</v>
      </c>
      <c r="G166" t="str">
        <f t="shared" si="2"/>
        <v>(223,4,9,'TÉCNICOS','ELECTRICISTA GENERACIÓN','TÉCNICOS'),</v>
      </c>
    </row>
    <row r="167" spans="1:7" x14ac:dyDescent="0.25">
      <c r="A167">
        <v>223</v>
      </c>
      <c r="B167">
        <v>4</v>
      </c>
      <c r="C167">
        <v>9</v>
      </c>
      <c r="D167" t="s">
        <v>4273</v>
      </c>
      <c r="E167" t="s">
        <v>9014</v>
      </c>
      <c r="F167" t="s">
        <v>4273</v>
      </c>
      <c r="G167" t="str">
        <f t="shared" si="2"/>
        <v>(223,4,9,'TÉCNICOS','ELECTRICISTA MECÁNICO','TÉCNICOS'),</v>
      </c>
    </row>
    <row r="168" spans="1:7" x14ac:dyDescent="0.25">
      <c r="A168">
        <v>223</v>
      </c>
      <c r="B168">
        <v>4</v>
      </c>
      <c r="C168">
        <v>9</v>
      </c>
      <c r="D168" t="s">
        <v>4273</v>
      </c>
      <c r="E168" t="s">
        <v>9018</v>
      </c>
      <c r="F168" t="s">
        <v>4273</v>
      </c>
      <c r="G168" t="str">
        <f t="shared" si="2"/>
        <v>(223,4,9,'TÉCNICOS','MECÁNICO AGRÍCOLA','TÉCNICOS'),</v>
      </c>
    </row>
    <row r="169" spans="1:7" x14ac:dyDescent="0.25">
      <c r="A169">
        <v>223</v>
      </c>
      <c r="B169">
        <v>4</v>
      </c>
      <c r="C169">
        <v>9</v>
      </c>
      <c r="D169" t="s">
        <v>4273</v>
      </c>
      <c r="E169" t="s">
        <v>9009</v>
      </c>
      <c r="F169" t="s">
        <v>4273</v>
      </c>
      <c r="G169" t="str">
        <f t="shared" si="2"/>
        <v>(223,4,9,'TÉCNICOS','MECÁNICO','TÉCNICOS'),</v>
      </c>
    </row>
    <row r="170" spans="1:7" x14ac:dyDescent="0.25">
      <c r="A170">
        <v>224</v>
      </c>
      <c r="B170">
        <v>4</v>
      </c>
      <c r="C170">
        <v>5</v>
      </c>
      <c r="D170" t="s">
        <v>4273</v>
      </c>
      <c r="G170" t="str">
        <f t="shared" si="2"/>
        <v>(224,4,5,'TÉCNICOS','',''),</v>
      </c>
    </row>
    <row r="171" spans="1:7" x14ac:dyDescent="0.25">
      <c r="A171">
        <v>224</v>
      </c>
      <c r="B171">
        <v>4</v>
      </c>
      <c r="C171">
        <v>5</v>
      </c>
      <c r="D171" t="s">
        <v>4273</v>
      </c>
      <c r="F171" t="s">
        <v>4273</v>
      </c>
      <c r="G171" t="str">
        <f t="shared" si="2"/>
        <v>(224,4,5,'TÉCNICOS','','TÉCNICOS'),</v>
      </c>
    </row>
    <row r="172" spans="1:7" x14ac:dyDescent="0.25">
      <c r="A172">
        <v>224</v>
      </c>
      <c r="B172">
        <v>4</v>
      </c>
      <c r="C172">
        <v>9</v>
      </c>
      <c r="D172" t="s">
        <v>4273</v>
      </c>
      <c r="E172" t="s">
        <v>9009</v>
      </c>
      <c r="F172" t="s">
        <v>4273</v>
      </c>
      <c r="G172" t="str">
        <f t="shared" si="2"/>
        <v>(224,4,9,'TÉCNICOS','MECÁNICO','TÉCNICOS'),</v>
      </c>
    </row>
    <row r="173" spans="1:7" x14ac:dyDescent="0.25">
      <c r="A173">
        <v>23</v>
      </c>
      <c r="B173">
        <v>1</v>
      </c>
      <c r="C173">
        <v>2</v>
      </c>
      <c r="D173" t="s">
        <v>4271</v>
      </c>
      <c r="G173" t="str">
        <f t="shared" si="2"/>
        <v>(23,1,2,'ANALISTAS','',''),</v>
      </c>
    </row>
    <row r="174" spans="1:7" x14ac:dyDescent="0.25">
      <c r="A174">
        <v>24</v>
      </c>
      <c r="B174">
        <v>1</v>
      </c>
      <c r="C174">
        <v>29</v>
      </c>
      <c r="D174" t="s">
        <v>4271</v>
      </c>
      <c r="G174" t="str">
        <f t="shared" si="2"/>
        <v>(24,1,29,'ANALISTAS','',''),</v>
      </c>
    </row>
    <row r="175" spans="1:7" x14ac:dyDescent="0.25">
      <c r="A175">
        <v>25</v>
      </c>
      <c r="B175">
        <v>1</v>
      </c>
      <c r="C175">
        <v>10</v>
      </c>
      <c r="D175" t="s">
        <v>4271</v>
      </c>
      <c r="G175" t="str">
        <f t="shared" si="2"/>
        <v>(25,1,10,'ANALISTAS','',''),</v>
      </c>
    </row>
    <row r="176" spans="1:7" x14ac:dyDescent="0.25">
      <c r="A176">
        <v>26</v>
      </c>
      <c r="B176">
        <v>2</v>
      </c>
      <c r="C176">
        <v>12</v>
      </c>
      <c r="D176" t="s">
        <v>4276</v>
      </c>
      <c r="G176" t="str">
        <f t="shared" si="2"/>
        <v>(26,2,12,'EJECUTIVOS/ASESORES','',''),</v>
      </c>
    </row>
    <row r="177" spans="1:7" x14ac:dyDescent="0.25">
      <c r="A177">
        <v>27</v>
      </c>
      <c r="B177">
        <v>4</v>
      </c>
      <c r="C177">
        <v>11</v>
      </c>
      <c r="D177" t="s">
        <v>4276</v>
      </c>
      <c r="G177" t="str">
        <f t="shared" si="2"/>
        <v>(27,4,11,'EJECUTIVOS/ASESORES','',''),</v>
      </c>
    </row>
    <row r="178" spans="1:7" x14ac:dyDescent="0.25">
      <c r="A178">
        <v>28</v>
      </c>
      <c r="B178">
        <v>3</v>
      </c>
      <c r="C178">
        <v>13</v>
      </c>
      <c r="D178" t="s">
        <v>4272</v>
      </c>
      <c r="G178" t="str">
        <f t="shared" si="2"/>
        <v>(28,3,13,'ASISTENTES','',''),</v>
      </c>
    </row>
    <row r="179" spans="1:7" x14ac:dyDescent="0.25">
      <c r="A179">
        <v>28</v>
      </c>
      <c r="B179">
        <v>3</v>
      </c>
      <c r="C179">
        <v>13</v>
      </c>
      <c r="D179" t="s">
        <v>4276</v>
      </c>
      <c r="G179" t="str">
        <f t="shared" si="2"/>
        <v>(28,3,13,'EJECUTIVOS/ASESORES','',''),</v>
      </c>
    </row>
    <row r="180" spans="1:7" x14ac:dyDescent="0.25">
      <c r="A180">
        <v>29</v>
      </c>
      <c r="B180">
        <v>3</v>
      </c>
      <c r="C180">
        <v>13</v>
      </c>
      <c r="D180" t="s">
        <v>4276</v>
      </c>
      <c r="G180" t="str">
        <f t="shared" si="2"/>
        <v>(29,3,13,'EJECUTIVOS/ASESORES','',''),</v>
      </c>
    </row>
    <row r="181" spans="1:7" x14ac:dyDescent="0.25">
      <c r="A181">
        <v>30</v>
      </c>
      <c r="B181">
        <v>1</v>
      </c>
      <c r="C181">
        <v>19</v>
      </c>
      <c r="D181" t="s">
        <v>4272</v>
      </c>
      <c r="G181" t="str">
        <f t="shared" si="2"/>
        <v>(30,1,19,'ASISTENTES','',''),</v>
      </c>
    </row>
    <row r="182" spans="1:7" x14ac:dyDescent="0.25">
      <c r="A182">
        <v>31</v>
      </c>
      <c r="B182">
        <v>1</v>
      </c>
      <c r="C182">
        <v>1</v>
      </c>
      <c r="D182" t="s">
        <v>4272</v>
      </c>
      <c r="G182" t="str">
        <f t="shared" si="2"/>
        <v>(31,1,1,'ASISTENTES','',''),</v>
      </c>
    </row>
    <row r="183" spans="1:7" x14ac:dyDescent="0.25">
      <c r="A183">
        <v>3</v>
      </c>
      <c r="B183">
        <v>2</v>
      </c>
      <c r="C183">
        <v>1</v>
      </c>
      <c r="D183" t="s">
        <v>4271</v>
      </c>
      <c r="G183" t="str">
        <f t="shared" si="2"/>
        <v>(3,2,1,'ANALISTAS','',''),</v>
      </c>
    </row>
    <row r="184" spans="1:7" x14ac:dyDescent="0.25">
      <c r="A184">
        <v>32</v>
      </c>
      <c r="B184">
        <v>2</v>
      </c>
      <c r="C184">
        <v>7</v>
      </c>
      <c r="D184" t="s">
        <v>4272</v>
      </c>
      <c r="G184" t="str">
        <f t="shared" si="2"/>
        <v>(32,2,7,'ASISTENTES','',''),</v>
      </c>
    </row>
    <row r="185" spans="1:7" x14ac:dyDescent="0.25">
      <c r="A185">
        <v>33</v>
      </c>
      <c r="B185">
        <v>2</v>
      </c>
      <c r="C185">
        <v>12</v>
      </c>
      <c r="D185" t="s">
        <v>4272</v>
      </c>
      <c r="G185" t="str">
        <f t="shared" si="2"/>
        <v>(33,2,12,'ASISTENTES','',''),</v>
      </c>
    </row>
    <row r="186" spans="1:7" x14ac:dyDescent="0.25">
      <c r="A186">
        <v>33</v>
      </c>
      <c r="B186">
        <v>2</v>
      </c>
      <c r="C186">
        <v>7</v>
      </c>
      <c r="D186" t="s">
        <v>4272</v>
      </c>
      <c r="G186" t="str">
        <f t="shared" si="2"/>
        <v>(33,2,7,'ASISTENTES','',''),</v>
      </c>
    </row>
    <row r="187" spans="1:7" x14ac:dyDescent="0.25">
      <c r="A187">
        <v>34</v>
      </c>
      <c r="B187">
        <v>3</v>
      </c>
      <c r="C187">
        <v>13</v>
      </c>
      <c r="D187" t="s">
        <v>4272</v>
      </c>
      <c r="G187" t="str">
        <f t="shared" si="2"/>
        <v>(34,3,13,'ASISTENTES','',''),</v>
      </c>
    </row>
    <row r="188" spans="1:7" x14ac:dyDescent="0.25">
      <c r="A188">
        <v>35</v>
      </c>
      <c r="B188">
        <v>3</v>
      </c>
      <c r="C188">
        <v>13</v>
      </c>
      <c r="D188" t="s">
        <v>4272</v>
      </c>
      <c r="G188" t="str">
        <f t="shared" si="2"/>
        <v>(35,3,13,'ASISTENTES','',''),</v>
      </c>
    </row>
    <row r="189" spans="1:7" x14ac:dyDescent="0.25">
      <c r="A189">
        <v>36</v>
      </c>
      <c r="B189">
        <v>1</v>
      </c>
      <c r="C189">
        <v>24</v>
      </c>
      <c r="D189" t="s">
        <v>4272</v>
      </c>
      <c r="G189" t="str">
        <f t="shared" si="2"/>
        <v>(36,1,24,'ASISTENTES','',''),</v>
      </c>
    </row>
    <row r="190" spans="1:7" x14ac:dyDescent="0.25">
      <c r="A190">
        <v>37</v>
      </c>
      <c r="B190">
        <v>3</v>
      </c>
      <c r="C190">
        <v>8</v>
      </c>
      <c r="D190" t="s">
        <v>4272</v>
      </c>
      <c r="G190" t="str">
        <f t="shared" si="2"/>
        <v>(37,3,8,'ASISTENTES','',''),</v>
      </c>
    </row>
    <row r="191" spans="1:7" x14ac:dyDescent="0.25">
      <c r="A191">
        <v>38</v>
      </c>
      <c r="B191">
        <v>3</v>
      </c>
      <c r="C191">
        <v>16</v>
      </c>
      <c r="D191" t="s">
        <v>4272</v>
      </c>
      <c r="G191" t="str">
        <f t="shared" si="2"/>
        <v>(38,3,16,'ASISTENTES','',''),</v>
      </c>
    </row>
    <row r="192" spans="1:7" x14ac:dyDescent="0.25">
      <c r="A192">
        <v>38</v>
      </c>
      <c r="B192">
        <v>3</v>
      </c>
      <c r="C192">
        <v>17</v>
      </c>
      <c r="D192" t="s">
        <v>4272</v>
      </c>
      <c r="G192" t="str">
        <f t="shared" si="2"/>
        <v>(38,3,17,'ASISTENTES','',''),</v>
      </c>
    </row>
    <row r="193" spans="1:7" x14ac:dyDescent="0.25">
      <c r="A193">
        <v>38</v>
      </c>
      <c r="B193">
        <v>4</v>
      </c>
      <c r="C193">
        <v>5</v>
      </c>
      <c r="D193" t="s">
        <v>4272</v>
      </c>
      <c r="G193" t="str">
        <f t="shared" si="2"/>
        <v>(38,4,5,'ASISTENTES','',''),</v>
      </c>
    </row>
    <row r="194" spans="1:7" x14ac:dyDescent="0.25">
      <c r="A194">
        <v>39</v>
      </c>
      <c r="B194">
        <v>4</v>
      </c>
      <c r="C194">
        <v>3</v>
      </c>
      <c r="D194" t="s">
        <v>4272</v>
      </c>
      <c r="G194" t="str">
        <f t="shared" si="2"/>
        <v>(39,4,3,'ASISTENTES','',''),</v>
      </c>
    </row>
    <row r="195" spans="1:7" x14ac:dyDescent="0.25">
      <c r="A195">
        <v>40</v>
      </c>
      <c r="B195">
        <v>3</v>
      </c>
      <c r="C195">
        <v>8</v>
      </c>
      <c r="D195" t="s">
        <v>4272</v>
      </c>
      <c r="E195" t="s">
        <v>4340</v>
      </c>
      <c r="F195" t="s">
        <v>4340</v>
      </c>
      <c r="G195" t="str">
        <f t="shared" ref="G195:G258" si="3">_xlfn.CONCAT("(",A195,",",B195,",",C195,",'",D195,"',","'",E195,"'",",'",F195,"'","),")</f>
        <v>(40,3,8,'ASISTENTES','',''),</v>
      </c>
    </row>
    <row r="196" spans="1:7" x14ac:dyDescent="0.25">
      <c r="A196">
        <v>41</v>
      </c>
      <c r="B196">
        <v>2</v>
      </c>
      <c r="C196">
        <v>27</v>
      </c>
      <c r="D196" t="s">
        <v>4272</v>
      </c>
      <c r="G196" t="str">
        <f t="shared" si="3"/>
        <v>(41,2,27,'ASISTENTES','',''),</v>
      </c>
    </row>
    <row r="197" spans="1:7" x14ac:dyDescent="0.25">
      <c r="A197">
        <v>42</v>
      </c>
      <c r="B197">
        <v>2</v>
      </c>
      <c r="C197">
        <v>26</v>
      </c>
      <c r="D197" t="s">
        <v>4272</v>
      </c>
      <c r="G197" t="str">
        <f t="shared" si="3"/>
        <v>(42,2,26,'ASISTENTES','',''),</v>
      </c>
    </row>
    <row r="198" spans="1:7" x14ac:dyDescent="0.25">
      <c r="A198">
        <v>4</v>
      </c>
      <c r="B198">
        <v>3</v>
      </c>
      <c r="C198">
        <v>16</v>
      </c>
      <c r="D198" t="s">
        <v>4271</v>
      </c>
      <c r="G198" t="str">
        <f t="shared" si="3"/>
        <v>(4,3,16,'ANALISTAS','',''),</v>
      </c>
    </row>
    <row r="199" spans="1:7" x14ac:dyDescent="0.25">
      <c r="A199">
        <v>43</v>
      </c>
      <c r="B199">
        <v>3</v>
      </c>
      <c r="C199">
        <v>16</v>
      </c>
      <c r="D199" t="s">
        <v>4272</v>
      </c>
      <c r="G199" t="str">
        <f t="shared" si="3"/>
        <v>(43,3,16,'ASISTENTES','',''),</v>
      </c>
    </row>
    <row r="200" spans="1:7" x14ac:dyDescent="0.25">
      <c r="A200">
        <v>44</v>
      </c>
      <c r="B200">
        <v>1</v>
      </c>
      <c r="C200">
        <v>1</v>
      </c>
      <c r="D200" t="s">
        <v>4272</v>
      </c>
      <c r="G200" t="str">
        <f t="shared" si="3"/>
        <v>(44,1,1,'ASISTENTES','',''),</v>
      </c>
    </row>
    <row r="201" spans="1:7" x14ac:dyDescent="0.25">
      <c r="A201">
        <v>45</v>
      </c>
      <c r="B201">
        <v>3</v>
      </c>
      <c r="C201">
        <v>25</v>
      </c>
      <c r="D201" t="s">
        <v>4272</v>
      </c>
      <c r="G201" t="str">
        <f t="shared" si="3"/>
        <v>(45,3,25,'ASISTENTES','',''),</v>
      </c>
    </row>
    <row r="202" spans="1:7" x14ac:dyDescent="0.25">
      <c r="A202">
        <v>46</v>
      </c>
      <c r="B202">
        <v>2</v>
      </c>
      <c r="C202">
        <v>23</v>
      </c>
      <c r="D202" t="s">
        <v>4272</v>
      </c>
      <c r="G202" t="str">
        <f t="shared" si="3"/>
        <v>(46,2,23,'ASISTENTES','',''),</v>
      </c>
    </row>
    <row r="203" spans="1:7" x14ac:dyDescent="0.25">
      <c r="A203">
        <v>47</v>
      </c>
      <c r="B203">
        <v>3</v>
      </c>
      <c r="C203">
        <v>16</v>
      </c>
      <c r="D203" t="s">
        <v>4272</v>
      </c>
      <c r="G203" t="str">
        <f t="shared" si="3"/>
        <v>(47,3,16,'ASISTENTES','',''),</v>
      </c>
    </row>
    <row r="204" spans="1:7" x14ac:dyDescent="0.25">
      <c r="A204">
        <v>48</v>
      </c>
      <c r="B204">
        <v>4</v>
      </c>
      <c r="C204">
        <v>5</v>
      </c>
      <c r="D204" t="s">
        <v>4272</v>
      </c>
      <c r="G204" t="str">
        <f t="shared" si="3"/>
        <v>(48,4,5,'ASISTENTES','',''),</v>
      </c>
    </row>
    <row r="205" spans="1:7" x14ac:dyDescent="0.25">
      <c r="A205">
        <v>49</v>
      </c>
      <c r="B205">
        <v>4</v>
      </c>
      <c r="C205">
        <v>9</v>
      </c>
      <c r="D205" t="s">
        <v>4272</v>
      </c>
      <c r="G205" t="str">
        <f t="shared" si="3"/>
        <v>(49,4,9,'ASISTENTES','',''),</v>
      </c>
    </row>
    <row r="206" spans="1:7" x14ac:dyDescent="0.25">
      <c r="A206">
        <v>50</v>
      </c>
      <c r="B206">
        <v>2</v>
      </c>
      <c r="C206">
        <v>23</v>
      </c>
      <c r="D206" t="s">
        <v>4272</v>
      </c>
      <c r="G206" t="str">
        <f t="shared" si="3"/>
        <v>(50,2,23,'ASISTENTES','',''),</v>
      </c>
    </row>
    <row r="207" spans="1:7" x14ac:dyDescent="0.25">
      <c r="A207">
        <v>51</v>
      </c>
      <c r="B207">
        <v>3</v>
      </c>
      <c r="C207">
        <v>14</v>
      </c>
      <c r="D207" t="s">
        <v>4272</v>
      </c>
      <c r="G207" t="str">
        <f t="shared" si="3"/>
        <v>(51,3,14,'ASISTENTES','',''),</v>
      </c>
    </row>
    <row r="208" spans="1:7" x14ac:dyDescent="0.25">
      <c r="A208">
        <v>51</v>
      </c>
      <c r="B208">
        <v>3</v>
      </c>
      <c r="C208">
        <v>22</v>
      </c>
      <c r="D208" t="s">
        <v>4272</v>
      </c>
      <c r="G208" t="str">
        <f t="shared" si="3"/>
        <v>(51,3,22,'ASISTENTES','',''),</v>
      </c>
    </row>
    <row r="209" spans="1:7" x14ac:dyDescent="0.25">
      <c r="A209">
        <v>52</v>
      </c>
      <c r="B209">
        <v>4</v>
      </c>
      <c r="C209">
        <v>9</v>
      </c>
      <c r="D209" t="s">
        <v>4272</v>
      </c>
      <c r="G209" t="str">
        <f t="shared" si="3"/>
        <v>(52,4,9,'ASISTENTES','',''),</v>
      </c>
    </row>
    <row r="210" spans="1:7" x14ac:dyDescent="0.25">
      <c r="A210">
        <v>53</v>
      </c>
      <c r="B210">
        <v>4</v>
      </c>
      <c r="C210">
        <v>9</v>
      </c>
      <c r="D210" t="s">
        <v>4272</v>
      </c>
      <c r="G210" t="str">
        <f t="shared" si="3"/>
        <v>(53,4,9,'ASISTENTES','',''),</v>
      </c>
    </row>
    <row r="211" spans="1:7" x14ac:dyDescent="0.25">
      <c r="A211">
        <v>5</v>
      </c>
      <c r="B211">
        <v>4</v>
      </c>
      <c r="C211">
        <v>3</v>
      </c>
      <c r="D211" t="s">
        <v>4271</v>
      </c>
      <c r="G211" t="str">
        <f t="shared" si="3"/>
        <v>(5,4,3,'ANALISTAS','',''),</v>
      </c>
    </row>
    <row r="212" spans="1:7" x14ac:dyDescent="0.25">
      <c r="A212">
        <v>54</v>
      </c>
      <c r="B212">
        <v>4</v>
      </c>
      <c r="C212">
        <v>5</v>
      </c>
      <c r="D212" t="s">
        <v>4272</v>
      </c>
      <c r="G212" t="str">
        <f t="shared" si="3"/>
        <v>(54,4,5,'ASISTENTES','',''),</v>
      </c>
    </row>
    <row r="213" spans="1:7" x14ac:dyDescent="0.25">
      <c r="A213">
        <v>55</v>
      </c>
      <c r="B213">
        <v>4</v>
      </c>
      <c r="C213">
        <v>15</v>
      </c>
      <c r="D213" t="s">
        <v>4272</v>
      </c>
      <c r="G213" t="str">
        <f t="shared" si="3"/>
        <v>(55,4,15,'ASISTENTES','',''),</v>
      </c>
    </row>
    <row r="214" spans="1:7" x14ac:dyDescent="0.25">
      <c r="A214">
        <v>56</v>
      </c>
      <c r="B214">
        <v>4</v>
      </c>
      <c r="C214">
        <v>9</v>
      </c>
      <c r="D214" t="s">
        <v>4272</v>
      </c>
      <c r="G214" t="str">
        <f t="shared" si="3"/>
        <v>(56,4,9,'ASISTENTES','',''),</v>
      </c>
    </row>
    <row r="215" spans="1:7" x14ac:dyDescent="0.25">
      <c r="A215">
        <v>57</v>
      </c>
      <c r="B215">
        <v>4</v>
      </c>
      <c r="C215">
        <v>9</v>
      </c>
      <c r="D215" t="s">
        <v>4272</v>
      </c>
      <c r="G215" t="str">
        <f t="shared" si="3"/>
        <v>(57,4,9,'ASISTENTES','',''),</v>
      </c>
    </row>
    <row r="216" spans="1:7" x14ac:dyDescent="0.25">
      <c r="A216">
        <v>58</v>
      </c>
      <c r="B216">
        <v>3</v>
      </c>
      <c r="C216">
        <v>13</v>
      </c>
      <c r="D216" t="s">
        <v>4272</v>
      </c>
      <c r="E216" t="s">
        <v>4340</v>
      </c>
      <c r="F216" t="s">
        <v>4340</v>
      </c>
      <c r="G216" t="str">
        <f t="shared" si="3"/>
        <v>(58,3,13,'ASISTENTES','',''),</v>
      </c>
    </row>
    <row r="217" spans="1:7" x14ac:dyDescent="0.25">
      <c r="A217">
        <v>59</v>
      </c>
      <c r="B217">
        <v>1</v>
      </c>
      <c r="C217">
        <v>19</v>
      </c>
      <c r="D217" t="s">
        <v>4272</v>
      </c>
      <c r="G217" t="str">
        <f t="shared" si="3"/>
        <v>(59,1,19,'ASISTENTES','',''),</v>
      </c>
    </row>
    <row r="218" spans="1:7" x14ac:dyDescent="0.25">
      <c r="A218">
        <v>60</v>
      </c>
      <c r="B218">
        <v>1</v>
      </c>
      <c r="C218">
        <v>6</v>
      </c>
      <c r="D218" t="s">
        <v>4272</v>
      </c>
      <c r="G218" t="str">
        <f t="shared" si="3"/>
        <v>(60,1,6,'ASISTENTES','',''),</v>
      </c>
    </row>
    <row r="219" spans="1:7" x14ac:dyDescent="0.25">
      <c r="A219">
        <v>61</v>
      </c>
      <c r="B219">
        <v>3</v>
      </c>
      <c r="C219">
        <v>21</v>
      </c>
      <c r="D219" t="s">
        <v>4272</v>
      </c>
      <c r="G219" t="str">
        <f t="shared" si="3"/>
        <v>(61,3,21,'ASISTENTES','',''),</v>
      </c>
    </row>
    <row r="220" spans="1:7" x14ac:dyDescent="0.25">
      <c r="A220">
        <v>6</v>
      </c>
      <c r="B220">
        <v>2</v>
      </c>
      <c r="C220">
        <v>27</v>
      </c>
      <c r="D220" t="s">
        <v>4271</v>
      </c>
      <c r="G220" t="str">
        <f t="shared" si="3"/>
        <v>(6,2,27,'ANALISTAS','',''),</v>
      </c>
    </row>
    <row r="221" spans="1:7" x14ac:dyDescent="0.25">
      <c r="A221">
        <v>62</v>
      </c>
      <c r="B221">
        <v>2</v>
      </c>
      <c r="C221">
        <v>7</v>
      </c>
      <c r="D221" t="s">
        <v>4272</v>
      </c>
      <c r="E221" t="s">
        <v>4340</v>
      </c>
      <c r="F221" t="s">
        <v>4340</v>
      </c>
      <c r="G221" t="str">
        <f t="shared" si="3"/>
        <v>(62,2,7,'ASISTENTES','',''),</v>
      </c>
    </row>
    <row r="222" spans="1:7" x14ac:dyDescent="0.25">
      <c r="A222">
        <v>63</v>
      </c>
      <c r="B222">
        <v>4</v>
      </c>
      <c r="C222">
        <v>5</v>
      </c>
      <c r="D222" t="s">
        <v>4272</v>
      </c>
      <c r="G222" t="str">
        <f t="shared" si="3"/>
        <v>(63,4,5,'ASISTENTES','',''),</v>
      </c>
    </row>
    <row r="223" spans="1:7" x14ac:dyDescent="0.25">
      <c r="A223">
        <v>64</v>
      </c>
      <c r="B223">
        <v>1</v>
      </c>
      <c r="C223">
        <v>18</v>
      </c>
      <c r="D223" t="s">
        <v>4272</v>
      </c>
      <c r="G223" t="str">
        <f t="shared" si="3"/>
        <v>(64,1,18,'ASISTENTES','',''),</v>
      </c>
    </row>
    <row r="224" spans="1:7" x14ac:dyDescent="0.25">
      <c r="A224">
        <v>65</v>
      </c>
      <c r="B224">
        <v>3</v>
      </c>
      <c r="C224">
        <v>21</v>
      </c>
      <c r="D224" t="s">
        <v>4272</v>
      </c>
      <c r="E224" t="s">
        <v>4340</v>
      </c>
      <c r="F224" t="s">
        <v>4340</v>
      </c>
      <c r="G224" t="str">
        <f t="shared" si="3"/>
        <v>(65,3,21,'ASISTENTES','',''),</v>
      </c>
    </row>
    <row r="225" spans="1:7" x14ac:dyDescent="0.25">
      <c r="A225">
        <v>66</v>
      </c>
      <c r="B225">
        <v>1</v>
      </c>
      <c r="C225">
        <v>20</v>
      </c>
      <c r="D225" t="s">
        <v>4272</v>
      </c>
      <c r="G225" t="str">
        <f t="shared" si="3"/>
        <v>(66,1,20,'ASISTENTES','',''),</v>
      </c>
    </row>
    <row r="226" spans="1:7" x14ac:dyDescent="0.25">
      <c r="A226">
        <v>67</v>
      </c>
      <c r="B226">
        <v>1</v>
      </c>
      <c r="C226">
        <v>24</v>
      </c>
      <c r="D226" t="s">
        <v>4272</v>
      </c>
      <c r="G226" t="str">
        <f t="shared" si="3"/>
        <v>(67,1,24,'ASISTENTES','',''),</v>
      </c>
    </row>
    <row r="227" spans="1:7" x14ac:dyDescent="0.25">
      <c r="A227">
        <v>68</v>
      </c>
      <c r="B227">
        <v>1</v>
      </c>
      <c r="C227">
        <v>10</v>
      </c>
      <c r="D227" t="s">
        <v>4272</v>
      </c>
      <c r="G227" t="str">
        <f t="shared" si="3"/>
        <v>(68,1,10,'ASISTENTES','',''),</v>
      </c>
    </row>
    <row r="228" spans="1:7" x14ac:dyDescent="0.25">
      <c r="A228">
        <v>68</v>
      </c>
      <c r="B228">
        <v>1</v>
      </c>
      <c r="C228">
        <v>18</v>
      </c>
      <c r="D228" t="s">
        <v>4272</v>
      </c>
      <c r="G228" t="str">
        <f t="shared" si="3"/>
        <v>(68,1,18,'ASISTENTES','',''),</v>
      </c>
    </row>
    <row r="229" spans="1:7" x14ac:dyDescent="0.25">
      <c r="A229">
        <v>69</v>
      </c>
      <c r="B229">
        <v>1</v>
      </c>
      <c r="C229">
        <v>20</v>
      </c>
      <c r="D229" t="s">
        <v>4272</v>
      </c>
      <c r="G229" t="str">
        <f t="shared" si="3"/>
        <v>(69,1,20,'ASISTENTES','',''),</v>
      </c>
    </row>
    <row r="230" spans="1:7" x14ac:dyDescent="0.25">
      <c r="A230">
        <v>70</v>
      </c>
      <c r="B230">
        <v>1</v>
      </c>
      <c r="C230">
        <v>20</v>
      </c>
      <c r="D230" t="s">
        <v>4272</v>
      </c>
      <c r="G230" t="str">
        <f t="shared" si="3"/>
        <v>(70,1,20,'ASISTENTES','',''),</v>
      </c>
    </row>
    <row r="231" spans="1:7" x14ac:dyDescent="0.25">
      <c r="A231">
        <v>71</v>
      </c>
      <c r="B231">
        <v>1</v>
      </c>
      <c r="C231">
        <v>20</v>
      </c>
      <c r="D231" t="s">
        <v>4272</v>
      </c>
      <c r="G231" t="str">
        <f t="shared" si="3"/>
        <v>(71,1,20,'ASISTENTES','',''),</v>
      </c>
    </row>
    <row r="232" spans="1:7" x14ac:dyDescent="0.25">
      <c r="A232">
        <v>72</v>
      </c>
      <c r="B232">
        <v>1</v>
      </c>
      <c r="C232">
        <v>10</v>
      </c>
      <c r="D232" t="s">
        <v>4272</v>
      </c>
      <c r="E232" t="s">
        <v>4340</v>
      </c>
      <c r="F232" t="s">
        <v>4340</v>
      </c>
      <c r="G232" t="str">
        <f t="shared" si="3"/>
        <v>(72,1,10,'ASISTENTES','',''),</v>
      </c>
    </row>
    <row r="233" spans="1:7" x14ac:dyDescent="0.25">
      <c r="A233">
        <v>7</v>
      </c>
      <c r="B233">
        <v>2</v>
      </c>
      <c r="C233">
        <v>7</v>
      </c>
      <c r="D233" t="s">
        <v>4271</v>
      </c>
      <c r="G233" t="str">
        <f t="shared" si="3"/>
        <v>(7,2,7,'ANALISTAS','',''),</v>
      </c>
    </row>
    <row r="234" spans="1:7" x14ac:dyDescent="0.25">
      <c r="A234">
        <v>73</v>
      </c>
      <c r="B234">
        <v>1</v>
      </c>
      <c r="C234">
        <v>19</v>
      </c>
      <c r="D234" t="s">
        <v>4272</v>
      </c>
      <c r="G234" t="str">
        <f t="shared" si="3"/>
        <v>(73,1,19,'ASISTENTES','',''),</v>
      </c>
    </row>
    <row r="235" spans="1:7" x14ac:dyDescent="0.25">
      <c r="A235">
        <v>74</v>
      </c>
      <c r="B235">
        <v>1</v>
      </c>
      <c r="C235">
        <v>19</v>
      </c>
      <c r="D235" t="s">
        <v>4272</v>
      </c>
      <c r="G235" t="str">
        <f t="shared" si="3"/>
        <v>(74,1,19,'ASISTENTES','',''),</v>
      </c>
    </row>
    <row r="236" spans="1:7" x14ac:dyDescent="0.25">
      <c r="A236">
        <v>75</v>
      </c>
      <c r="B236">
        <v>1</v>
      </c>
      <c r="C236">
        <v>6</v>
      </c>
      <c r="D236" t="s">
        <v>4272</v>
      </c>
      <c r="G236" t="str">
        <f t="shared" si="3"/>
        <v>(75,1,6,'ASISTENTES','',''),</v>
      </c>
    </row>
    <row r="237" spans="1:7" x14ac:dyDescent="0.25">
      <c r="A237">
        <v>76</v>
      </c>
      <c r="B237">
        <v>3</v>
      </c>
      <c r="C237">
        <v>16</v>
      </c>
      <c r="D237" t="s">
        <v>4272</v>
      </c>
      <c r="G237" t="str">
        <f t="shared" si="3"/>
        <v>(76,3,16,'ASISTENTES','',''),</v>
      </c>
    </row>
    <row r="238" spans="1:7" x14ac:dyDescent="0.25">
      <c r="A238">
        <v>77</v>
      </c>
      <c r="B238">
        <v>1</v>
      </c>
      <c r="C238">
        <v>24</v>
      </c>
      <c r="D238" t="s">
        <v>4272</v>
      </c>
      <c r="G238" t="str">
        <f t="shared" si="3"/>
        <v>(77,1,24,'ASISTENTES','',''),</v>
      </c>
    </row>
    <row r="239" spans="1:7" x14ac:dyDescent="0.25">
      <c r="A239">
        <v>78</v>
      </c>
      <c r="B239">
        <v>3</v>
      </c>
      <c r="C239">
        <v>16</v>
      </c>
      <c r="D239" t="s">
        <v>4272</v>
      </c>
      <c r="G239" t="str">
        <f t="shared" si="3"/>
        <v>(78,3,16,'ASISTENTES','',''),</v>
      </c>
    </row>
    <row r="240" spans="1:7" x14ac:dyDescent="0.25">
      <c r="A240">
        <v>79</v>
      </c>
      <c r="B240">
        <v>1</v>
      </c>
      <c r="C240">
        <v>20</v>
      </c>
      <c r="D240" t="s">
        <v>4272</v>
      </c>
      <c r="G240" t="str">
        <f t="shared" si="3"/>
        <v>(79,1,20,'ASISTENTES','',''),</v>
      </c>
    </row>
    <row r="241" spans="1:7" x14ac:dyDescent="0.25">
      <c r="A241">
        <v>80</v>
      </c>
      <c r="B241">
        <v>1</v>
      </c>
      <c r="C241">
        <v>20</v>
      </c>
      <c r="D241" t="s">
        <v>4272</v>
      </c>
      <c r="G241" t="str">
        <f t="shared" si="3"/>
        <v>(80,1,20,'ASISTENTES','',''),</v>
      </c>
    </row>
    <row r="242" spans="1:7" x14ac:dyDescent="0.25">
      <c r="A242">
        <v>81</v>
      </c>
      <c r="B242">
        <v>1</v>
      </c>
      <c r="C242">
        <v>19</v>
      </c>
      <c r="D242" t="s">
        <v>4272</v>
      </c>
      <c r="G242" t="str">
        <f t="shared" si="3"/>
        <v>(81,1,19,'ASISTENTES','',''),</v>
      </c>
    </row>
    <row r="243" spans="1:7" x14ac:dyDescent="0.25">
      <c r="A243">
        <v>82</v>
      </c>
      <c r="B243">
        <v>1</v>
      </c>
      <c r="C243">
        <v>4</v>
      </c>
      <c r="D243" t="s">
        <v>4272</v>
      </c>
      <c r="G243" t="str">
        <f t="shared" si="3"/>
        <v>(82,1,4,'ASISTENTES','',''),</v>
      </c>
    </row>
    <row r="244" spans="1:7" x14ac:dyDescent="0.25">
      <c r="A244">
        <v>8</v>
      </c>
      <c r="B244">
        <v>2</v>
      </c>
      <c r="C244">
        <v>26</v>
      </c>
      <c r="D244" t="s">
        <v>4271</v>
      </c>
      <c r="G244" t="str">
        <f t="shared" si="3"/>
        <v>(8,2,26,'ANALISTAS','',''),</v>
      </c>
    </row>
    <row r="245" spans="1:7" x14ac:dyDescent="0.25">
      <c r="A245">
        <v>83</v>
      </c>
      <c r="B245">
        <v>4</v>
      </c>
      <c r="C245">
        <v>9</v>
      </c>
      <c r="D245" t="s">
        <v>4272</v>
      </c>
      <c r="G245" t="str">
        <f t="shared" si="3"/>
        <v>(83,4,9,'ASISTENTES','',''),</v>
      </c>
    </row>
    <row r="246" spans="1:7" x14ac:dyDescent="0.25">
      <c r="A246">
        <v>84</v>
      </c>
      <c r="B246">
        <v>2</v>
      </c>
      <c r="C246">
        <v>7</v>
      </c>
      <c r="D246" t="s">
        <v>4272</v>
      </c>
      <c r="E246" t="s">
        <v>4340</v>
      </c>
      <c r="F246" t="s">
        <v>4340</v>
      </c>
      <c r="G246" t="str">
        <f t="shared" si="3"/>
        <v>(84,2,7,'ASISTENTES','',''),</v>
      </c>
    </row>
    <row r="247" spans="1:7" x14ac:dyDescent="0.25">
      <c r="A247">
        <v>85</v>
      </c>
      <c r="B247">
        <v>3</v>
      </c>
      <c r="C247">
        <v>16</v>
      </c>
      <c r="D247" t="s">
        <v>4272</v>
      </c>
      <c r="G247" t="str">
        <f t="shared" si="3"/>
        <v>(85,3,16,'ASISTENTES','',''),</v>
      </c>
    </row>
    <row r="248" spans="1:7" x14ac:dyDescent="0.25">
      <c r="A248">
        <v>86</v>
      </c>
      <c r="B248">
        <v>4</v>
      </c>
      <c r="C248">
        <v>9</v>
      </c>
      <c r="D248" t="s">
        <v>4273</v>
      </c>
      <c r="E248" t="s">
        <v>9011</v>
      </c>
      <c r="F248" t="s">
        <v>9012</v>
      </c>
      <c r="G248" t="str">
        <f t="shared" si="3"/>
        <v>(86,4,9,'TÉCNICOS','MÚLTIPLE','OFICIOS MÚLTIPLE'),</v>
      </c>
    </row>
    <row r="249" spans="1:7" x14ac:dyDescent="0.25">
      <c r="A249">
        <v>87</v>
      </c>
      <c r="B249">
        <v>4</v>
      </c>
      <c r="C249">
        <v>9</v>
      </c>
      <c r="D249" t="s">
        <v>4273</v>
      </c>
      <c r="E249" t="s">
        <v>7490</v>
      </c>
      <c r="F249" t="s">
        <v>9010</v>
      </c>
      <c r="G249" t="str">
        <f t="shared" si="3"/>
        <v>(87,4,9,'TÉCNICOS','SOLDADOR','OFICIOS SOLDADURA'),</v>
      </c>
    </row>
    <row r="250" spans="1:7" x14ac:dyDescent="0.25">
      <c r="A250">
        <v>88</v>
      </c>
      <c r="B250">
        <v>4</v>
      </c>
      <c r="C250">
        <v>9</v>
      </c>
      <c r="D250" t="s">
        <v>4273</v>
      </c>
      <c r="E250" t="s">
        <v>9009</v>
      </c>
      <c r="F250" t="s">
        <v>4273</v>
      </c>
      <c r="G250" t="str">
        <f t="shared" si="3"/>
        <v>(88,4,9,'TÉCNICOS','MECÁNICO','TÉCNICOS'),</v>
      </c>
    </row>
    <row r="251" spans="1:7" x14ac:dyDescent="0.25">
      <c r="A251">
        <v>89</v>
      </c>
      <c r="B251">
        <v>3</v>
      </c>
      <c r="C251">
        <v>16</v>
      </c>
      <c r="G251" t="str">
        <f t="shared" si="3"/>
        <v>(89,3,16,'','',''),</v>
      </c>
    </row>
    <row r="252" spans="1:7" x14ac:dyDescent="0.25">
      <c r="A252">
        <v>90</v>
      </c>
      <c r="B252">
        <v>3</v>
      </c>
      <c r="C252">
        <v>8</v>
      </c>
      <c r="D252" t="s">
        <v>4271</v>
      </c>
      <c r="G252" t="str">
        <f t="shared" si="3"/>
        <v>(90,3,8,'ANALISTAS','',''),</v>
      </c>
    </row>
    <row r="253" spans="1:7" x14ac:dyDescent="0.25">
      <c r="A253">
        <v>91</v>
      </c>
      <c r="B253">
        <v>3</v>
      </c>
      <c r="C253">
        <v>8</v>
      </c>
      <c r="D253" t="s">
        <v>4271</v>
      </c>
      <c r="G253" t="str">
        <f t="shared" si="3"/>
        <v>(91,3,8,'ANALISTAS','',''),</v>
      </c>
    </row>
    <row r="254" spans="1:7" x14ac:dyDescent="0.25">
      <c r="A254">
        <v>9</v>
      </c>
      <c r="B254">
        <v>2</v>
      </c>
      <c r="C254">
        <v>23</v>
      </c>
      <c r="D254" t="s">
        <v>4271</v>
      </c>
      <c r="G254" t="str">
        <f t="shared" si="3"/>
        <v>(9,2,23,'ANALISTAS','',''),</v>
      </c>
    </row>
    <row r="255" spans="1:7" x14ac:dyDescent="0.25">
      <c r="A255">
        <v>92</v>
      </c>
      <c r="B255">
        <v>3</v>
      </c>
      <c r="C255">
        <v>8</v>
      </c>
      <c r="D255" t="s">
        <v>4271</v>
      </c>
      <c r="G255" t="str">
        <f t="shared" si="3"/>
        <v>(92,3,8,'ANALISTAS','',''),</v>
      </c>
    </row>
    <row r="256" spans="1:7" x14ac:dyDescent="0.25">
      <c r="A256">
        <v>93</v>
      </c>
      <c r="B256">
        <v>3</v>
      </c>
      <c r="C256">
        <v>8</v>
      </c>
      <c r="D256" t="s">
        <v>4271</v>
      </c>
      <c r="G256" t="str">
        <f t="shared" si="3"/>
        <v>(93,3,8,'ANALISTAS','',''),</v>
      </c>
    </row>
    <row r="257" spans="1:7" x14ac:dyDescent="0.25">
      <c r="A257">
        <v>94</v>
      </c>
      <c r="B257">
        <v>3</v>
      </c>
      <c r="C257">
        <v>14</v>
      </c>
      <c r="D257" t="s">
        <v>4273</v>
      </c>
      <c r="G257" t="str">
        <f t="shared" si="3"/>
        <v>(94,3,14,'TÉCNICOS','',''),</v>
      </c>
    </row>
    <row r="258" spans="1:7" x14ac:dyDescent="0.25">
      <c r="A258">
        <v>95</v>
      </c>
      <c r="B258">
        <v>3</v>
      </c>
      <c r="C258">
        <v>17</v>
      </c>
      <c r="D258" t="s">
        <v>4273</v>
      </c>
      <c r="G258" t="str">
        <f t="shared" si="3"/>
        <v>(95,3,17,'TÉCNICOS','',''),</v>
      </c>
    </row>
    <row r="259" spans="1:7" x14ac:dyDescent="0.25">
      <c r="A259">
        <v>96</v>
      </c>
      <c r="B259">
        <v>3</v>
      </c>
      <c r="C259">
        <v>8</v>
      </c>
      <c r="D259" t="s">
        <v>4275</v>
      </c>
      <c r="G259" t="str">
        <f t="shared" ref="G259:G262" si="4">_xlfn.CONCAT("(",A259,",",B259,",",C259,",'",D259,"',","'",E259,"'",",'",F259,"'","),")</f>
        <v>(96,3,8,'SUPERVISORES/COORDINADORES','',''),</v>
      </c>
    </row>
    <row r="260" spans="1:7" x14ac:dyDescent="0.25">
      <c r="A260">
        <v>97</v>
      </c>
      <c r="B260">
        <v>4</v>
      </c>
      <c r="C260">
        <v>5</v>
      </c>
      <c r="D260" t="s">
        <v>4275</v>
      </c>
      <c r="G260" t="str">
        <f t="shared" si="4"/>
        <v>(97,4,5,'SUPERVISORES/COORDINADORES','',''),</v>
      </c>
    </row>
    <row r="261" spans="1:7" x14ac:dyDescent="0.25">
      <c r="A261">
        <v>98</v>
      </c>
      <c r="B261">
        <v>2</v>
      </c>
      <c r="C261">
        <v>7</v>
      </c>
      <c r="D261" t="s">
        <v>4275</v>
      </c>
      <c r="G261" t="str">
        <f t="shared" si="4"/>
        <v>(98,2,7,'SUPERVISORES/COORDINADORES','',''),</v>
      </c>
    </row>
    <row r="262" spans="1:7" x14ac:dyDescent="0.25">
      <c r="A262">
        <v>99</v>
      </c>
      <c r="B262">
        <v>4</v>
      </c>
      <c r="C262">
        <v>15</v>
      </c>
      <c r="D262" t="s">
        <v>4275</v>
      </c>
      <c r="G262" t="str">
        <f t="shared" si="4"/>
        <v>(99,4,15,'SUPERVISORES/COORDINADORES','',''),</v>
      </c>
    </row>
  </sheetData>
  <autoFilter ref="A1:F262" xr:uid="{BE33E249-A6CC-4339-92E9-6402FC9279DE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A954-BEF9-4D19-B3C2-84049F134684}">
  <dimension ref="A1:E6"/>
  <sheetViews>
    <sheetView tabSelected="1" workbookViewId="0">
      <selection activeCell="F14" sqref="F14"/>
    </sheetView>
  </sheetViews>
  <sheetFormatPr baseColWidth="10" defaultRowHeight="15" x14ac:dyDescent="0.25"/>
  <cols>
    <col min="5" max="5" width="16.85546875" bestFit="1" customWidth="1"/>
  </cols>
  <sheetData>
    <row r="1" spans="1:5" x14ac:dyDescent="0.25">
      <c r="B1" t="s">
        <v>4355</v>
      </c>
    </row>
    <row r="2" spans="1:5" x14ac:dyDescent="0.25">
      <c r="A2">
        <v>1</v>
      </c>
      <c r="B2" t="s">
        <v>4356</v>
      </c>
      <c r="C2">
        <v>1</v>
      </c>
      <c r="D2">
        <v>1</v>
      </c>
      <c r="E2" t="str">
        <f>_xlfn.CONCAT("('",B2,"',",C2,",","",D2,"),")</f>
        <v>('LURIN',1,1),</v>
      </c>
    </row>
    <row r="3" spans="1:5" x14ac:dyDescent="0.25">
      <c r="A3">
        <v>2</v>
      </c>
      <c r="B3" t="s">
        <v>4357</v>
      </c>
      <c r="C3">
        <v>2</v>
      </c>
      <c r="D3">
        <v>1</v>
      </c>
      <c r="E3" t="str">
        <f t="shared" ref="E3:E6" si="0">_xlfn.CONCAT("('",B3,"',",C3,",","",D3,"),")</f>
        <v>('PIURA',2,1),</v>
      </c>
    </row>
    <row r="4" spans="1:5" x14ac:dyDescent="0.25">
      <c r="A4">
        <v>3</v>
      </c>
      <c r="B4" t="s">
        <v>4358</v>
      </c>
      <c r="C4">
        <v>3</v>
      </c>
      <c r="D4">
        <v>1</v>
      </c>
      <c r="E4" t="str">
        <f t="shared" si="0"/>
        <v>('CUSCO',3,1),</v>
      </c>
    </row>
    <row r="5" spans="1:5" x14ac:dyDescent="0.25">
      <c r="A5">
        <v>4</v>
      </c>
      <c r="B5" t="s">
        <v>4359</v>
      </c>
      <c r="C5">
        <v>4</v>
      </c>
      <c r="D5">
        <v>1</v>
      </c>
      <c r="E5" t="str">
        <f t="shared" si="0"/>
        <v>('AREQUIPA',4,1),</v>
      </c>
    </row>
    <row r="6" spans="1:5" x14ac:dyDescent="0.25">
      <c r="A6">
        <v>5</v>
      </c>
      <c r="B6" t="s">
        <v>4360</v>
      </c>
      <c r="C6">
        <v>1</v>
      </c>
      <c r="D6">
        <v>1</v>
      </c>
      <c r="E6" t="str">
        <f t="shared" si="0"/>
        <v>('ARRIOLA',1,1),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21F4-0B5F-4C6C-B79D-F5A4FB389114}">
  <dimension ref="A1:C930"/>
  <sheetViews>
    <sheetView workbookViewId="0">
      <selection activeCell="C1" sqref="C1"/>
    </sheetView>
  </sheetViews>
  <sheetFormatPr baseColWidth="10" defaultRowHeight="15" x14ac:dyDescent="0.25"/>
  <cols>
    <col min="2" max="2" width="29.5703125" bestFit="1" customWidth="1"/>
    <col min="3" max="3" width="20.5703125" bestFit="1" customWidth="1"/>
  </cols>
  <sheetData>
    <row r="1" spans="1:3" x14ac:dyDescent="0.25">
      <c r="A1" t="s">
        <v>9034</v>
      </c>
      <c r="B1" t="s">
        <v>1746</v>
      </c>
    </row>
    <row r="2" spans="1:3" x14ac:dyDescent="0.25">
      <c r="A2">
        <v>1</v>
      </c>
      <c r="B2">
        <v>1</v>
      </c>
      <c r="C2" t="str">
        <f>_xlfn.CONCAT("(",A2,",",B2,"),")</f>
        <v>(1,1),</v>
      </c>
    </row>
    <row r="3" spans="1:3" x14ac:dyDescent="0.25">
      <c r="A3">
        <v>2</v>
      </c>
      <c r="B3">
        <v>1</v>
      </c>
      <c r="C3" t="str">
        <f t="shared" ref="C3:C66" si="0">_xlfn.CONCAT("(",A3,",",B3,"),")</f>
        <v>(2,1),</v>
      </c>
    </row>
    <row r="4" spans="1:3" x14ac:dyDescent="0.25">
      <c r="A4">
        <v>3</v>
      </c>
      <c r="B4" t="s">
        <v>4312</v>
      </c>
      <c r="C4" t="str">
        <f t="shared" si="0"/>
        <v>(3,null),</v>
      </c>
    </row>
    <row r="5" spans="1:3" x14ac:dyDescent="0.25">
      <c r="A5">
        <v>4</v>
      </c>
      <c r="B5">
        <v>2</v>
      </c>
      <c r="C5" t="str">
        <f t="shared" si="0"/>
        <v>(4,2),</v>
      </c>
    </row>
    <row r="6" spans="1:3" x14ac:dyDescent="0.25">
      <c r="A6">
        <v>5</v>
      </c>
      <c r="B6">
        <v>3</v>
      </c>
      <c r="C6" t="str">
        <f t="shared" si="0"/>
        <v>(5,3),</v>
      </c>
    </row>
    <row r="7" spans="1:3" x14ac:dyDescent="0.25">
      <c r="A7">
        <v>6</v>
      </c>
      <c r="B7">
        <v>3</v>
      </c>
      <c r="C7" t="str">
        <f t="shared" si="0"/>
        <v>(6,3),</v>
      </c>
    </row>
    <row r="8" spans="1:3" x14ac:dyDescent="0.25">
      <c r="A8">
        <v>7</v>
      </c>
      <c r="B8">
        <v>4</v>
      </c>
      <c r="C8" t="str">
        <f t="shared" si="0"/>
        <v>(7,4),</v>
      </c>
    </row>
    <row r="9" spans="1:3" x14ac:dyDescent="0.25">
      <c r="A9">
        <v>8</v>
      </c>
      <c r="B9" t="s">
        <v>4312</v>
      </c>
      <c r="C9" t="str">
        <f t="shared" si="0"/>
        <v>(8,null),</v>
      </c>
    </row>
    <row r="10" spans="1:3" x14ac:dyDescent="0.25">
      <c r="A10">
        <v>9</v>
      </c>
      <c r="B10">
        <v>5</v>
      </c>
      <c r="C10" t="str">
        <f t="shared" si="0"/>
        <v>(9,5),</v>
      </c>
    </row>
    <row r="11" spans="1:3" x14ac:dyDescent="0.25">
      <c r="A11">
        <v>10</v>
      </c>
      <c r="B11">
        <v>3</v>
      </c>
      <c r="C11" t="str">
        <f t="shared" si="0"/>
        <v>(10,3),</v>
      </c>
    </row>
    <row r="12" spans="1:3" x14ac:dyDescent="0.25">
      <c r="A12">
        <v>11</v>
      </c>
      <c r="B12">
        <v>6</v>
      </c>
      <c r="C12" t="str">
        <f t="shared" si="0"/>
        <v>(11,6),</v>
      </c>
    </row>
    <row r="13" spans="1:3" x14ac:dyDescent="0.25">
      <c r="A13">
        <v>12</v>
      </c>
      <c r="B13">
        <v>7</v>
      </c>
      <c r="C13" t="str">
        <f t="shared" si="0"/>
        <v>(12,7),</v>
      </c>
    </row>
    <row r="14" spans="1:3" x14ac:dyDescent="0.25">
      <c r="A14">
        <v>13</v>
      </c>
      <c r="B14">
        <v>8</v>
      </c>
      <c r="C14" t="str">
        <f t="shared" si="0"/>
        <v>(13,8),</v>
      </c>
    </row>
    <row r="15" spans="1:3" x14ac:dyDescent="0.25">
      <c r="A15">
        <v>14</v>
      </c>
      <c r="B15">
        <v>9</v>
      </c>
      <c r="C15" t="str">
        <f t="shared" si="0"/>
        <v>(14,9),</v>
      </c>
    </row>
    <row r="16" spans="1:3" x14ac:dyDescent="0.25">
      <c r="A16">
        <v>15</v>
      </c>
      <c r="B16">
        <v>10</v>
      </c>
      <c r="C16" t="str">
        <f t="shared" si="0"/>
        <v>(15,10),</v>
      </c>
    </row>
    <row r="17" spans="1:3" x14ac:dyDescent="0.25">
      <c r="A17">
        <v>16</v>
      </c>
      <c r="B17">
        <v>11</v>
      </c>
      <c r="C17" t="str">
        <f t="shared" si="0"/>
        <v>(16,11),</v>
      </c>
    </row>
    <row r="18" spans="1:3" x14ac:dyDescent="0.25">
      <c r="A18">
        <v>17</v>
      </c>
      <c r="B18">
        <v>12</v>
      </c>
      <c r="C18" t="str">
        <f t="shared" si="0"/>
        <v>(17,12),</v>
      </c>
    </row>
    <row r="19" spans="1:3" x14ac:dyDescent="0.25">
      <c r="A19">
        <v>18</v>
      </c>
      <c r="B19">
        <v>13</v>
      </c>
      <c r="C19" t="str">
        <f t="shared" si="0"/>
        <v>(18,13),</v>
      </c>
    </row>
    <row r="20" spans="1:3" x14ac:dyDescent="0.25">
      <c r="A20">
        <v>19</v>
      </c>
      <c r="B20" t="s">
        <v>4312</v>
      </c>
      <c r="C20" t="str">
        <f t="shared" si="0"/>
        <v>(19,null),</v>
      </c>
    </row>
    <row r="21" spans="1:3" x14ac:dyDescent="0.25">
      <c r="A21">
        <v>20</v>
      </c>
      <c r="B21">
        <v>14</v>
      </c>
      <c r="C21" t="str">
        <f t="shared" si="0"/>
        <v>(20,14),</v>
      </c>
    </row>
    <row r="22" spans="1:3" x14ac:dyDescent="0.25">
      <c r="A22">
        <v>21</v>
      </c>
      <c r="B22">
        <v>1</v>
      </c>
      <c r="C22" t="str">
        <f t="shared" si="0"/>
        <v>(21,1),</v>
      </c>
    </row>
    <row r="23" spans="1:3" x14ac:dyDescent="0.25">
      <c r="A23">
        <v>22</v>
      </c>
      <c r="B23">
        <v>15</v>
      </c>
      <c r="C23" t="str">
        <f t="shared" si="0"/>
        <v>(22,15),</v>
      </c>
    </row>
    <row r="24" spans="1:3" x14ac:dyDescent="0.25">
      <c r="A24">
        <v>23</v>
      </c>
      <c r="B24" t="s">
        <v>4312</v>
      </c>
      <c r="C24" t="str">
        <f t="shared" si="0"/>
        <v>(23,null),</v>
      </c>
    </row>
    <row r="25" spans="1:3" x14ac:dyDescent="0.25">
      <c r="A25">
        <v>24</v>
      </c>
      <c r="B25">
        <v>13</v>
      </c>
      <c r="C25" t="str">
        <f t="shared" si="0"/>
        <v>(24,13),</v>
      </c>
    </row>
    <row r="26" spans="1:3" x14ac:dyDescent="0.25">
      <c r="A26">
        <v>25</v>
      </c>
      <c r="B26" t="s">
        <v>4312</v>
      </c>
      <c r="C26" t="str">
        <f t="shared" si="0"/>
        <v>(25,null),</v>
      </c>
    </row>
    <row r="27" spans="1:3" x14ac:dyDescent="0.25">
      <c r="A27">
        <v>26</v>
      </c>
      <c r="B27">
        <v>16</v>
      </c>
      <c r="C27" t="str">
        <f t="shared" si="0"/>
        <v>(26,16),</v>
      </c>
    </row>
    <row r="28" spans="1:3" x14ac:dyDescent="0.25">
      <c r="A28">
        <v>27</v>
      </c>
      <c r="B28">
        <v>17</v>
      </c>
      <c r="C28" t="str">
        <f t="shared" si="0"/>
        <v>(27,17),</v>
      </c>
    </row>
    <row r="29" spans="1:3" x14ac:dyDescent="0.25">
      <c r="A29">
        <v>28</v>
      </c>
      <c r="B29">
        <v>18</v>
      </c>
      <c r="C29" t="str">
        <f t="shared" si="0"/>
        <v>(28,18),</v>
      </c>
    </row>
    <row r="30" spans="1:3" x14ac:dyDescent="0.25">
      <c r="A30">
        <v>29</v>
      </c>
      <c r="B30">
        <v>19</v>
      </c>
      <c r="C30" t="str">
        <f t="shared" si="0"/>
        <v>(29,19),</v>
      </c>
    </row>
    <row r="31" spans="1:3" x14ac:dyDescent="0.25">
      <c r="A31">
        <v>30</v>
      </c>
      <c r="B31">
        <v>20</v>
      </c>
      <c r="C31" t="str">
        <f t="shared" si="0"/>
        <v>(30,20),</v>
      </c>
    </row>
    <row r="32" spans="1:3" x14ac:dyDescent="0.25">
      <c r="A32">
        <v>31</v>
      </c>
      <c r="B32">
        <v>8</v>
      </c>
      <c r="C32" t="str">
        <f t="shared" si="0"/>
        <v>(31,8),</v>
      </c>
    </row>
    <row r="33" spans="1:3" x14ac:dyDescent="0.25">
      <c r="A33">
        <v>32</v>
      </c>
      <c r="B33" t="s">
        <v>4312</v>
      </c>
      <c r="C33" t="str">
        <f t="shared" si="0"/>
        <v>(32,null),</v>
      </c>
    </row>
    <row r="34" spans="1:3" x14ac:dyDescent="0.25">
      <c r="A34">
        <v>33</v>
      </c>
      <c r="B34" t="s">
        <v>4312</v>
      </c>
      <c r="C34" t="str">
        <f t="shared" si="0"/>
        <v>(33,null),</v>
      </c>
    </row>
    <row r="35" spans="1:3" x14ac:dyDescent="0.25">
      <c r="A35">
        <v>34</v>
      </c>
      <c r="B35" t="s">
        <v>4312</v>
      </c>
      <c r="C35" t="str">
        <f t="shared" si="0"/>
        <v>(34,null),</v>
      </c>
    </row>
    <row r="36" spans="1:3" x14ac:dyDescent="0.25">
      <c r="A36">
        <v>35</v>
      </c>
      <c r="B36">
        <v>21</v>
      </c>
      <c r="C36" t="str">
        <f t="shared" si="0"/>
        <v>(35,21),</v>
      </c>
    </row>
    <row r="37" spans="1:3" x14ac:dyDescent="0.25">
      <c r="A37">
        <v>36</v>
      </c>
      <c r="B37">
        <v>11</v>
      </c>
      <c r="C37" t="str">
        <f t="shared" si="0"/>
        <v>(36,11),</v>
      </c>
    </row>
    <row r="38" spans="1:3" x14ac:dyDescent="0.25">
      <c r="A38">
        <v>37</v>
      </c>
      <c r="B38">
        <v>13</v>
      </c>
      <c r="C38" t="str">
        <f t="shared" si="0"/>
        <v>(37,13),</v>
      </c>
    </row>
    <row r="39" spans="1:3" x14ac:dyDescent="0.25">
      <c r="A39">
        <v>38</v>
      </c>
      <c r="B39">
        <v>22</v>
      </c>
      <c r="C39" t="str">
        <f t="shared" si="0"/>
        <v>(38,22),</v>
      </c>
    </row>
    <row r="40" spans="1:3" x14ac:dyDescent="0.25">
      <c r="A40">
        <v>39</v>
      </c>
      <c r="B40">
        <v>13</v>
      </c>
      <c r="C40" t="str">
        <f t="shared" si="0"/>
        <v>(39,13),</v>
      </c>
    </row>
    <row r="41" spans="1:3" x14ac:dyDescent="0.25">
      <c r="A41">
        <v>40</v>
      </c>
      <c r="B41">
        <v>23</v>
      </c>
      <c r="C41" t="str">
        <f t="shared" si="0"/>
        <v>(40,23),</v>
      </c>
    </row>
    <row r="42" spans="1:3" x14ac:dyDescent="0.25">
      <c r="A42">
        <v>41</v>
      </c>
      <c r="B42">
        <v>24</v>
      </c>
      <c r="C42" t="str">
        <f t="shared" si="0"/>
        <v>(41,24),</v>
      </c>
    </row>
    <row r="43" spans="1:3" x14ac:dyDescent="0.25">
      <c r="A43">
        <v>42</v>
      </c>
      <c r="B43">
        <v>25</v>
      </c>
      <c r="C43" t="str">
        <f t="shared" si="0"/>
        <v>(42,25),</v>
      </c>
    </row>
    <row r="44" spans="1:3" x14ac:dyDescent="0.25">
      <c r="A44">
        <v>43</v>
      </c>
      <c r="B44">
        <v>17</v>
      </c>
      <c r="C44" t="str">
        <f t="shared" si="0"/>
        <v>(43,17),</v>
      </c>
    </row>
    <row r="45" spans="1:3" x14ac:dyDescent="0.25">
      <c r="A45">
        <v>44</v>
      </c>
      <c r="B45" t="s">
        <v>4312</v>
      </c>
      <c r="C45" t="str">
        <f t="shared" si="0"/>
        <v>(44,null),</v>
      </c>
    </row>
    <row r="46" spans="1:3" x14ac:dyDescent="0.25">
      <c r="A46">
        <v>45</v>
      </c>
      <c r="B46" t="s">
        <v>4312</v>
      </c>
      <c r="C46" t="str">
        <f t="shared" si="0"/>
        <v>(45,null),</v>
      </c>
    </row>
    <row r="47" spans="1:3" x14ac:dyDescent="0.25">
      <c r="A47">
        <v>46</v>
      </c>
      <c r="B47" t="s">
        <v>4312</v>
      </c>
      <c r="C47" t="str">
        <f t="shared" si="0"/>
        <v>(46,null),</v>
      </c>
    </row>
    <row r="48" spans="1:3" x14ac:dyDescent="0.25">
      <c r="A48">
        <v>47</v>
      </c>
      <c r="B48">
        <v>26</v>
      </c>
      <c r="C48" t="str">
        <f t="shared" si="0"/>
        <v>(47,26),</v>
      </c>
    </row>
    <row r="49" spans="1:3" x14ac:dyDescent="0.25">
      <c r="A49">
        <v>48</v>
      </c>
      <c r="B49">
        <v>24</v>
      </c>
      <c r="C49" t="str">
        <f t="shared" si="0"/>
        <v>(48,24),</v>
      </c>
    </row>
    <row r="50" spans="1:3" x14ac:dyDescent="0.25">
      <c r="A50">
        <v>49</v>
      </c>
      <c r="B50">
        <v>25</v>
      </c>
      <c r="C50" t="str">
        <f t="shared" si="0"/>
        <v>(49,25),</v>
      </c>
    </row>
    <row r="51" spans="1:3" x14ac:dyDescent="0.25">
      <c r="A51">
        <v>50</v>
      </c>
      <c r="B51">
        <v>27</v>
      </c>
      <c r="C51" t="str">
        <f t="shared" si="0"/>
        <v>(50,27),</v>
      </c>
    </row>
    <row r="52" spans="1:3" x14ac:dyDescent="0.25">
      <c r="A52">
        <v>51</v>
      </c>
      <c r="B52">
        <v>28</v>
      </c>
      <c r="C52" t="str">
        <f t="shared" si="0"/>
        <v>(51,28),</v>
      </c>
    </row>
    <row r="53" spans="1:3" x14ac:dyDescent="0.25">
      <c r="A53">
        <v>52</v>
      </c>
      <c r="B53">
        <v>24</v>
      </c>
      <c r="C53" t="str">
        <f t="shared" si="0"/>
        <v>(52,24),</v>
      </c>
    </row>
    <row r="54" spans="1:3" x14ac:dyDescent="0.25">
      <c r="A54">
        <v>53</v>
      </c>
      <c r="B54" t="s">
        <v>4312</v>
      </c>
      <c r="C54" t="str">
        <f t="shared" si="0"/>
        <v>(53,null),</v>
      </c>
    </row>
    <row r="55" spans="1:3" x14ac:dyDescent="0.25">
      <c r="A55">
        <v>54</v>
      </c>
      <c r="B55">
        <v>29</v>
      </c>
      <c r="C55" t="str">
        <f t="shared" si="0"/>
        <v>(54,29),</v>
      </c>
    </row>
    <row r="56" spans="1:3" x14ac:dyDescent="0.25">
      <c r="A56">
        <v>55</v>
      </c>
      <c r="B56" t="s">
        <v>4312</v>
      </c>
      <c r="C56" t="str">
        <f t="shared" si="0"/>
        <v>(55,null),</v>
      </c>
    </row>
    <row r="57" spans="1:3" x14ac:dyDescent="0.25">
      <c r="A57">
        <v>56</v>
      </c>
      <c r="B57">
        <v>30</v>
      </c>
      <c r="C57" t="str">
        <f t="shared" si="0"/>
        <v>(56,30),</v>
      </c>
    </row>
    <row r="58" spans="1:3" x14ac:dyDescent="0.25">
      <c r="A58">
        <v>57</v>
      </c>
      <c r="B58" t="s">
        <v>4312</v>
      </c>
      <c r="C58" t="str">
        <f t="shared" si="0"/>
        <v>(57,null),</v>
      </c>
    </row>
    <row r="59" spans="1:3" x14ac:dyDescent="0.25">
      <c r="A59">
        <v>58</v>
      </c>
      <c r="B59" t="s">
        <v>4312</v>
      </c>
      <c r="C59" t="str">
        <f t="shared" si="0"/>
        <v>(58,null),</v>
      </c>
    </row>
    <row r="60" spans="1:3" x14ac:dyDescent="0.25">
      <c r="A60">
        <v>59</v>
      </c>
      <c r="B60" t="s">
        <v>4312</v>
      </c>
      <c r="C60" t="str">
        <f t="shared" si="0"/>
        <v>(59,null),</v>
      </c>
    </row>
    <row r="61" spans="1:3" x14ac:dyDescent="0.25">
      <c r="A61">
        <v>60</v>
      </c>
      <c r="B61" t="s">
        <v>4312</v>
      </c>
      <c r="C61" t="str">
        <f t="shared" si="0"/>
        <v>(60,null),</v>
      </c>
    </row>
    <row r="62" spans="1:3" x14ac:dyDescent="0.25">
      <c r="A62">
        <v>61</v>
      </c>
      <c r="B62" t="s">
        <v>4312</v>
      </c>
      <c r="C62" t="str">
        <f t="shared" si="0"/>
        <v>(61,null),</v>
      </c>
    </row>
    <row r="63" spans="1:3" x14ac:dyDescent="0.25">
      <c r="A63">
        <v>62</v>
      </c>
      <c r="B63">
        <v>31</v>
      </c>
      <c r="C63" t="str">
        <f t="shared" si="0"/>
        <v>(62,31),</v>
      </c>
    </row>
    <row r="64" spans="1:3" x14ac:dyDescent="0.25">
      <c r="A64">
        <v>63</v>
      </c>
      <c r="B64">
        <v>8</v>
      </c>
      <c r="C64" t="str">
        <f t="shared" si="0"/>
        <v>(63,8),</v>
      </c>
    </row>
    <row r="65" spans="1:3" x14ac:dyDescent="0.25">
      <c r="A65">
        <v>64</v>
      </c>
      <c r="B65">
        <v>32</v>
      </c>
      <c r="C65" t="str">
        <f t="shared" si="0"/>
        <v>(64,32),</v>
      </c>
    </row>
    <row r="66" spans="1:3" x14ac:dyDescent="0.25">
      <c r="A66">
        <v>65</v>
      </c>
      <c r="B66" t="s">
        <v>4312</v>
      </c>
      <c r="C66" t="str">
        <f t="shared" si="0"/>
        <v>(65,null),</v>
      </c>
    </row>
    <row r="67" spans="1:3" x14ac:dyDescent="0.25">
      <c r="A67">
        <v>66</v>
      </c>
      <c r="B67">
        <v>33</v>
      </c>
      <c r="C67" t="str">
        <f t="shared" ref="C67:C130" si="1">_xlfn.CONCAT("(",A67,",",B67,"),")</f>
        <v>(66,33),</v>
      </c>
    </row>
    <row r="68" spans="1:3" x14ac:dyDescent="0.25">
      <c r="A68">
        <v>67</v>
      </c>
      <c r="B68">
        <v>34</v>
      </c>
      <c r="C68" t="str">
        <f t="shared" si="1"/>
        <v>(67,34),</v>
      </c>
    </row>
    <row r="69" spans="1:3" x14ac:dyDescent="0.25">
      <c r="A69">
        <v>68</v>
      </c>
      <c r="B69" t="s">
        <v>4312</v>
      </c>
      <c r="C69" t="str">
        <f t="shared" si="1"/>
        <v>(68,null),</v>
      </c>
    </row>
    <row r="70" spans="1:3" x14ac:dyDescent="0.25">
      <c r="A70">
        <v>69</v>
      </c>
      <c r="B70">
        <v>1</v>
      </c>
      <c r="C70" t="str">
        <f t="shared" si="1"/>
        <v>(69,1),</v>
      </c>
    </row>
    <row r="71" spans="1:3" x14ac:dyDescent="0.25">
      <c r="A71">
        <v>70</v>
      </c>
      <c r="B71">
        <v>35</v>
      </c>
      <c r="C71" t="str">
        <f t="shared" si="1"/>
        <v>(70,35),</v>
      </c>
    </row>
    <row r="72" spans="1:3" x14ac:dyDescent="0.25">
      <c r="A72">
        <v>71</v>
      </c>
      <c r="B72">
        <v>36</v>
      </c>
      <c r="C72" t="str">
        <f t="shared" si="1"/>
        <v>(71,36),</v>
      </c>
    </row>
    <row r="73" spans="1:3" x14ac:dyDescent="0.25">
      <c r="A73">
        <v>72</v>
      </c>
      <c r="B73" t="s">
        <v>4312</v>
      </c>
      <c r="C73" t="str">
        <f t="shared" si="1"/>
        <v>(72,null),</v>
      </c>
    </row>
    <row r="74" spans="1:3" x14ac:dyDescent="0.25">
      <c r="A74">
        <v>73</v>
      </c>
      <c r="B74">
        <v>26</v>
      </c>
      <c r="C74" t="str">
        <f t="shared" si="1"/>
        <v>(73,26),</v>
      </c>
    </row>
    <row r="75" spans="1:3" x14ac:dyDescent="0.25">
      <c r="A75">
        <v>74</v>
      </c>
      <c r="B75">
        <v>37</v>
      </c>
      <c r="C75" t="str">
        <f t="shared" si="1"/>
        <v>(74,37),</v>
      </c>
    </row>
    <row r="76" spans="1:3" x14ac:dyDescent="0.25">
      <c r="A76">
        <v>75</v>
      </c>
      <c r="B76">
        <v>24</v>
      </c>
      <c r="C76" t="str">
        <f t="shared" si="1"/>
        <v>(75,24),</v>
      </c>
    </row>
    <row r="77" spans="1:3" x14ac:dyDescent="0.25">
      <c r="A77">
        <v>76</v>
      </c>
      <c r="B77">
        <v>38</v>
      </c>
      <c r="C77" t="str">
        <f t="shared" si="1"/>
        <v>(76,38),</v>
      </c>
    </row>
    <row r="78" spans="1:3" x14ac:dyDescent="0.25">
      <c r="A78">
        <v>77</v>
      </c>
      <c r="B78" t="s">
        <v>4312</v>
      </c>
      <c r="C78" t="str">
        <f t="shared" si="1"/>
        <v>(77,null),</v>
      </c>
    </row>
    <row r="79" spans="1:3" x14ac:dyDescent="0.25">
      <c r="A79">
        <v>78</v>
      </c>
      <c r="B79">
        <v>39</v>
      </c>
      <c r="C79" t="str">
        <f t="shared" si="1"/>
        <v>(78,39),</v>
      </c>
    </row>
    <row r="80" spans="1:3" x14ac:dyDescent="0.25">
      <c r="A80">
        <v>79</v>
      </c>
      <c r="B80" t="s">
        <v>4312</v>
      </c>
      <c r="C80" t="str">
        <f t="shared" si="1"/>
        <v>(79,null),</v>
      </c>
    </row>
    <row r="81" spans="1:3" x14ac:dyDescent="0.25">
      <c r="A81">
        <v>80</v>
      </c>
      <c r="B81">
        <v>40</v>
      </c>
      <c r="C81" t="str">
        <f t="shared" si="1"/>
        <v>(80,40),</v>
      </c>
    </row>
    <row r="82" spans="1:3" x14ac:dyDescent="0.25">
      <c r="A82">
        <v>81</v>
      </c>
      <c r="B82">
        <v>41</v>
      </c>
      <c r="C82" t="str">
        <f t="shared" si="1"/>
        <v>(81,41),</v>
      </c>
    </row>
    <row r="83" spans="1:3" x14ac:dyDescent="0.25">
      <c r="A83">
        <v>82</v>
      </c>
      <c r="B83" t="s">
        <v>4312</v>
      </c>
      <c r="C83" t="str">
        <f t="shared" si="1"/>
        <v>(82,null),</v>
      </c>
    </row>
    <row r="84" spans="1:3" x14ac:dyDescent="0.25">
      <c r="A84">
        <v>83</v>
      </c>
      <c r="B84">
        <v>11</v>
      </c>
      <c r="C84" t="str">
        <f t="shared" si="1"/>
        <v>(83,11),</v>
      </c>
    </row>
    <row r="85" spans="1:3" x14ac:dyDescent="0.25">
      <c r="A85">
        <v>84</v>
      </c>
      <c r="B85" t="s">
        <v>4312</v>
      </c>
      <c r="C85" t="str">
        <f t="shared" si="1"/>
        <v>(84,null),</v>
      </c>
    </row>
    <row r="86" spans="1:3" x14ac:dyDescent="0.25">
      <c r="A86">
        <v>85</v>
      </c>
      <c r="B86" t="s">
        <v>4312</v>
      </c>
      <c r="C86" t="str">
        <f t="shared" si="1"/>
        <v>(85,null),</v>
      </c>
    </row>
    <row r="87" spans="1:3" x14ac:dyDescent="0.25">
      <c r="A87">
        <v>86</v>
      </c>
      <c r="B87" t="s">
        <v>4312</v>
      </c>
      <c r="C87" t="str">
        <f t="shared" si="1"/>
        <v>(86,null),</v>
      </c>
    </row>
    <row r="88" spans="1:3" x14ac:dyDescent="0.25">
      <c r="A88">
        <v>87</v>
      </c>
      <c r="B88" t="s">
        <v>4312</v>
      </c>
      <c r="C88" t="str">
        <f t="shared" si="1"/>
        <v>(87,null),</v>
      </c>
    </row>
    <row r="89" spans="1:3" x14ac:dyDescent="0.25">
      <c r="A89">
        <v>88</v>
      </c>
      <c r="B89">
        <v>11</v>
      </c>
      <c r="C89" t="str">
        <f t="shared" si="1"/>
        <v>(88,11),</v>
      </c>
    </row>
    <row r="90" spans="1:3" x14ac:dyDescent="0.25">
      <c r="A90">
        <v>89</v>
      </c>
      <c r="B90">
        <v>42</v>
      </c>
      <c r="C90" t="str">
        <f t="shared" si="1"/>
        <v>(89,42),</v>
      </c>
    </row>
    <row r="91" spans="1:3" x14ac:dyDescent="0.25">
      <c r="A91">
        <v>90</v>
      </c>
      <c r="B91">
        <v>22</v>
      </c>
      <c r="C91" t="str">
        <f t="shared" si="1"/>
        <v>(90,22),</v>
      </c>
    </row>
    <row r="92" spans="1:3" x14ac:dyDescent="0.25">
      <c r="A92">
        <v>91</v>
      </c>
      <c r="B92" t="s">
        <v>4312</v>
      </c>
      <c r="C92" t="str">
        <f t="shared" si="1"/>
        <v>(91,null),</v>
      </c>
    </row>
    <row r="93" spans="1:3" x14ac:dyDescent="0.25">
      <c r="A93">
        <v>92</v>
      </c>
      <c r="B93">
        <v>43</v>
      </c>
      <c r="C93" t="str">
        <f t="shared" si="1"/>
        <v>(92,43),</v>
      </c>
    </row>
    <row r="94" spans="1:3" x14ac:dyDescent="0.25">
      <c r="A94">
        <v>93</v>
      </c>
      <c r="B94" t="s">
        <v>4312</v>
      </c>
      <c r="C94" t="str">
        <f t="shared" si="1"/>
        <v>(93,null),</v>
      </c>
    </row>
    <row r="95" spans="1:3" x14ac:dyDescent="0.25">
      <c r="A95">
        <v>94</v>
      </c>
      <c r="B95" t="s">
        <v>4312</v>
      </c>
      <c r="C95" t="str">
        <f t="shared" si="1"/>
        <v>(94,null),</v>
      </c>
    </row>
    <row r="96" spans="1:3" x14ac:dyDescent="0.25">
      <c r="A96">
        <v>95</v>
      </c>
      <c r="B96">
        <v>44</v>
      </c>
      <c r="C96" t="str">
        <f t="shared" si="1"/>
        <v>(95,44),</v>
      </c>
    </row>
    <row r="97" spans="1:3" x14ac:dyDescent="0.25">
      <c r="A97">
        <v>96</v>
      </c>
      <c r="B97" t="s">
        <v>4312</v>
      </c>
      <c r="C97" t="str">
        <f t="shared" si="1"/>
        <v>(96,null),</v>
      </c>
    </row>
    <row r="98" spans="1:3" x14ac:dyDescent="0.25">
      <c r="A98">
        <v>97</v>
      </c>
      <c r="B98">
        <v>45</v>
      </c>
      <c r="C98" t="str">
        <f t="shared" si="1"/>
        <v>(97,45),</v>
      </c>
    </row>
    <row r="99" spans="1:3" x14ac:dyDescent="0.25">
      <c r="A99">
        <v>98</v>
      </c>
      <c r="B99">
        <v>8</v>
      </c>
      <c r="C99" t="str">
        <f t="shared" si="1"/>
        <v>(98,8),</v>
      </c>
    </row>
    <row r="100" spans="1:3" x14ac:dyDescent="0.25">
      <c r="A100">
        <v>99</v>
      </c>
      <c r="B100">
        <v>11</v>
      </c>
      <c r="C100" t="str">
        <f t="shared" si="1"/>
        <v>(99,11),</v>
      </c>
    </row>
    <row r="101" spans="1:3" x14ac:dyDescent="0.25">
      <c r="A101">
        <v>100</v>
      </c>
      <c r="B101">
        <v>8</v>
      </c>
      <c r="C101" t="str">
        <f t="shared" si="1"/>
        <v>(100,8),</v>
      </c>
    </row>
    <row r="102" spans="1:3" x14ac:dyDescent="0.25">
      <c r="A102">
        <v>101</v>
      </c>
      <c r="B102">
        <v>8</v>
      </c>
      <c r="C102" t="str">
        <f t="shared" si="1"/>
        <v>(101,8),</v>
      </c>
    </row>
    <row r="103" spans="1:3" x14ac:dyDescent="0.25">
      <c r="A103">
        <v>102</v>
      </c>
      <c r="B103">
        <v>46</v>
      </c>
      <c r="C103" t="str">
        <f t="shared" si="1"/>
        <v>(102,46),</v>
      </c>
    </row>
    <row r="104" spans="1:3" x14ac:dyDescent="0.25">
      <c r="A104">
        <v>103</v>
      </c>
      <c r="B104">
        <v>34</v>
      </c>
      <c r="C104" t="str">
        <f t="shared" si="1"/>
        <v>(103,34),</v>
      </c>
    </row>
    <row r="105" spans="1:3" x14ac:dyDescent="0.25">
      <c r="A105">
        <v>104</v>
      </c>
      <c r="B105">
        <v>47</v>
      </c>
      <c r="C105" t="str">
        <f t="shared" si="1"/>
        <v>(104,47),</v>
      </c>
    </row>
    <row r="106" spans="1:3" x14ac:dyDescent="0.25">
      <c r="A106">
        <v>105</v>
      </c>
      <c r="B106" t="s">
        <v>4312</v>
      </c>
      <c r="C106" t="str">
        <f t="shared" si="1"/>
        <v>(105,null),</v>
      </c>
    </row>
    <row r="107" spans="1:3" x14ac:dyDescent="0.25">
      <c r="A107">
        <v>106</v>
      </c>
      <c r="B107" t="s">
        <v>4312</v>
      </c>
      <c r="C107" t="str">
        <f t="shared" si="1"/>
        <v>(106,null),</v>
      </c>
    </row>
    <row r="108" spans="1:3" x14ac:dyDescent="0.25">
      <c r="A108">
        <v>107</v>
      </c>
      <c r="B108" t="s">
        <v>4312</v>
      </c>
      <c r="C108" t="str">
        <f t="shared" si="1"/>
        <v>(107,null),</v>
      </c>
    </row>
    <row r="109" spans="1:3" x14ac:dyDescent="0.25">
      <c r="A109">
        <v>108</v>
      </c>
      <c r="B109">
        <v>29</v>
      </c>
      <c r="C109" t="str">
        <f t="shared" si="1"/>
        <v>(108,29),</v>
      </c>
    </row>
    <row r="110" spans="1:3" x14ac:dyDescent="0.25">
      <c r="A110">
        <v>109</v>
      </c>
      <c r="B110">
        <v>48</v>
      </c>
      <c r="C110" t="str">
        <f t="shared" si="1"/>
        <v>(109,48),</v>
      </c>
    </row>
    <row r="111" spans="1:3" x14ac:dyDescent="0.25">
      <c r="A111">
        <v>110</v>
      </c>
      <c r="B111">
        <v>49</v>
      </c>
      <c r="C111" t="str">
        <f t="shared" si="1"/>
        <v>(110,49),</v>
      </c>
    </row>
    <row r="112" spans="1:3" x14ac:dyDescent="0.25">
      <c r="A112">
        <v>111</v>
      </c>
      <c r="B112" t="s">
        <v>4312</v>
      </c>
      <c r="C112" t="str">
        <f t="shared" si="1"/>
        <v>(111,null),</v>
      </c>
    </row>
    <row r="113" spans="1:3" x14ac:dyDescent="0.25">
      <c r="A113">
        <v>112</v>
      </c>
      <c r="B113">
        <v>8</v>
      </c>
      <c r="C113" t="str">
        <f t="shared" si="1"/>
        <v>(112,8),</v>
      </c>
    </row>
    <row r="114" spans="1:3" x14ac:dyDescent="0.25">
      <c r="A114">
        <v>113</v>
      </c>
      <c r="B114">
        <v>50</v>
      </c>
      <c r="C114" t="str">
        <f t="shared" si="1"/>
        <v>(113,50),</v>
      </c>
    </row>
    <row r="115" spans="1:3" x14ac:dyDescent="0.25">
      <c r="A115">
        <v>114</v>
      </c>
      <c r="B115" t="s">
        <v>4312</v>
      </c>
      <c r="C115" t="str">
        <f t="shared" si="1"/>
        <v>(114,null),</v>
      </c>
    </row>
    <row r="116" spans="1:3" x14ac:dyDescent="0.25">
      <c r="A116">
        <v>115</v>
      </c>
      <c r="B116">
        <v>5</v>
      </c>
      <c r="C116" t="str">
        <f t="shared" si="1"/>
        <v>(115,5),</v>
      </c>
    </row>
    <row r="117" spans="1:3" x14ac:dyDescent="0.25">
      <c r="A117">
        <v>116</v>
      </c>
      <c r="B117" t="s">
        <v>4312</v>
      </c>
      <c r="C117" t="str">
        <f t="shared" si="1"/>
        <v>(116,null),</v>
      </c>
    </row>
    <row r="118" spans="1:3" x14ac:dyDescent="0.25">
      <c r="A118">
        <v>117</v>
      </c>
      <c r="B118" t="s">
        <v>4312</v>
      </c>
      <c r="C118" t="str">
        <f t="shared" si="1"/>
        <v>(117,null),</v>
      </c>
    </row>
    <row r="119" spans="1:3" x14ac:dyDescent="0.25">
      <c r="A119">
        <v>118</v>
      </c>
      <c r="B119">
        <v>50</v>
      </c>
      <c r="C119" t="str">
        <f t="shared" si="1"/>
        <v>(118,50),</v>
      </c>
    </row>
    <row r="120" spans="1:3" x14ac:dyDescent="0.25">
      <c r="A120">
        <v>119</v>
      </c>
      <c r="B120">
        <v>15</v>
      </c>
      <c r="C120" t="str">
        <f t="shared" si="1"/>
        <v>(119,15),</v>
      </c>
    </row>
    <row r="121" spans="1:3" x14ac:dyDescent="0.25">
      <c r="A121">
        <v>120</v>
      </c>
      <c r="B121" t="s">
        <v>4312</v>
      </c>
      <c r="C121" t="str">
        <f t="shared" si="1"/>
        <v>(120,null),</v>
      </c>
    </row>
    <row r="122" spans="1:3" x14ac:dyDescent="0.25">
      <c r="A122">
        <v>121</v>
      </c>
      <c r="B122" t="s">
        <v>4312</v>
      </c>
      <c r="C122" t="str">
        <f t="shared" si="1"/>
        <v>(121,null),</v>
      </c>
    </row>
    <row r="123" spans="1:3" x14ac:dyDescent="0.25">
      <c r="A123">
        <v>122</v>
      </c>
      <c r="B123">
        <v>37</v>
      </c>
      <c r="C123" t="str">
        <f t="shared" si="1"/>
        <v>(122,37),</v>
      </c>
    </row>
    <row r="124" spans="1:3" x14ac:dyDescent="0.25">
      <c r="A124">
        <v>123</v>
      </c>
      <c r="B124">
        <v>17</v>
      </c>
      <c r="C124" t="str">
        <f t="shared" si="1"/>
        <v>(123,17),</v>
      </c>
    </row>
    <row r="125" spans="1:3" x14ac:dyDescent="0.25">
      <c r="A125">
        <v>124</v>
      </c>
      <c r="B125">
        <v>35</v>
      </c>
      <c r="C125" t="str">
        <f t="shared" si="1"/>
        <v>(124,35),</v>
      </c>
    </row>
    <row r="126" spans="1:3" x14ac:dyDescent="0.25">
      <c r="A126">
        <v>125</v>
      </c>
      <c r="B126" t="s">
        <v>4312</v>
      </c>
      <c r="C126" t="str">
        <f t="shared" si="1"/>
        <v>(125,null),</v>
      </c>
    </row>
    <row r="127" spans="1:3" x14ac:dyDescent="0.25">
      <c r="A127">
        <v>126</v>
      </c>
      <c r="B127" t="s">
        <v>4312</v>
      </c>
      <c r="C127" t="str">
        <f t="shared" si="1"/>
        <v>(126,null),</v>
      </c>
    </row>
    <row r="128" spans="1:3" x14ac:dyDescent="0.25">
      <c r="A128">
        <v>127</v>
      </c>
      <c r="B128">
        <v>51</v>
      </c>
      <c r="C128" t="str">
        <f t="shared" si="1"/>
        <v>(127,51),</v>
      </c>
    </row>
    <row r="129" spans="1:3" x14ac:dyDescent="0.25">
      <c r="A129">
        <v>128</v>
      </c>
      <c r="B129">
        <v>52</v>
      </c>
      <c r="C129" t="str">
        <f t="shared" si="1"/>
        <v>(128,52),</v>
      </c>
    </row>
    <row r="130" spans="1:3" x14ac:dyDescent="0.25">
      <c r="A130">
        <v>129</v>
      </c>
      <c r="B130">
        <v>53</v>
      </c>
      <c r="C130" t="str">
        <f t="shared" si="1"/>
        <v>(129,53),</v>
      </c>
    </row>
    <row r="131" spans="1:3" x14ac:dyDescent="0.25">
      <c r="A131">
        <v>130</v>
      </c>
      <c r="B131" t="s">
        <v>4312</v>
      </c>
      <c r="C131" t="str">
        <f t="shared" ref="C131:C194" si="2">_xlfn.CONCAT("(",A131,",",B131,"),")</f>
        <v>(130,null),</v>
      </c>
    </row>
    <row r="132" spans="1:3" x14ac:dyDescent="0.25">
      <c r="A132">
        <v>131</v>
      </c>
      <c r="B132" t="s">
        <v>4312</v>
      </c>
      <c r="C132" t="str">
        <f t="shared" si="2"/>
        <v>(131,null),</v>
      </c>
    </row>
    <row r="133" spans="1:3" x14ac:dyDescent="0.25">
      <c r="A133">
        <v>132</v>
      </c>
      <c r="B133">
        <v>44</v>
      </c>
      <c r="C133" t="str">
        <f t="shared" si="2"/>
        <v>(132,44),</v>
      </c>
    </row>
    <row r="134" spans="1:3" x14ac:dyDescent="0.25">
      <c r="A134">
        <v>133</v>
      </c>
      <c r="B134">
        <v>54</v>
      </c>
      <c r="C134" t="str">
        <f t="shared" si="2"/>
        <v>(133,54),</v>
      </c>
    </row>
    <row r="135" spans="1:3" x14ac:dyDescent="0.25">
      <c r="A135">
        <v>134</v>
      </c>
      <c r="B135">
        <v>35</v>
      </c>
      <c r="C135" t="str">
        <f t="shared" si="2"/>
        <v>(134,35),</v>
      </c>
    </row>
    <row r="136" spans="1:3" x14ac:dyDescent="0.25">
      <c r="A136">
        <v>135</v>
      </c>
      <c r="B136">
        <v>22</v>
      </c>
      <c r="C136" t="str">
        <f t="shared" si="2"/>
        <v>(135,22),</v>
      </c>
    </row>
    <row r="137" spans="1:3" x14ac:dyDescent="0.25">
      <c r="A137">
        <v>136</v>
      </c>
      <c r="B137" t="s">
        <v>4312</v>
      </c>
      <c r="C137" t="str">
        <f t="shared" si="2"/>
        <v>(136,null),</v>
      </c>
    </row>
    <row r="138" spans="1:3" x14ac:dyDescent="0.25">
      <c r="A138">
        <v>137</v>
      </c>
      <c r="B138" t="s">
        <v>4312</v>
      </c>
      <c r="C138" t="str">
        <f t="shared" si="2"/>
        <v>(137,null),</v>
      </c>
    </row>
    <row r="139" spans="1:3" x14ac:dyDescent="0.25">
      <c r="A139">
        <v>138</v>
      </c>
      <c r="B139" t="s">
        <v>4312</v>
      </c>
      <c r="C139" t="str">
        <f t="shared" si="2"/>
        <v>(138,null),</v>
      </c>
    </row>
    <row r="140" spans="1:3" x14ac:dyDescent="0.25">
      <c r="A140">
        <v>139</v>
      </c>
      <c r="B140" t="s">
        <v>4312</v>
      </c>
      <c r="C140" t="str">
        <f t="shared" si="2"/>
        <v>(139,null),</v>
      </c>
    </row>
    <row r="141" spans="1:3" x14ac:dyDescent="0.25">
      <c r="A141">
        <v>140</v>
      </c>
      <c r="B141">
        <v>8</v>
      </c>
      <c r="C141" t="str">
        <f t="shared" si="2"/>
        <v>(140,8),</v>
      </c>
    </row>
    <row r="142" spans="1:3" x14ac:dyDescent="0.25">
      <c r="A142">
        <v>141</v>
      </c>
      <c r="B142">
        <v>37</v>
      </c>
      <c r="C142" t="str">
        <f t="shared" si="2"/>
        <v>(141,37),</v>
      </c>
    </row>
    <row r="143" spans="1:3" x14ac:dyDescent="0.25">
      <c r="A143">
        <v>142</v>
      </c>
      <c r="B143" t="s">
        <v>4312</v>
      </c>
      <c r="C143" t="str">
        <f t="shared" si="2"/>
        <v>(142,null),</v>
      </c>
    </row>
    <row r="144" spans="1:3" x14ac:dyDescent="0.25">
      <c r="A144">
        <v>143</v>
      </c>
      <c r="B144" t="s">
        <v>4312</v>
      </c>
      <c r="C144" t="str">
        <f t="shared" si="2"/>
        <v>(143,null),</v>
      </c>
    </row>
    <row r="145" spans="1:3" x14ac:dyDescent="0.25">
      <c r="A145">
        <v>144</v>
      </c>
      <c r="B145">
        <v>55</v>
      </c>
      <c r="C145" t="str">
        <f t="shared" si="2"/>
        <v>(144,55),</v>
      </c>
    </row>
    <row r="146" spans="1:3" x14ac:dyDescent="0.25">
      <c r="A146">
        <v>145</v>
      </c>
      <c r="B146" t="s">
        <v>4312</v>
      </c>
      <c r="C146" t="str">
        <f t="shared" si="2"/>
        <v>(145,null),</v>
      </c>
    </row>
    <row r="147" spans="1:3" x14ac:dyDescent="0.25">
      <c r="A147">
        <v>146</v>
      </c>
      <c r="B147" t="s">
        <v>4312</v>
      </c>
      <c r="C147" t="str">
        <f t="shared" si="2"/>
        <v>(146,null),</v>
      </c>
    </row>
    <row r="148" spans="1:3" x14ac:dyDescent="0.25">
      <c r="A148">
        <v>147</v>
      </c>
      <c r="B148" t="s">
        <v>4312</v>
      </c>
      <c r="C148" t="str">
        <f t="shared" si="2"/>
        <v>(147,null),</v>
      </c>
    </row>
    <row r="149" spans="1:3" x14ac:dyDescent="0.25">
      <c r="A149">
        <v>148</v>
      </c>
      <c r="B149">
        <v>26</v>
      </c>
      <c r="C149" t="str">
        <f t="shared" si="2"/>
        <v>(148,26),</v>
      </c>
    </row>
    <row r="150" spans="1:3" x14ac:dyDescent="0.25">
      <c r="A150">
        <v>149</v>
      </c>
      <c r="B150" t="s">
        <v>4312</v>
      </c>
      <c r="C150" t="str">
        <f t="shared" si="2"/>
        <v>(149,null),</v>
      </c>
    </row>
    <row r="151" spans="1:3" x14ac:dyDescent="0.25">
      <c r="A151">
        <v>150</v>
      </c>
      <c r="B151" t="s">
        <v>4312</v>
      </c>
      <c r="C151" t="str">
        <f t="shared" si="2"/>
        <v>(150,null),</v>
      </c>
    </row>
    <row r="152" spans="1:3" x14ac:dyDescent="0.25">
      <c r="A152">
        <v>151</v>
      </c>
      <c r="B152" t="s">
        <v>4312</v>
      </c>
      <c r="C152" t="str">
        <f t="shared" si="2"/>
        <v>(151,null),</v>
      </c>
    </row>
    <row r="153" spans="1:3" x14ac:dyDescent="0.25">
      <c r="A153">
        <v>152</v>
      </c>
      <c r="B153">
        <v>31</v>
      </c>
      <c r="C153" t="str">
        <f t="shared" si="2"/>
        <v>(152,31),</v>
      </c>
    </row>
    <row r="154" spans="1:3" x14ac:dyDescent="0.25">
      <c r="A154">
        <v>153</v>
      </c>
      <c r="B154" t="s">
        <v>4312</v>
      </c>
      <c r="C154" t="str">
        <f t="shared" si="2"/>
        <v>(153,null),</v>
      </c>
    </row>
    <row r="155" spans="1:3" x14ac:dyDescent="0.25">
      <c r="A155">
        <v>154</v>
      </c>
      <c r="B155" t="s">
        <v>4312</v>
      </c>
      <c r="C155" t="str">
        <f t="shared" si="2"/>
        <v>(154,null),</v>
      </c>
    </row>
    <row r="156" spans="1:3" x14ac:dyDescent="0.25">
      <c r="A156">
        <v>155</v>
      </c>
      <c r="B156" t="s">
        <v>4312</v>
      </c>
      <c r="C156" t="str">
        <f t="shared" si="2"/>
        <v>(155,null),</v>
      </c>
    </row>
    <row r="157" spans="1:3" x14ac:dyDescent="0.25">
      <c r="A157">
        <v>156</v>
      </c>
      <c r="B157" t="s">
        <v>4312</v>
      </c>
      <c r="C157" t="str">
        <f t="shared" si="2"/>
        <v>(156,null),</v>
      </c>
    </row>
    <row r="158" spans="1:3" x14ac:dyDescent="0.25">
      <c r="A158">
        <v>157</v>
      </c>
      <c r="B158" t="s">
        <v>4312</v>
      </c>
      <c r="C158" t="str">
        <f t="shared" si="2"/>
        <v>(157,null),</v>
      </c>
    </row>
    <row r="159" spans="1:3" x14ac:dyDescent="0.25">
      <c r="A159">
        <v>158</v>
      </c>
      <c r="B159">
        <v>53</v>
      </c>
      <c r="C159" t="str">
        <f t="shared" si="2"/>
        <v>(158,53),</v>
      </c>
    </row>
    <row r="160" spans="1:3" x14ac:dyDescent="0.25">
      <c r="A160">
        <v>159</v>
      </c>
      <c r="B160" t="s">
        <v>4312</v>
      </c>
      <c r="C160" t="str">
        <f t="shared" si="2"/>
        <v>(159,null),</v>
      </c>
    </row>
    <row r="161" spans="1:3" x14ac:dyDescent="0.25">
      <c r="A161">
        <v>160</v>
      </c>
      <c r="B161">
        <v>36</v>
      </c>
      <c r="C161" t="str">
        <f t="shared" si="2"/>
        <v>(160,36),</v>
      </c>
    </row>
    <row r="162" spans="1:3" x14ac:dyDescent="0.25">
      <c r="A162">
        <v>161</v>
      </c>
      <c r="B162" t="s">
        <v>4312</v>
      </c>
      <c r="C162" t="str">
        <f t="shared" si="2"/>
        <v>(161,null),</v>
      </c>
    </row>
    <row r="163" spans="1:3" x14ac:dyDescent="0.25">
      <c r="A163">
        <v>162</v>
      </c>
      <c r="B163" t="s">
        <v>4312</v>
      </c>
      <c r="C163" t="str">
        <f t="shared" si="2"/>
        <v>(162,null),</v>
      </c>
    </row>
    <row r="164" spans="1:3" x14ac:dyDescent="0.25">
      <c r="A164">
        <v>163</v>
      </c>
      <c r="B164" t="s">
        <v>4312</v>
      </c>
      <c r="C164" t="str">
        <f t="shared" si="2"/>
        <v>(163,null),</v>
      </c>
    </row>
    <row r="165" spans="1:3" x14ac:dyDescent="0.25">
      <c r="A165">
        <v>164</v>
      </c>
      <c r="B165" t="s">
        <v>4312</v>
      </c>
      <c r="C165" t="str">
        <f t="shared" si="2"/>
        <v>(164,null),</v>
      </c>
    </row>
    <row r="166" spans="1:3" x14ac:dyDescent="0.25">
      <c r="A166">
        <v>165</v>
      </c>
      <c r="B166" t="s">
        <v>4312</v>
      </c>
      <c r="C166" t="str">
        <f t="shared" si="2"/>
        <v>(165,null),</v>
      </c>
    </row>
    <row r="167" spans="1:3" x14ac:dyDescent="0.25">
      <c r="A167">
        <v>166</v>
      </c>
      <c r="B167">
        <v>56</v>
      </c>
      <c r="C167" t="str">
        <f t="shared" si="2"/>
        <v>(166,56),</v>
      </c>
    </row>
    <row r="168" spans="1:3" x14ac:dyDescent="0.25">
      <c r="A168">
        <v>167</v>
      </c>
      <c r="B168">
        <v>57</v>
      </c>
      <c r="C168" t="str">
        <f t="shared" si="2"/>
        <v>(167,57),</v>
      </c>
    </row>
    <row r="169" spans="1:3" x14ac:dyDescent="0.25">
      <c r="A169">
        <v>168</v>
      </c>
      <c r="B169">
        <v>58</v>
      </c>
      <c r="C169" t="str">
        <f t="shared" si="2"/>
        <v>(168,58),</v>
      </c>
    </row>
    <row r="170" spans="1:3" x14ac:dyDescent="0.25">
      <c r="A170">
        <v>169</v>
      </c>
      <c r="B170" t="s">
        <v>4312</v>
      </c>
      <c r="C170" t="str">
        <f t="shared" si="2"/>
        <v>(169,null),</v>
      </c>
    </row>
    <row r="171" spans="1:3" x14ac:dyDescent="0.25">
      <c r="A171">
        <v>170</v>
      </c>
      <c r="B171">
        <v>59</v>
      </c>
      <c r="C171" t="str">
        <f t="shared" si="2"/>
        <v>(170,59),</v>
      </c>
    </row>
    <row r="172" spans="1:3" x14ac:dyDescent="0.25">
      <c r="A172">
        <v>171</v>
      </c>
      <c r="B172">
        <v>55</v>
      </c>
      <c r="C172" t="str">
        <f t="shared" si="2"/>
        <v>(171,55),</v>
      </c>
    </row>
    <row r="173" spans="1:3" x14ac:dyDescent="0.25">
      <c r="A173">
        <v>172</v>
      </c>
      <c r="B173" t="s">
        <v>4312</v>
      </c>
      <c r="C173" t="str">
        <f t="shared" si="2"/>
        <v>(172,null),</v>
      </c>
    </row>
    <row r="174" spans="1:3" x14ac:dyDescent="0.25">
      <c r="A174">
        <v>173</v>
      </c>
      <c r="B174">
        <v>60</v>
      </c>
      <c r="C174" t="str">
        <f t="shared" si="2"/>
        <v>(173,60),</v>
      </c>
    </row>
    <row r="175" spans="1:3" x14ac:dyDescent="0.25">
      <c r="A175">
        <v>174</v>
      </c>
      <c r="B175" t="s">
        <v>4312</v>
      </c>
      <c r="C175" t="str">
        <f t="shared" si="2"/>
        <v>(174,null),</v>
      </c>
    </row>
    <row r="176" spans="1:3" x14ac:dyDescent="0.25">
      <c r="A176">
        <v>175</v>
      </c>
      <c r="B176" t="s">
        <v>4312</v>
      </c>
      <c r="C176" t="str">
        <f t="shared" si="2"/>
        <v>(175,null),</v>
      </c>
    </row>
    <row r="177" spans="1:3" x14ac:dyDescent="0.25">
      <c r="A177">
        <v>176</v>
      </c>
      <c r="B177">
        <v>9</v>
      </c>
      <c r="C177" t="str">
        <f t="shared" si="2"/>
        <v>(176,9),</v>
      </c>
    </row>
    <row r="178" spans="1:3" x14ac:dyDescent="0.25">
      <c r="A178">
        <v>177</v>
      </c>
      <c r="B178" t="s">
        <v>4312</v>
      </c>
      <c r="C178" t="str">
        <f t="shared" si="2"/>
        <v>(177,null),</v>
      </c>
    </row>
    <row r="179" spans="1:3" x14ac:dyDescent="0.25">
      <c r="A179">
        <v>178</v>
      </c>
      <c r="B179">
        <v>35</v>
      </c>
      <c r="C179" t="str">
        <f t="shared" si="2"/>
        <v>(178,35),</v>
      </c>
    </row>
    <row r="180" spans="1:3" x14ac:dyDescent="0.25">
      <c r="A180">
        <v>179</v>
      </c>
      <c r="B180">
        <v>61</v>
      </c>
      <c r="C180" t="str">
        <f t="shared" si="2"/>
        <v>(179,61),</v>
      </c>
    </row>
    <row r="181" spans="1:3" x14ac:dyDescent="0.25">
      <c r="A181">
        <v>180</v>
      </c>
      <c r="B181" t="s">
        <v>4312</v>
      </c>
      <c r="C181" t="str">
        <f t="shared" si="2"/>
        <v>(180,null),</v>
      </c>
    </row>
    <row r="182" spans="1:3" x14ac:dyDescent="0.25">
      <c r="A182">
        <v>181</v>
      </c>
      <c r="B182">
        <v>17</v>
      </c>
      <c r="C182" t="str">
        <f t="shared" si="2"/>
        <v>(181,17),</v>
      </c>
    </row>
    <row r="183" spans="1:3" x14ac:dyDescent="0.25">
      <c r="A183">
        <v>182</v>
      </c>
      <c r="B183">
        <v>17</v>
      </c>
      <c r="C183" t="str">
        <f t="shared" si="2"/>
        <v>(182,17),</v>
      </c>
    </row>
    <row r="184" spans="1:3" x14ac:dyDescent="0.25">
      <c r="A184">
        <v>183</v>
      </c>
      <c r="B184">
        <v>26</v>
      </c>
      <c r="C184" t="str">
        <f t="shared" si="2"/>
        <v>(183,26),</v>
      </c>
    </row>
    <row r="185" spans="1:3" x14ac:dyDescent="0.25">
      <c r="A185">
        <v>184</v>
      </c>
      <c r="B185" t="s">
        <v>4312</v>
      </c>
      <c r="C185" t="str">
        <f t="shared" si="2"/>
        <v>(184,null),</v>
      </c>
    </row>
    <row r="186" spans="1:3" x14ac:dyDescent="0.25">
      <c r="A186">
        <v>185</v>
      </c>
      <c r="B186" t="s">
        <v>4312</v>
      </c>
      <c r="C186" t="str">
        <f t="shared" si="2"/>
        <v>(185,null),</v>
      </c>
    </row>
    <row r="187" spans="1:3" x14ac:dyDescent="0.25">
      <c r="A187">
        <v>186</v>
      </c>
      <c r="B187" t="s">
        <v>4312</v>
      </c>
      <c r="C187" t="str">
        <f t="shared" si="2"/>
        <v>(186,null),</v>
      </c>
    </row>
    <row r="188" spans="1:3" x14ac:dyDescent="0.25">
      <c r="A188">
        <v>187</v>
      </c>
      <c r="B188" t="s">
        <v>4312</v>
      </c>
      <c r="C188" t="str">
        <f t="shared" si="2"/>
        <v>(187,null),</v>
      </c>
    </row>
    <row r="189" spans="1:3" x14ac:dyDescent="0.25">
      <c r="A189">
        <v>188</v>
      </c>
      <c r="B189" t="s">
        <v>4312</v>
      </c>
      <c r="C189" t="str">
        <f t="shared" si="2"/>
        <v>(188,null),</v>
      </c>
    </row>
    <row r="190" spans="1:3" x14ac:dyDescent="0.25">
      <c r="A190">
        <v>189</v>
      </c>
      <c r="B190" t="s">
        <v>4312</v>
      </c>
      <c r="C190" t="str">
        <f t="shared" si="2"/>
        <v>(189,null),</v>
      </c>
    </row>
    <row r="191" spans="1:3" x14ac:dyDescent="0.25">
      <c r="A191">
        <v>190</v>
      </c>
      <c r="B191" t="s">
        <v>4312</v>
      </c>
      <c r="C191" t="str">
        <f t="shared" si="2"/>
        <v>(190,null),</v>
      </c>
    </row>
    <row r="192" spans="1:3" x14ac:dyDescent="0.25">
      <c r="A192">
        <v>191</v>
      </c>
      <c r="B192">
        <v>62</v>
      </c>
      <c r="C192" t="str">
        <f t="shared" si="2"/>
        <v>(191,62),</v>
      </c>
    </row>
    <row r="193" spans="1:3" x14ac:dyDescent="0.25">
      <c r="A193">
        <v>192</v>
      </c>
      <c r="B193" t="s">
        <v>4312</v>
      </c>
      <c r="C193" t="str">
        <f t="shared" si="2"/>
        <v>(192,null),</v>
      </c>
    </row>
    <row r="194" spans="1:3" x14ac:dyDescent="0.25">
      <c r="A194">
        <v>193</v>
      </c>
      <c r="B194" t="s">
        <v>4312</v>
      </c>
      <c r="C194" t="str">
        <f t="shared" si="2"/>
        <v>(193,null),</v>
      </c>
    </row>
    <row r="195" spans="1:3" x14ac:dyDescent="0.25">
      <c r="A195">
        <v>194</v>
      </c>
      <c r="B195" t="s">
        <v>4312</v>
      </c>
      <c r="C195" t="str">
        <f t="shared" ref="C195:C258" si="3">_xlfn.CONCAT("(",A195,",",B195,"),")</f>
        <v>(194,null),</v>
      </c>
    </row>
    <row r="196" spans="1:3" x14ac:dyDescent="0.25">
      <c r="A196">
        <v>195</v>
      </c>
      <c r="B196" t="s">
        <v>4312</v>
      </c>
      <c r="C196" t="str">
        <f t="shared" si="3"/>
        <v>(195,null),</v>
      </c>
    </row>
    <row r="197" spans="1:3" x14ac:dyDescent="0.25">
      <c r="A197">
        <v>196</v>
      </c>
      <c r="B197">
        <v>13</v>
      </c>
      <c r="C197" t="str">
        <f t="shared" si="3"/>
        <v>(196,13),</v>
      </c>
    </row>
    <row r="198" spans="1:3" x14ac:dyDescent="0.25">
      <c r="A198">
        <v>197</v>
      </c>
      <c r="B198" t="s">
        <v>4312</v>
      </c>
      <c r="C198" t="str">
        <f t="shared" si="3"/>
        <v>(197,null),</v>
      </c>
    </row>
    <row r="199" spans="1:3" x14ac:dyDescent="0.25">
      <c r="A199">
        <v>198</v>
      </c>
      <c r="B199" t="s">
        <v>4312</v>
      </c>
      <c r="C199" t="str">
        <f t="shared" si="3"/>
        <v>(198,null),</v>
      </c>
    </row>
    <row r="200" spans="1:3" x14ac:dyDescent="0.25">
      <c r="A200">
        <v>199</v>
      </c>
      <c r="B200" t="s">
        <v>4312</v>
      </c>
      <c r="C200" t="str">
        <f t="shared" si="3"/>
        <v>(199,null),</v>
      </c>
    </row>
    <row r="201" spans="1:3" x14ac:dyDescent="0.25">
      <c r="A201">
        <v>200</v>
      </c>
      <c r="B201">
        <v>63</v>
      </c>
      <c r="C201" t="str">
        <f t="shared" si="3"/>
        <v>(200,63),</v>
      </c>
    </row>
    <row r="202" spans="1:3" x14ac:dyDescent="0.25">
      <c r="A202">
        <v>201</v>
      </c>
      <c r="B202">
        <v>50</v>
      </c>
      <c r="C202" t="str">
        <f t="shared" si="3"/>
        <v>(201,50),</v>
      </c>
    </row>
    <row r="203" spans="1:3" x14ac:dyDescent="0.25">
      <c r="A203">
        <v>202</v>
      </c>
      <c r="B203" t="s">
        <v>4312</v>
      </c>
      <c r="C203" t="str">
        <f t="shared" si="3"/>
        <v>(202,null),</v>
      </c>
    </row>
    <row r="204" spans="1:3" x14ac:dyDescent="0.25">
      <c r="A204">
        <v>203</v>
      </c>
      <c r="B204" t="s">
        <v>4312</v>
      </c>
      <c r="C204" t="str">
        <f t="shared" si="3"/>
        <v>(203,null),</v>
      </c>
    </row>
    <row r="205" spans="1:3" x14ac:dyDescent="0.25">
      <c r="A205">
        <v>204</v>
      </c>
      <c r="B205">
        <v>53</v>
      </c>
      <c r="C205" t="str">
        <f t="shared" si="3"/>
        <v>(204,53),</v>
      </c>
    </row>
    <row r="206" spans="1:3" x14ac:dyDescent="0.25">
      <c r="A206">
        <v>205</v>
      </c>
      <c r="B206">
        <v>5</v>
      </c>
      <c r="C206" t="str">
        <f t="shared" si="3"/>
        <v>(205,5),</v>
      </c>
    </row>
    <row r="207" spans="1:3" x14ac:dyDescent="0.25">
      <c r="A207">
        <v>206</v>
      </c>
      <c r="B207">
        <v>8</v>
      </c>
      <c r="C207" t="str">
        <f t="shared" si="3"/>
        <v>(206,8),</v>
      </c>
    </row>
    <row r="208" spans="1:3" x14ac:dyDescent="0.25">
      <c r="A208">
        <v>207</v>
      </c>
      <c r="B208">
        <v>48</v>
      </c>
      <c r="C208" t="str">
        <f t="shared" si="3"/>
        <v>(207,48),</v>
      </c>
    </row>
    <row r="209" spans="1:3" x14ac:dyDescent="0.25">
      <c r="A209">
        <v>208</v>
      </c>
      <c r="B209" t="s">
        <v>4312</v>
      </c>
      <c r="C209" t="str">
        <f t="shared" si="3"/>
        <v>(208,null),</v>
      </c>
    </row>
    <row r="210" spans="1:3" x14ac:dyDescent="0.25">
      <c r="A210">
        <v>209</v>
      </c>
      <c r="B210">
        <v>64</v>
      </c>
      <c r="C210" t="str">
        <f t="shared" si="3"/>
        <v>(209,64),</v>
      </c>
    </row>
    <row r="211" spans="1:3" x14ac:dyDescent="0.25">
      <c r="A211">
        <v>210</v>
      </c>
      <c r="B211">
        <v>65</v>
      </c>
      <c r="C211" t="str">
        <f t="shared" si="3"/>
        <v>(210,65),</v>
      </c>
    </row>
    <row r="212" spans="1:3" x14ac:dyDescent="0.25">
      <c r="A212">
        <v>211</v>
      </c>
      <c r="B212" t="s">
        <v>4312</v>
      </c>
      <c r="C212" t="str">
        <f t="shared" si="3"/>
        <v>(211,null),</v>
      </c>
    </row>
    <row r="213" spans="1:3" x14ac:dyDescent="0.25">
      <c r="A213">
        <v>212</v>
      </c>
      <c r="B213" t="s">
        <v>4312</v>
      </c>
      <c r="C213" t="str">
        <f t="shared" si="3"/>
        <v>(212,null),</v>
      </c>
    </row>
    <row r="214" spans="1:3" x14ac:dyDescent="0.25">
      <c r="A214">
        <v>213</v>
      </c>
      <c r="B214">
        <v>66</v>
      </c>
      <c r="C214" t="str">
        <f t="shared" si="3"/>
        <v>(213,66),</v>
      </c>
    </row>
    <row r="215" spans="1:3" x14ac:dyDescent="0.25">
      <c r="A215">
        <v>214</v>
      </c>
      <c r="B215">
        <v>50</v>
      </c>
      <c r="C215" t="str">
        <f t="shared" si="3"/>
        <v>(214,50),</v>
      </c>
    </row>
    <row r="216" spans="1:3" x14ac:dyDescent="0.25">
      <c r="A216">
        <v>215</v>
      </c>
      <c r="B216" t="s">
        <v>4312</v>
      </c>
      <c r="C216" t="str">
        <f t="shared" si="3"/>
        <v>(215,null),</v>
      </c>
    </row>
    <row r="217" spans="1:3" x14ac:dyDescent="0.25">
      <c r="A217">
        <v>216</v>
      </c>
      <c r="B217">
        <v>50</v>
      </c>
      <c r="C217" t="str">
        <f t="shared" si="3"/>
        <v>(216,50),</v>
      </c>
    </row>
    <row r="218" spans="1:3" x14ac:dyDescent="0.25">
      <c r="A218">
        <v>217</v>
      </c>
      <c r="B218">
        <v>50</v>
      </c>
      <c r="C218" t="str">
        <f t="shared" si="3"/>
        <v>(217,50),</v>
      </c>
    </row>
    <row r="219" spans="1:3" x14ac:dyDescent="0.25">
      <c r="A219">
        <v>218</v>
      </c>
      <c r="B219" t="s">
        <v>4312</v>
      </c>
      <c r="C219" t="str">
        <f t="shared" si="3"/>
        <v>(218,null),</v>
      </c>
    </row>
    <row r="220" spans="1:3" x14ac:dyDescent="0.25">
      <c r="A220">
        <v>219</v>
      </c>
      <c r="B220" t="s">
        <v>4312</v>
      </c>
      <c r="C220" t="str">
        <f t="shared" si="3"/>
        <v>(219,null),</v>
      </c>
    </row>
    <row r="221" spans="1:3" x14ac:dyDescent="0.25">
      <c r="A221">
        <v>220</v>
      </c>
      <c r="B221" t="s">
        <v>4312</v>
      </c>
      <c r="C221" t="str">
        <f t="shared" si="3"/>
        <v>(220,null),</v>
      </c>
    </row>
    <row r="222" spans="1:3" x14ac:dyDescent="0.25">
      <c r="A222">
        <v>221</v>
      </c>
      <c r="B222">
        <v>3</v>
      </c>
      <c r="C222" t="str">
        <f t="shared" si="3"/>
        <v>(221,3),</v>
      </c>
    </row>
    <row r="223" spans="1:3" x14ac:dyDescent="0.25">
      <c r="A223">
        <v>222</v>
      </c>
      <c r="B223">
        <v>58</v>
      </c>
      <c r="C223" t="str">
        <f t="shared" si="3"/>
        <v>(222,58),</v>
      </c>
    </row>
    <row r="224" spans="1:3" x14ac:dyDescent="0.25">
      <c r="A224">
        <v>223</v>
      </c>
      <c r="B224">
        <v>67</v>
      </c>
      <c r="C224" t="str">
        <f t="shared" si="3"/>
        <v>(223,67),</v>
      </c>
    </row>
    <row r="225" spans="1:3" x14ac:dyDescent="0.25">
      <c r="A225">
        <v>224</v>
      </c>
      <c r="B225" t="s">
        <v>4312</v>
      </c>
      <c r="C225" t="str">
        <f t="shared" si="3"/>
        <v>(224,null),</v>
      </c>
    </row>
    <row r="226" spans="1:3" x14ac:dyDescent="0.25">
      <c r="A226">
        <v>225</v>
      </c>
      <c r="B226">
        <v>50</v>
      </c>
      <c r="C226" t="str">
        <f t="shared" si="3"/>
        <v>(225,50),</v>
      </c>
    </row>
    <row r="227" spans="1:3" x14ac:dyDescent="0.25">
      <c r="A227">
        <v>226</v>
      </c>
      <c r="B227" t="s">
        <v>4312</v>
      </c>
      <c r="C227" t="str">
        <f t="shared" si="3"/>
        <v>(226,null),</v>
      </c>
    </row>
    <row r="228" spans="1:3" x14ac:dyDescent="0.25">
      <c r="A228">
        <v>227</v>
      </c>
      <c r="B228" t="s">
        <v>4312</v>
      </c>
      <c r="C228" t="str">
        <f t="shared" si="3"/>
        <v>(227,null),</v>
      </c>
    </row>
    <row r="229" spans="1:3" x14ac:dyDescent="0.25">
      <c r="A229">
        <v>228</v>
      </c>
      <c r="B229" t="s">
        <v>4312</v>
      </c>
      <c r="C229" t="str">
        <f t="shared" si="3"/>
        <v>(228,null),</v>
      </c>
    </row>
    <row r="230" spans="1:3" x14ac:dyDescent="0.25">
      <c r="A230">
        <v>229</v>
      </c>
      <c r="B230" t="s">
        <v>4312</v>
      </c>
      <c r="C230" t="str">
        <f t="shared" si="3"/>
        <v>(229,null),</v>
      </c>
    </row>
    <row r="231" spans="1:3" x14ac:dyDescent="0.25">
      <c r="A231">
        <v>230</v>
      </c>
      <c r="B231">
        <v>50</v>
      </c>
      <c r="C231" t="str">
        <f t="shared" si="3"/>
        <v>(230,50),</v>
      </c>
    </row>
    <row r="232" spans="1:3" x14ac:dyDescent="0.25">
      <c r="A232">
        <v>231</v>
      </c>
      <c r="B232" t="s">
        <v>4312</v>
      </c>
      <c r="C232" t="str">
        <f t="shared" si="3"/>
        <v>(231,null),</v>
      </c>
    </row>
    <row r="233" spans="1:3" x14ac:dyDescent="0.25">
      <c r="A233">
        <v>232</v>
      </c>
      <c r="B233">
        <v>8</v>
      </c>
      <c r="C233" t="str">
        <f t="shared" si="3"/>
        <v>(232,8),</v>
      </c>
    </row>
    <row r="234" spans="1:3" x14ac:dyDescent="0.25">
      <c r="A234">
        <v>233</v>
      </c>
      <c r="B234">
        <v>68</v>
      </c>
      <c r="C234" t="str">
        <f t="shared" si="3"/>
        <v>(233,68),</v>
      </c>
    </row>
    <row r="235" spans="1:3" x14ac:dyDescent="0.25">
      <c r="A235">
        <v>234</v>
      </c>
      <c r="B235">
        <v>55</v>
      </c>
      <c r="C235" t="str">
        <f t="shared" si="3"/>
        <v>(234,55),</v>
      </c>
    </row>
    <row r="236" spans="1:3" x14ac:dyDescent="0.25">
      <c r="A236">
        <v>235</v>
      </c>
      <c r="B236" t="s">
        <v>4312</v>
      </c>
      <c r="C236" t="str">
        <f t="shared" si="3"/>
        <v>(235,null),</v>
      </c>
    </row>
    <row r="237" spans="1:3" x14ac:dyDescent="0.25">
      <c r="A237">
        <v>236</v>
      </c>
      <c r="B237" t="s">
        <v>4312</v>
      </c>
      <c r="C237" t="str">
        <f t="shared" si="3"/>
        <v>(236,null),</v>
      </c>
    </row>
    <row r="238" spans="1:3" x14ac:dyDescent="0.25">
      <c r="A238">
        <v>237</v>
      </c>
      <c r="B238" t="s">
        <v>4312</v>
      </c>
      <c r="C238" t="str">
        <f t="shared" si="3"/>
        <v>(237,null),</v>
      </c>
    </row>
    <row r="239" spans="1:3" x14ac:dyDescent="0.25">
      <c r="A239">
        <v>238</v>
      </c>
      <c r="B239">
        <v>52</v>
      </c>
      <c r="C239" t="str">
        <f t="shared" si="3"/>
        <v>(238,52),</v>
      </c>
    </row>
    <row r="240" spans="1:3" x14ac:dyDescent="0.25">
      <c r="A240">
        <v>239</v>
      </c>
      <c r="B240" t="s">
        <v>4312</v>
      </c>
      <c r="C240" t="str">
        <f t="shared" si="3"/>
        <v>(239,null),</v>
      </c>
    </row>
    <row r="241" spans="1:3" x14ac:dyDescent="0.25">
      <c r="A241">
        <v>240</v>
      </c>
      <c r="B241" t="s">
        <v>4312</v>
      </c>
      <c r="C241" t="str">
        <f t="shared" si="3"/>
        <v>(240,null),</v>
      </c>
    </row>
    <row r="242" spans="1:3" x14ac:dyDescent="0.25">
      <c r="A242">
        <v>241</v>
      </c>
      <c r="B242" t="s">
        <v>4312</v>
      </c>
      <c r="C242" t="str">
        <f t="shared" si="3"/>
        <v>(241,null),</v>
      </c>
    </row>
    <row r="243" spans="1:3" x14ac:dyDescent="0.25">
      <c r="A243">
        <v>242</v>
      </c>
      <c r="B243" t="s">
        <v>4312</v>
      </c>
      <c r="C243" t="str">
        <f t="shared" si="3"/>
        <v>(242,null),</v>
      </c>
    </row>
    <row r="244" spans="1:3" x14ac:dyDescent="0.25">
      <c r="A244">
        <v>243</v>
      </c>
      <c r="B244" t="s">
        <v>4312</v>
      </c>
      <c r="C244" t="str">
        <f t="shared" si="3"/>
        <v>(243,null),</v>
      </c>
    </row>
    <row r="245" spans="1:3" x14ac:dyDescent="0.25">
      <c r="A245">
        <v>244</v>
      </c>
      <c r="B245" t="s">
        <v>4312</v>
      </c>
      <c r="C245" t="str">
        <f t="shared" si="3"/>
        <v>(244,null),</v>
      </c>
    </row>
    <row r="246" spans="1:3" x14ac:dyDescent="0.25">
      <c r="A246">
        <v>245</v>
      </c>
      <c r="B246" t="s">
        <v>4312</v>
      </c>
      <c r="C246" t="str">
        <f t="shared" si="3"/>
        <v>(245,null),</v>
      </c>
    </row>
    <row r="247" spans="1:3" x14ac:dyDescent="0.25">
      <c r="A247">
        <v>246</v>
      </c>
      <c r="B247" t="s">
        <v>4312</v>
      </c>
      <c r="C247" t="str">
        <f t="shared" si="3"/>
        <v>(246,null),</v>
      </c>
    </row>
    <row r="248" spans="1:3" x14ac:dyDescent="0.25">
      <c r="A248">
        <v>247</v>
      </c>
      <c r="B248" t="s">
        <v>4312</v>
      </c>
      <c r="C248" t="str">
        <f t="shared" si="3"/>
        <v>(247,null),</v>
      </c>
    </row>
    <row r="249" spans="1:3" x14ac:dyDescent="0.25">
      <c r="A249">
        <v>248</v>
      </c>
      <c r="B249" t="s">
        <v>4312</v>
      </c>
      <c r="C249" t="str">
        <f t="shared" si="3"/>
        <v>(248,null),</v>
      </c>
    </row>
    <row r="250" spans="1:3" x14ac:dyDescent="0.25">
      <c r="A250">
        <v>249</v>
      </c>
      <c r="B250">
        <v>17</v>
      </c>
      <c r="C250" t="str">
        <f t="shared" si="3"/>
        <v>(249,17),</v>
      </c>
    </row>
    <row r="251" spans="1:3" x14ac:dyDescent="0.25">
      <c r="A251">
        <v>250</v>
      </c>
      <c r="B251">
        <v>17</v>
      </c>
      <c r="C251" t="str">
        <f t="shared" si="3"/>
        <v>(250,17),</v>
      </c>
    </row>
    <row r="252" spans="1:3" x14ac:dyDescent="0.25">
      <c r="A252">
        <v>251</v>
      </c>
      <c r="B252" t="s">
        <v>4312</v>
      </c>
      <c r="C252" t="str">
        <f t="shared" si="3"/>
        <v>(251,null),</v>
      </c>
    </row>
    <row r="253" spans="1:3" x14ac:dyDescent="0.25">
      <c r="A253">
        <v>252</v>
      </c>
      <c r="B253">
        <v>17</v>
      </c>
      <c r="C253" t="str">
        <f t="shared" si="3"/>
        <v>(252,17),</v>
      </c>
    </row>
    <row r="254" spans="1:3" x14ac:dyDescent="0.25">
      <c r="A254">
        <v>253</v>
      </c>
      <c r="B254" t="s">
        <v>4312</v>
      </c>
      <c r="C254" t="str">
        <f t="shared" si="3"/>
        <v>(253,null),</v>
      </c>
    </row>
    <row r="255" spans="1:3" x14ac:dyDescent="0.25">
      <c r="A255">
        <v>254</v>
      </c>
      <c r="B255" t="s">
        <v>4312</v>
      </c>
      <c r="C255" t="str">
        <f t="shared" si="3"/>
        <v>(254,null),</v>
      </c>
    </row>
    <row r="256" spans="1:3" x14ac:dyDescent="0.25">
      <c r="A256">
        <v>255</v>
      </c>
      <c r="B256" t="s">
        <v>4312</v>
      </c>
      <c r="C256" t="str">
        <f t="shared" si="3"/>
        <v>(255,null),</v>
      </c>
    </row>
    <row r="257" spans="1:3" x14ac:dyDescent="0.25">
      <c r="A257">
        <v>256</v>
      </c>
      <c r="B257" t="s">
        <v>4312</v>
      </c>
      <c r="C257" t="str">
        <f t="shared" si="3"/>
        <v>(256,null),</v>
      </c>
    </row>
    <row r="258" spans="1:3" x14ac:dyDescent="0.25">
      <c r="A258">
        <v>257</v>
      </c>
      <c r="B258">
        <v>69</v>
      </c>
      <c r="C258" t="str">
        <f t="shared" si="3"/>
        <v>(257,69),</v>
      </c>
    </row>
    <row r="259" spans="1:3" x14ac:dyDescent="0.25">
      <c r="A259">
        <v>258</v>
      </c>
      <c r="B259">
        <v>5</v>
      </c>
      <c r="C259" t="str">
        <f t="shared" ref="C259:C322" si="4">_xlfn.CONCAT("(",A259,",",B259,"),")</f>
        <v>(258,5),</v>
      </c>
    </row>
    <row r="260" spans="1:3" x14ac:dyDescent="0.25">
      <c r="A260">
        <v>259</v>
      </c>
      <c r="B260" t="s">
        <v>4312</v>
      </c>
      <c r="C260" t="str">
        <f t="shared" si="4"/>
        <v>(259,null),</v>
      </c>
    </row>
    <row r="261" spans="1:3" x14ac:dyDescent="0.25">
      <c r="A261">
        <v>260</v>
      </c>
      <c r="B261">
        <v>18</v>
      </c>
      <c r="C261" t="str">
        <f t="shared" si="4"/>
        <v>(260,18),</v>
      </c>
    </row>
    <row r="262" spans="1:3" x14ac:dyDescent="0.25">
      <c r="A262">
        <v>261</v>
      </c>
      <c r="B262">
        <v>69</v>
      </c>
      <c r="C262" t="str">
        <f t="shared" si="4"/>
        <v>(261,69),</v>
      </c>
    </row>
    <row r="263" spans="1:3" x14ac:dyDescent="0.25">
      <c r="A263">
        <v>262</v>
      </c>
      <c r="B263">
        <v>37</v>
      </c>
      <c r="C263" t="str">
        <f t="shared" si="4"/>
        <v>(262,37),</v>
      </c>
    </row>
    <row r="264" spans="1:3" x14ac:dyDescent="0.25">
      <c r="A264">
        <v>263</v>
      </c>
      <c r="B264" t="s">
        <v>4312</v>
      </c>
      <c r="C264" t="str">
        <f t="shared" si="4"/>
        <v>(263,null),</v>
      </c>
    </row>
    <row r="265" spans="1:3" x14ac:dyDescent="0.25">
      <c r="A265">
        <v>264</v>
      </c>
      <c r="B265">
        <v>27</v>
      </c>
      <c r="C265" t="str">
        <f t="shared" si="4"/>
        <v>(264,27),</v>
      </c>
    </row>
    <row r="266" spans="1:3" x14ac:dyDescent="0.25">
      <c r="A266">
        <v>265</v>
      </c>
      <c r="B266">
        <v>70</v>
      </c>
      <c r="C266" t="str">
        <f t="shared" si="4"/>
        <v>(265,70),</v>
      </c>
    </row>
    <row r="267" spans="1:3" x14ac:dyDescent="0.25">
      <c r="A267">
        <v>266</v>
      </c>
      <c r="B267" t="s">
        <v>4312</v>
      </c>
      <c r="C267" t="str">
        <f t="shared" si="4"/>
        <v>(266,null),</v>
      </c>
    </row>
    <row r="268" spans="1:3" x14ac:dyDescent="0.25">
      <c r="A268">
        <v>267</v>
      </c>
      <c r="B268" t="s">
        <v>4312</v>
      </c>
      <c r="C268" t="str">
        <f t="shared" si="4"/>
        <v>(267,null),</v>
      </c>
    </row>
    <row r="269" spans="1:3" x14ac:dyDescent="0.25">
      <c r="A269">
        <v>268</v>
      </c>
      <c r="B269" t="s">
        <v>4312</v>
      </c>
      <c r="C269" t="str">
        <f t="shared" si="4"/>
        <v>(268,null),</v>
      </c>
    </row>
    <row r="270" spans="1:3" x14ac:dyDescent="0.25">
      <c r="A270">
        <v>269</v>
      </c>
      <c r="B270" t="s">
        <v>4312</v>
      </c>
      <c r="C270" t="str">
        <f t="shared" si="4"/>
        <v>(269,null),</v>
      </c>
    </row>
    <row r="271" spans="1:3" x14ac:dyDescent="0.25">
      <c r="A271">
        <v>270</v>
      </c>
      <c r="B271">
        <v>12</v>
      </c>
      <c r="C271" t="str">
        <f t="shared" si="4"/>
        <v>(270,12),</v>
      </c>
    </row>
    <row r="272" spans="1:3" x14ac:dyDescent="0.25">
      <c r="A272">
        <v>271</v>
      </c>
      <c r="B272" t="s">
        <v>4312</v>
      </c>
      <c r="C272" t="str">
        <f t="shared" si="4"/>
        <v>(271,null),</v>
      </c>
    </row>
    <row r="273" spans="1:3" x14ac:dyDescent="0.25">
      <c r="A273">
        <v>272</v>
      </c>
      <c r="B273">
        <v>63</v>
      </c>
      <c r="C273" t="str">
        <f t="shared" si="4"/>
        <v>(272,63),</v>
      </c>
    </row>
    <row r="274" spans="1:3" x14ac:dyDescent="0.25">
      <c r="A274">
        <v>273</v>
      </c>
      <c r="B274" t="s">
        <v>4312</v>
      </c>
      <c r="C274" t="str">
        <f t="shared" si="4"/>
        <v>(273,null),</v>
      </c>
    </row>
    <row r="275" spans="1:3" x14ac:dyDescent="0.25">
      <c r="A275">
        <v>274</v>
      </c>
      <c r="B275" t="s">
        <v>4312</v>
      </c>
      <c r="C275" t="str">
        <f t="shared" si="4"/>
        <v>(274,null),</v>
      </c>
    </row>
    <row r="276" spans="1:3" x14ac:dyDescent="0.25">
      <c r="A276">
        <v>275</v>
      </c>
      <c r="B276" t="s">
        <v>4312</v>
      </c>
      <c r="C276" t="str">
        <f t="shared" si="4"/>
        <v>(275,null),</v>
      </c>
    </row>
    <row r="277" spans="1:3" x14ac:dyDescent="0.25">
      <c r="A277">
        <v>276</v>
      </c>
      <c r="B277" t="s">
        <v>4312</v>
      </c>
      <c r="C277" t="str">
        <f t="shared" si="4"/>
        <v>(276,null),</v>
      </c>
    </row>
    <row r="278" spans="1:3" x14ac:dyDescent="0.25">
      <c r="A278">
        <v>277</v>
      </c>
      <c r="B278" t="s">
        <v>4312</v>
      </c>
      <c r="C278" t="str">
        <f t="shared" si="4"/>
        <v>(277,null),</v>
      </c>
    </row>
    <row r="279" spans="1:3" x14ac:dyDescent="0.25">
      <c r="A279">
        <v>278</v>
      </c>
      <c r="B279" t="s">
        <v>4312</v>
      </c>
      <c r="C279" t="str">
        <f t="shared" si="4"/>
        <v>(278,null),</v>
      </c>
    </row>
    <row r="280" spans="1:3" x14ac:dyDescent="0.25">
      <c r="A280">
        <v>279</v>
      </c>
      <c r="B280">
        <v>50</v>
      </c>
      <c r="C280" t="str">
        <f t="shared" si="4"/>
        <v>(279,50),</v>
      </c>
    </row>
    <row r="281" spans="1:3" x14ac:dyDescent="0.25">
      <c r="A281">
        <v>280</v>
      </c>
      <c r="B281" t="s">
        <v>4312</v>
      </c>
      <c r="C281" t="str">
        <f t="shared" si="4"/>
        <v>(280,null),</v>
      </c>
    </row>
    <row r="282" spans="1:3" x14ac:dyDescent="0.25">
      <c r="A282">
        <v>281</v>
      </c>
      <c r="B282" t="s">
        <v>4312</v>
      </c>
      <c r="C282" t="str">
        <f t="shared" si="4"/>
        <v>(281,null),</v>
      </c>
    </row>
    <row r="283" spans="1:3" x14ac:dyDescent="0.25">
      <c r="A283">
        <v>282</v>
      </c>
      <c r="B283">
        <v>69</v>
      </c>
      <c r="C283" t="str">
        <f t="shared" si="4"/>
        <v>(282,69),</v>
      </c>
    </row>
    <row r="284" spans="1:3" x14ac:dyDescent="0.25">
      <c r="A284">
        <v>283</v>
      </c>
      <c r="B284" t="s">
        <v>4312</v>
      </c>
      <c r="C284" t="str">
        <f t="shared" si="4"/>
        <v>(283,null),</v>
      </c>
    </row>
    <row r="285" spans="1:3" x14ac:dyDescent="0.25">
      <c r="A285">
        <v>284</v>
      </c>
      <c r="B285">
        <v>18</v>
      </c>
      <c r="C285" t="str">
        <f t="shared" si="4"/>
        <v>(284,18),</v>
      </c>
    </row>
    <row r="286" spans="1:3" x14ac:dyDescent="0.25">
      <c r="A286">
        <v>285</v>
      </c>
      <c r="B286">
        <v>26</v>
      </c>
      <c r="C286" t="str">
        <f t="shared" si="4"/>
        <v>(285,26),</v>
      </c>
    </row>
    <row r="287" spans="1:3" x14ac:dyDescent="0.25">
      <c r="A287">
        <v>286</v>
      </c>
      <c r="B287" t="s">
        <v>4312</v>
      </c>
      <c r="C287" t="str">
        <f t="shared" si="4"/>
        <v>(286,null),</v>
      </c>
    </row>
    <row r="288" spans="1:3" x14ac:dyDescent="0.25">
      <c r="A288">
        <v>287</v>
      </c>
      <c r="B288">
        <v>22</v>
      </c>
      <c r="C288" t="str">
        <f t="shared" si="4"/>
        <v>(287,22),</v>
      </c>
    </row>
    <row r="289" spans="1:3" x14ac:dyDescent="0.25">
      <c r="A289">
        <v>288</v>
      </c>
      <c r="B289">
        <v>9</v>
      </c>
      <c r="C289" t="str">
        <f t="shared" si="4"/>
        <v>(288,9),</v>
      </c>
    </row>
    <row r="290" spans="1:3" x14ac:dyDescent="0.25">
      <c r="A290">
        <v>289</v>
      </c>
      <c r="B290" t="s">
        <v>4312</v>
      </c>
      <c r="C290" t="str">
        <f t="shared" si="4"/>
        <v>(289,null),</v>
      </c>
    </row>
    <row r="291" spans="1:3" x14ac:dyDescent="0.25">
      <c r="A291">
        <v>290</v>
      </c>
      <c r="B291" t="s">
        <v>4312</v>
      </c>
      <c r="C291" t="str">
        <f t="shared" si="4"/>
        <v>(290,null),</v>
      </c>
    </row>
    <row r="292" spans="1:3" x14ac:dyDescent="0.25">
      <c r="A292">
        <v>291</v>
      </c>
      <c r="B292">
        <v>9</v>
      </c>
      <c r="C292" t="str">
        <f t="shared" si="4"/>
        <v>(291,9),</v>
      </c>
    </row>
    <row r="293" spans="1:3" x14ac:dyDescent="0.25">
      <c r="A293">
        <v>292</v>
      </c>
      <c r="B293">
        <v>9</v>
      </c>
      <c r="C293" t="str">
        <f t="shared" si="4"/>
        <v>(292,9),</v>
      </c>
    </row>
    <row r="294" spans="1:3" x14ac:dyDescent="0.25">
      <c r="A294">
        <v>293</v>
      </c>
      <c r="B294" t="s">
        <v>4312</v>
      </c>
      <c r="C294" t="str">
        <f t="shared" si="4"/>
        <v>(293,null),</v>
      </c>
    </row>
    <row r="295" spans="1:3" x14ac:dyDescent="0.25">
      <c r="A295">
        <v>294</v>
      </c>
      <c r="B295">
        <v>10</v>
      </c>
      <c r="C295" t="str">
        <f t="shared" si="4"/>
        <v>(294,10),</v>
      </c>
    </row>
    <row r="296" spans="1:3" x14ac:dyDescent="0.25">
      <c r="A296">
        <v>295</v>
      </c>
      <c r="B296">
        <v>71</v>
      </c>
      <c r="C296" t="str">
        <f t="shared" si="4"/>
        <v>(295,71),</v>
      </c>
    </row>
    <row r="297" spans="1:3" x14ac:dyDescent="0.25">
      <c r="A297">
        <v>296</v>
      </c>
      <c r="B297" t="s">
        <v>4312</v>
      </c>
      <c r="C297" t="str">
        <f t="shared" si="4"/>
        <v>(296,null),</v>
      </c>
    </row>
    <row r="298" spans="1:3" x14ac:dyDescent="0.25">
      <c r="A298">
        <v>297</v>
      </c>
      <c r="B298" t="s">
        <v>4312</v>
      </c>
      <c r="C298" t="str">
        <f t="shared" si="4"/>
        <v>(297,null),</v>
      </c>
    </row>
    <row r="299" spans="1:3" x14ac:dyDescent="0.25">
      <c r="A299">
        <v>298</v>
      </c>
      <c r="B299" t="s">
        <v>4312</v>
      </c>
      <c r="C299" t="str">
        <f t="shared" si="4"/>
        <v>(298,null),</v>
      </c>
    </row>
    <row r="300" spans="1:3" x14ac:dyDescent="0.25">
      <c r="A300">
        <v>299</v>
      </c>
      <c r="B300" t="s">
        <v>4312</v>
      </c>
      <c r="C300" t="str">
        <f t="shared" si="4"/>
        <v>(299,null),</v>
      </c>
    </row>
    <row r="301" spans="1:3" x14ac:dyDescent="0.25">
      <c r="A301">
        <v>300</v>
      </c>
      <c r="B301" t="s">
        <v>4312</v>
      </c>
      <c r="C301" t="str">
        <f t="shared" si="4"/>
        <v>(300,null),</v>
      </c>
    </row>
    <row r="302" spans="1:3" x14ac:dyDescent="0.25">
      <c r="A302">
        <v>301</v>
      </c>
      <c r="B302">
        <v>18</v>
      </c>
      <c r="C302" t="str">
        <f t="shared" si="4"/>
        <v>(301,18),</v>
      </c>
    </row>
    <row r="303" spans="1:3" x14ac:dyDescent="0.25">
      <c r="A303">
        <v>302</v>
      </c>
      <c r="B303" t="s">
        <v>4312</v>
      </c>
      <c r="C303" t="str">
        <f t="shared" si="4"/>
        <v>(302,null),</v>
      </c>
    </row>
    <row r="304" spans="1:3" x14ac:dyDescent="0.25">
      <c r="A304">
        <v>303</v>
      </c>
      <c r="B304">
        <v>72</v>
      </c>
      <c r="C304" t="str">
        <f t="shared" si="4"/>
        <v>(303,72),</v>
      </c>
    </row>
    <row r="305" spans="1:3" x14ac:dyDescent="0.25">
      <c r="A305">
        <v>304</v>
      </c>
      <c r="B305">
        <v>41</v>
      </c>
      <c r="C305" t="str">
        <f t="shared" si="4"/>
        <v>(304,41),</v>
      </c>
    </row>
    <row r="306" spans="1:3" x14ac:dyDescent="0.25">
      <c r="A306">
        <v>305</v>
      </c>
      <c r="B306" t="s">
        <v>4312</v>
      </c>
      <c r="C306" t="str">
        <f t="shared" si="4"/>
        <v>(305,null),</v>
      </c>
    </row>
    <row r="307" spans="1:3" x14ac:dyDescent="0.25">
      <c r="A307">
        <v>306</v>
      </c>
      <c r="B307">
        <v>24</v>
      </c>
      <c r="C307" t="str">
        <f t="shared" si="4"/>
        <v>(306,24),</v>
      </c>
    </row>
    <row r="308" spans="1:3" x14ac:dyDescent="0.25">
      <c r="A308">
        <v>307</v>
      </c>
      <c r="B308">
        <v>73</v>
      </c>
      <c r="C308" t="str">
        <f t="shared" si="4"/>
        <v>(307,73),</v>
      </c>
    </row>
    <row r="309" spans="1:3" x14ac:dyDescent="0.25">
      <c r="A309">
        <v>308</v>
      </c>
      <c r="B309">
        <v>74</v>
      </c>
      <c r="C309" t="str">
        <f t="shared" si="4"/>
        <v>(308,74),</v>
      </c>
    </row>
    <row r="310" spans="1:3" x14ac:dyDescent="0.25">
      <c r="A310">
        <v>309</v>
      </c>
      <c r="B310" t="s">
        <v>4312</v>
      </c>
      <c r="C310" t="str">
        <f t="shared" si="4"/>
        <v>(309,null),</v>
      </c>
    </row>
    <row r="311" spans="1:3" x14ac:dyDescent="0.25">
      <c r="A311">
        <v>310</v>
      </c>
      <c r="B311">
        <v>8</v>
      </c>
      <c r="C311" t="str">
        <f t="shared" si="4"/>
        <v>(310,8),</v>
      </c>
    </row>
    <row r="312" spans="1:3" x14ac:dyDescent="0.25">
      <c r="A312">
        <v>311</v>
      </c>
      <c r="B312" t="s">
        <v>4312</v>
      </c>
      <c r="C312" t="str">
        <f t="shared" si="4"/>
        <v>(311,null),</v>
      </c>
    </row>
    <row r="313" spans="1:3" x14ac:dyDescent="0.25">
      <c r="A313">
        <v>312</v>
      </c>
      <c r="B313">
        <v>58</v>
      </c>
      <c r="C313" t="str">
        <f t="shared" si="4"/>
        <v>(312,58),</v>
      </c>
    </row>
    <row r="314" spans="1:3" x14ac:dyDescent="0.25">
      <c r="A314">
        <v>313</v>
      </c>
      <c r="B314">
        <v>13</v>
      </c>
      <c r="C314" t="str">
        <f t="shared" si="4"/>
        <v>(313,13),</v>
      </c>
    </row>
    <row r="315" spans="1:3" x14ac:dyDescent="0.25">
      <c r="A315">
        <v>314</v>
      </c>
      <c r="B315">
        <v>75</v>
      </c>
      <c r="C315" t="str">
        <f t="shared" si="4"/>
        <v>(314,75),</v>
      </c>
    </row>
    <row r="316" spans="1:3" x14ac:dyDescent="0.25">
      <c r="A316">
        <v>315</v>
      </c>
      <c r="B316">
        <v>66</v>
      </c>
      <c r="C316" t="str">
        <f t="shared" si="4"/>
        <v>(315,66),</v>
      </c>
    </row>
    <row r="317" spans="1:3" x14ac:dyDescent="0.25">
      <c r="A317">
        <v>316</v>
      </c>
      <c r="B317" t="s">
        <v>4312</v>
      </c>
      <c r="C317" t="str">
        <f t="shared" si="4"/>
        <v>(316,null),</v>
      </c>
    </row>
    <row r="318" spans="1:3" x14ac:dyDescent="0.25">
      <c r="A318">
        <v>317</v>
      </c>
      <c r="B318">
        <v>50</v>
      </c>
      <c r="C318" t="str">
        <f t="shared" si="4"/>
        <v>(317,50),</v>
      </c>
    </row>
    <row r="319" spans="1:3" x14ac:dyDescent="0.25">
      <c r="A319">
        <v>318</v>
      </c>
      <c r="B319" t="s">
        <v>4312</v>
      </c>
      <c r="C319" t="str">
        <f t="shared" si="4"/>
        <v>(318,null),</v>
      </c>
    </row>
    <row r="320" spans="1:3" x14ac:dyDescent="0.25">
      <c r="A320">
        <v>319</v>
      </c>
      <c r="B320" t="s">
        <v>4312</v>
      </c>
      <c r="C320" t="str">
        <f t="shared" si="4"/>
        <v>(319,null),</v>
      </c>
    </row>
    <row r="321" spans="1:3" x14ac:dyDescent="0.25">
      <c r="A321">
        <v>320</v>
      </c>
      <c r="B321">
        <v>17</v>
      </c>
      <c r="C321" t="str">
        <f t="shared" si="4"/>
        <v>(320,17),</v>
      </c>
    </row>
    <row r="322" spans="1:3" x14ac:dyDescent="0.25">
      <c r="A322">
        <v>321</v>
      </c>
      <c r="B322">
        <v>68</v>
      </c>
      <c r="C322" t="str">
        <f t="shared" si="4"/>
        <v>(321,68),</v>
      </c>
    </row>
    <row r="323" spans="1:3" x14ac:dyDescent="0.25">
      <c r="A323">
        <v>322</v>
      </c>
      <c r="B323">
        <v>73</v>
      </c>
      <c r="C323" t="str">
        <f t="shared" ref="C323:C386" si="5">_xlfn.CONCAT("(",A323,",",B323,"),")</f>
        <v>(322,73),</v>
      </c>
    </row>
    <row r="324" spans="1:3" x14ac:dyDescent="0.25">
      <c r="A324">
        <v>323</v>
      </c>
      <c r="B324">
        <v>69</v>
      </c>
      <c r="C324" t="str">
        <f t="shared" si="5"/>
        <v>(323,69),</v>
      </c>
    </row>
    <row r="325" spans="1:3" x14ac:dyDescent="0.25">
      <c r="A325">
        <v>324</v>
      </c>
      <c r="B325">
        <v>76</v>
      </c>
      <c r="C325" t="str">
        <f t="shared" si="5"/>
        <v>(324,76),</v>
      </c>
    </row>
    <row r="326" spans="1:3" x14ac:dyDescent="0.25">
      <c r="A326">
        <v>325</v>
      </c>
      <c r="B326">
        <v>18</v>
      </c>
      <c r="C326" t="str">
        <f t="shared" si="5"/>
        <v>(325,18),</v>
      </c>
    </row>
    <row r="327" spans="1:3" x14ac:dyDescent="0.25">
      <c r="A327">
        <v>326</v>
      </c>
      <c r="B327" t="s">
        <v>4312</v>
      </c>
      <c r="C327" t="str">
        <f t="shared" si="5"/>
        <v>(326,null),</v>
      </c>
    </row>
    <row r="328" spans="1:3" x14ac:dyDescent="0.25">
      <c r="A328">
        <v>327</v>
      </c>
      <c r="B328" t="s">
        <v>4312</v>
      </c>
      <c r="C328" t="str">
        <f t="shared" si="5"/>
        <v>(327,null),</v>
      </c>
    </row>
    <row r="329" spans="1:3" x14ac:dyDescent="0.25">
      <c r="A329">
        <v>328</v>
      </c>
      <c r="B329">
        <v>26</v>
      </c>
      <c r="C329" t="str">
        <f t="shared" si="5"/>
        <v>(328,26),</v>
      </c>
    </row>
    <row r="330" spans="1:3" x14ac:dyDescent="0.25">
      <c r="A330">
        <v>329</v>
      </c>
      <c r="B330" t="s">
        <v>4312</v>
      </c>
      <c r="C330" t="str">
        <f t="shared" si="5"/>
        <v>(329,null),</v>
      </c>
    </row>
    <row r="331" spans="1:3" x14ac:dyDescent="0.25">
      <c r="A331">
        <v>330</v>
      </c>
      <c r="B331">
        <v>13</v>
      </c>
      <c r="C331" t="str">
        <f t="shared" si="5"/>
        <v>(330,13),</v>
      </c>
    </row>
    <row r="332" spans="1:3" x14ac:dyDescent="0.25">
      <c r="A332">
        <v>331</v>
      </c>
      <c r="B332">
        <v>53</v>
      </c>
      <c r="C332" t="str">
        <f t="shared" si="5"/>
        <v>(331,53),</v>
      </c>
    </row>
    <row r="333" spans="1:3" x14ac:dyDescent="0.25">
      <c r="A333">
        <v>332</v>
      </c>
      <c r="B333" t="s">
        <v>4312</v>
      </c>
      <c r="C333" t="str">
        <f t="shared" si="5"/>
        <v>(332,null),</v>
      </c>
    </row>
    <row r="334" spans="1:3" x14ac:dyDescent="0.25">
      <c r="A334">
        <v>333</v>
      </c>
      <c r="B334" t="s">
        <v>4312</v>
      </c>
      <c r="C334" t="str">
        <f t="shared" si="5"/>
        <v>(333,null),</v>
      </c>
    </row>
    <row r="335" spans="1:3" x14ac:dyDescent="0.25">
      <c r="A335">
        <v>334</v>
      </c>
      <c r="B335" t="s">
        <v>4312</v>
      </c>
      <c r="C335" t="str">
        <f t="shared" si="5"/>
        <v>(334,null),</v>
      </c>
    </row>
    <row r="336" spans="1:3" x14ac:dyDescent="0.25">
      <c r="A336">
        <v>335</v>
      </c>
      <c r="B336">
        <v>39</v>
      </c>
      <c r="C336" t="str">
        <f t="shared" si="5"/>
        <v>(335,39),</v>
      </c>
    </row>
    <row r="337" spans="1:3" x14ac:dyDescent="0.25">
      <c r="A337">
        <v>336</v>
      </c>
      <c r="B337">
        <v>26</v>
      </c>
      <c r="C337" t="str">
        <f t="shared" si="5"/>
        <v>(336,26),</v>
      </c>
    </row>
    <row r="338" spans="1:3" x14ac:dyDescent="0.25">
      <c r="A338">
        <v>337</v>
      </c>
      <c r="B338">
        <v>56</v>
      </c>
      <c r="C338" t="str">
        <f t="shared" si="5"/>
        <v>(337,56),</v>
      </c>
    </row>
    <row r="339" spans="1:3" x14ac:dyDescent="0.25">
      <c r="A339">
        <v>338</v>
      </c>
      <c r="B339" t="s">
        <v>4312</v>
      </c>
      <c r="C339" t="str">
        <f t="shared" si="5"/>
        <v>(338,null),</v>
      </c>
    </row>
    <row r="340" spans="1:3" x14ac:dyDescent="0.25">
      <c r="A340">
        <v>339</v>
      </c>
      <c r="B340" t="s">
        <v>4312</v>
      </c>
      <c r="C340" t="str">
        <f t="shared" si="5"/>
        <v>(339,null),</v>
      </c>
    </row>
    <row r="341" spans="1:3" x14ac:dyDescent="0.25">
      <c r="A341">
        <v>340</v>
      </c>
      <c r="B341" t="s">
        <v>4312</v>
      </c>
      <c r="C341" t="str">
        <f t="shared" si="5"/>
        <v>(340,null),</v>
      </c>
    </row>
    <row r="342" spans="1:3" x14ac:dyDescent="0.25">
      <c r="A342">
        <v>341</v>
      </c>
      <c r="B342">
        <v>43</v>
      </c>
      <c r="C342" t="str">
        <f t="shared" si="5"/>
        <v>(341,43),</v>
      </c>
    </row>
    <row r="343" spans="1:3" x14ac:dyDescent="0.25">
      <c r="A343">
        <v>342</v>
      </c>
      <c r="B343">
        <v>75</v>
      </c>
      <c r="C343" t="str">
        <f t="shared" si="5"/>
        <v>(342,75),</v>
      </c>
    </row>
    <row r="344" spans="1:3" x14ac:dyDescent="0.25">
      <c r="A344">
        <v>343</v>
      </c>
      <c r="B344" t="s">
        <v>4312</v>
      </c>
      <c r="C344" t="str">
        <f t="shared" si="5"/>
        <v>(343,null),</v>
      </c>
    </row>
    <row r="345" spans="1:3" x14ac:dyDescent="0.25">
      <c r="A345">
        <v>344</v>
      </c>
      <c r="B345">
        <v>8</v>
      </c>
      <c r="C345" t="str">
        <f t="shared" si="5"/>
        <v>(344,8),</v>
      </c>
    </row>
    <row r="346" spans="1:3" x14ac:dyDescent="0.25">
      <c r="A346">
        <v>345</v>
      </c>
      <c r="B346" t="s">
        <v>4312</v>
      </c>
      <c r="C346" t="str">
        <f t="shared" si="5"/>
        <v>(345,null),</v>
      </c>
    </row>
    <row r="347" spans="1:3" x14ac:dyDescent="0.25">
      <c r="A347">
        <v>346</v>
      </c>
      <c r="B347" t="s">
        <v>4312</v>
      </c>
      <c r="C347" t="str">
        <f t="shared" si="5"/>
        <v>(346,null),</v>
      </c>
    </row>
    <row r="348" spans="1:3" x14ac:dyDescent="0.25">
      <c r="A348">
        <v>347</v>
      </c>
      <c r="B348" t="s">
        <v>4312</v>
      </c>
      <c r="C348" t="str">
        <f t="shared" si="5"/>
        <v>(347,null),</v>
      </c>
    </row>
    <row r="349" spans="1:3" x14ac:dyDescent="0.25">
      <c r="A349">
        <v>348</v>
      </c>
      <c r="B349">
        <v>69</v>
      </c>
      <c r="C349" t="str">
        <f t="shared" si="5"/>
        <v>(348,69),</v>
      </c>
    </row>
    <row r="350" spans="1:3" x14ac:dyDescent="0.25">
      <c r="A350">
        <v>349</v>
      </c>
      <c r="B350" t="s">
        <v>4312</v>
      </c>
      <c r="C350" t="str">
        <f t="shared" si="5"/>
        <v>(349,null),</v>
      </c>
    </row>
    <row r="351" spans="1:3" x14ac:dyDescent="0.25">
      <c r="A351">
        <v>350</v>
      </c>
      <c r="B351">
        <v>8</v>
      </c>
      <c r="C351" t="str">
        <f t="shared" si="5"/>
        <v>(350,8),</v>
      </c>
    </row>
    <row r="352" spans="1:3" x14ac:dyDescent="0.25">
      <c r="A352">
        <v>351</v>
      </c>
      <c r="B352">
        <v>8</v>
      </c>
      <c r="C352" t="str">
        <f t="shared" si="5"/>
        <v>(351,8),</v>
      </c>
    </row>
    <row r="353" spans="1:3" x14ac:dyDescent="0.25">
      <c r="A353">
        <v>352</v>
      </c>
      <c r="B353">
        <v>21</v>
      </c>
      <c r="C353" t="str">
        <f t="shared" si="5"/>
        <v>(352,21),</v>
      </c>
    </row>
    <row r="354" spans="1:3" x14ac:dyDescent="0.25">
      <c r="A354">
        <v>353</v>
      </c>
      <c r="B354" t="s">
        <v>4312</v>
      </c>
      <c r="C354" t="str">
        <f t="shared" si="5"/>
        <v>(353,null),</v>
      </c>
    </row>
    <row r="355" spans="1:3" x14ac:dyDescent="0.25">
      <c r="A355">
        <v>354</v>
      </c>
      <c r="B355">
        <v>77</v>
      </c>
      <c r="C355" t="str">
        <f t="shared" si="5"/>
        <v>(354,77),</v>
      </c>
    </row>
    <row r="356" spans="1:3" x14ac:dyDescent="0.25">
      <c r="A356">
        <v>355</v>
      </c>
      <c r="B356">
        <v>53</v>
      </c>
      <c r="C356" t="str">
        <f t="shared" si="5"/>
        <v>(355,53),</v>
      </c>
    </row>
    <row r="357" spans="1:3" x14ac:dyDescent="0.25">
      <c r="A357">
        <v>356</v>
      </c>
      <c r="B357">
        <v>58</v>
      </c>
      <c r="C357" t="str">
        <f t="shared" si="5"/>
        <v>(356,58),</v>
      </c>
    </row>
    <row r="358" spans="1:3" x14ac:dyDescent="0.25">
      <c r="A358">
        <v>357</v>
      </c>
      <c r="B358">
        <v>67</v>
      </c>
      <c r="C358" t="str">
        <f t="shared" si="5"/>
        <v>(357,67),</v>
      </c>
    </row>
    <row r="359" spans="1:3" x14ac:dyDescent="0.25">
      <c r="A359">
        <v>358</v>
      </c>
      <c r="B359">
        <v>78</v>
      </c>
      <c r="C359" t="str">
        <f t="shared" si="5"/>
        <v>(358,78),</v>
      </c>
    </row>
    <row r="360" spans="1:3" x14ac:dyDescent="0.25">
      <c r="A360">
        <v>359</v>
      </c>
      <c r="B360">
        <v>8</v>
      </c>
      <c r="C360" t="str">
        <f t="shared" si="5"/>
        <v>(359,8),</v>
      </c>
    </row>
    <row r="361" spans="1:3" x14ac:dyDescent="0.25">
      <c r="A361">
        <v>360</v>
      </c>
      <c r="B361">
        <v>55</v>
      </c>
      <c r="C361" t="str">
        <f t="shared" si="5"/>
        <v>(360,55),</v>
      </c>
    </row>
    <row r="362" spans="1:3" x14ac:dyDescent="0.25">
      <c r="A362">
        <v>361</v>
      </c>
      <c r="B362">
        <v>3</v>
      </c>
      <c r="C362" t="str">
        <f t="shared" si="5"/>
        <v>(361,3),</v>
      </c>
    </row>
    <row r="363" spans="1:3" x14ac:dyDescent="0.25">
      <c r="A363">
        <v>362</v>
      </c>
      <c r="B363" t="s">
        <v>4312</v>
      </c>
      <c r="C363" t="str">
        <f t="shared" si="5"/>
        <v>(362,null),</v>
      </c>
    </row>
    <row r="364" spans="1:3" x14ac:dyDescent="0.25">
      <c r="A364">
        <v>363</v>
      </c>
      <c r="B364">
        <v>2</v>
      </c>
      <c r="C364" t="str">
        <f t="shared" si="5"/>
        <v>(363,2),</v>
      </c>
    </row>
    <row r="365" spans="1:3" x14ac:dyDescent="0.25">
      <c r="A365">
        <v>364</v>
      </c>
      <c r="B365">
        <v>51</v>
      </c>
      <c r="C365" t="str">
        <f t="shared" si="5"/>
        <v>(364,51),</v>
      </c>
    </row>
    <row r="366" spans="1:3" x14ac:dyDescent="0.25">
      <c r="A366">
        <v>365</v>
      </c>
      <c r="B366" t="s">
        <v>4312</v>
      </c>
      <c r="C366" t="str">
        <f t="shared" si="5"/>
        <v>(365,null),</v>
      </c>
    </row>
    <row r="367" spans="1:3" x14ac:dyDescent="0.25">
      <c r="A367">
        <v>366</v>
      </c>
      <c r="B367" t="s">
        <v>4312</v>
      </c>
      <c r="C367" t="str">
        <f t="shared" si="5"/>
        <v>(366,null),</v>
      </c>
    </row>
    <row r="368" spans="1:3" x14ac:dyDescent="0.25">
      <c r="A368">
        <v>367</v>
      </c>
      <c r="B368" t="s">
        <v>4312</v>
      </c>
      <c r="C368" t="str">
        <f t="shared" si="5"/>
        <v>(367,null),</v>
      </c>
    </row>
    <row r="369" spans="1:3" x14ac:dyDescent="0.25">
      <c r="A369">
        <v>368</v>
      </c>
      <c r="B369">
        <v>79</v>
      </c>
      <c r="C369" t="str">
        <f t="shared" si="5"/>
        <v>(368,79),</v>
      </c>
    </row>
    <row r="370" spans="1:3" x14ac:dyDescent="0.25">
      <c r="A370">
        <v>369</v>
      </c>
      <c r="B370">
        <v>50</v>
      </c>
      <c r="C370" t="str">
        <f t="shared" si="5"/>
        <v>(369,50),</v>
      </c>
    </row>
    <row r="371" spans="1:3" x14ac:dyDescent="0.25">
      <c r="A371">
        <v>370</v>
      </c>
      <c r="B371">
        <v>50</v>
      </c>
      <c r="C371" t="str">
        <f t="shared" si="5"/>
        <v>(370,50),</v>
      </c>
    </row>
    <row r="372" spans="1:3" x14ac:dyDescent="0.25">
      <c r="A372">
        <v>371</v>
      </c>
      <c r="B372">
        <v>48</v>
      </c>
      <c r="C372" t="str">
        <f t="shared" si="5"/>
        <v>(371,48),</v>
      </c>
    </row>
    <row r="373" spans="1:3" x14ac:dyDescent="0.25">
      <c r="A373">
        <v>372</v>
      </c>
      <c r="B373">
        <v>53</v>
      </c>
      <c r="C373" t="str">
        <f t="shared" si="5"/>
        <v>(372,53),</v>
      </c>
    </row>
    <row r="374" spans="1:3" x14ac:dyDescent="0.25">
      <c r="A374">
        <v>373</v>
      </c>
      <c r="B374">
        <v>44</v>
      </c>
      <c r="C374" t="str">
        <f t="shared" si="5"/>
        <v>(373,44),</v>
      </c>
    </row>
    <row r="375" spans="1:3" x14ac:dyDescent="0.25">
      <c r="A375">
        <v>374</v>
      </c>
      <c r="B375">
        <v>50</v>
      </c>
      <c r="C375" t="str">
        <f t="shared" si="5"/>
        <v>(374,50),</v>
      </c>
    </row>
    <row r="376" spans="1:3" x14ac:dyDescent="0.25">
      <c r="A376">
        <v>375</v>
      </c>
      <c r="B376">
        <v>69</v>
      </c>
      <c r="C376" t="str">
        <f t="shared" si="5"/>
        <v>(375,69),</v>
      </c>
    </row>
    <row r="377" spans="1:3" x14ac:dyDescent="0.25">
      <c r="A377">
        <v>376</v>
      </c>
      <c r="B377">
        <v>53</v>
      </c>
      <c r="C377" t="str">
        <f t="shared" si="5"/>
        <v>(376,53),</v>
      </c>
    </row>
    <row r="378" spans="1:3" x14ac:dyDescent="0.25">
      <c r="A378">
        <v>377</v>
      </c>
      <c r="B378" t="s">
        <v>4312</v>
      </c>
      <c r="C378" t="str">
        <f t="shared" si="5"/>
        <v>(377,null),</v>
      </c>
    </row>
    <row r="379" spans="1:3" x14ac:dyDescent="0.25">
      <c r="A379">
        <v>378</v>
      </c>
      <c r="B379">
        <v>53</v>
      </c>
      <c r="C379" t="str">
        <f t="shared" si="5"/>
        <v>(378,53),</v>
      </c>
    </row>
    <row r="380" spans="1:3" x14ac:dyDescent="0.25">
      <c r="A380">
        <v>379</v>
      </c>
      <c r="B380">
        <v>80</v>
      </c>
      <c r="C380" t="str">
        <f t="shared" si="5"/>
        <v>(379,80),</v>
      </c>
    </row>
    <row r="381" spans="1:3" x14ac:dyDescent="0.25">
      <c r="A381">
        <v>380</v>
      </c>
      <c r="B381" t="s">
        <v>4312</v>
      </c>
      <c r="C381" t="str">
        <f t="shared" si="5"/>
        <v>(380,null),</v>
      </c>
    </row>
    <row r="382" spans="1:3" x14ac:dyDescent="0.25">
      <c r="A382">
        <v>381</v>
      </c>
      <c r="B382">
        <v>69</v>
      </c>
      <c r="C382" t="str">
        <f t="shared" si="5"/>
        <v>(381,69),</v>
      </c>
    </row>
    <row r="383" spans="1:3" x14ac:dyDescent="0.25">
      <c r="A383">
        <v>382</v>
      </c>
      <c r="B383">
        <v>81</v>
      </c>
      <c r="C383" t="str">
        <f t="shared" si="5"/>
        <v>(382,81),</v>
      </c>
    </row>
    <row r="384" spans="1:3" x14ac:dyDescent="0.25">
      <c r="A384">
        <v>383</v>
      </c>
      <c r="B384" t="s">
        <v>4312</v>
      </c>
      <c r="C384" t="str">
        <f t="shared" si="5"/>
        <v>(383,null),</v>
      </c>
    </row>
    <row r="385" spans="1:3" x14ac:dyDescent="0.25">
      <c r="A385">
        <v>384</v>
      </c>
      <c r="B385">
        <v>8</v>
      </c>
      <c r="C385" t="str">
        <f t="shared" si="5"/>
        <v>(384,8),</v>
      </c>
    </row>
    <row r="386" spans="1:3" x14ac:dyDescent="0.25">
      <c r="A386">
        <v>385</v>
      </c>
      <c r="B386" t="s">
        <v>4312</v>
      </c>
      <c r="C386" t="str">
        <f t="shared" si="5"/>
        <v>(385,null),</v>
      </c>
    </row>
    <row r="387" spans="1:3" x14ac:dyDescent="0.25">
      <c r="A387">
        <v>386</v>
      </c>
      <c r="B387">
        <v>43</v>
      </c>
      <c r="C387" t="str">
        <f t="shared" ref="C387:C450" si="6">_xlfn.CONCAT("(",A387,",",B387,"),")</f>
        <v>(386,43),</v>
      </c>
    </row>
    <row r="388" spans="1:3" x14ac:dyDescent="0.25">
      <c r="A388">
        <v>387</v>
      </c>
      <c r="B388">
        <v>11</v>
      </c>
      <c r="C388" t="str">
        <f t="shared" si="6"/>
        <v>(387,11),</v>
      </c>
    </row>
    <row r="389" spans="1:3" x14ac:dyDescent="0.25">
      <c r="A389">
        <v>388</v>
      </c>
      <c r="B389">
        <v>36</v>
      </c>
      <c r="C389" t="str">
        <f t="shared" si="6"/>
        <v>(388,36),</v>
      </c>
    </row>
    <row r="390" spans="1:3" x14ac:dyDescent="0.25">
      <c r="A390">
        <v>389</v>
      </c>
      <c r="B390">
        <v>53</v>
      </c>
      <c r="C390" t="str">
        <f t="shared" si="6"/>
        <v>(389,53),</v>
      </c>
    </row>
    <row r="391" spans="1:3" x14ac:dyDescent="0.25">
      <c r="A391">
        <v>390</v>
      </c>
      <c r="B391" t="s">
        <v>4312</v>
      </c>
      <c r="C391" t="str">
        <f t="shared" si="6"/>
        <v>(390,null),</v>
      </c>
    </row>
    <row r="392" spans="1:3" x14ac:dyDescent="0.25">
      <c r="A392">
        <v>391</v>
      </c>
      <c r="B392">
        <v>73</v>
      </c>
      <c r="C392" t="str">
        <f t="shared" si="6"/>
        <v>(391,73),</v>
      </c>
    </row>
    <row r="393" spans="1:3" x14ac:dyDescent="0.25">
      <c r="A393">
        <v>392</v>
      </c>
      <c r="B393">
        <v>82</v>
      </c>
      <c r="C393" t="str">
        <f t="shared" si="6"/>
        <v>(392,82),</v>
      </c>
    </row>
    <row r="394" spans="1:3" x14ac:dyDescent="0.25">
      <c r="A394">
        <v>393</v>
      </c>
      <c r="B394">
        <v>50</v>
      </c>
      <c r="C394" t="str">
        <f t="shared" si="6"/>
        <v>(393,50),</v>
      </c>
    </row>
    <row r="395" spans="1:3" x14ac:dyDescent="0.25">
      <c r="A395">
        <v>394</v>
      </c>
      <c r="B395">
        <v>8</v>
      </c>
      <c r="C395" t="str">
        <f t="shared" si="6"/>
        <v>(394,8),</v>
      </c>
    </row>
    <row r="396" spans="1:3" x14ac:dyDescent="0.25">
      <c r="A396">
        <v>395</v>
      </c>
      <c r="B396" t="s">
        <v>4312</v>
      </c>
      <c r="C396" t="str">
        <f t="shared" si="6"/>
        <v>(395,null),</v>
      </c>
    </row>
    <row r="397" spans="1:3" x14ac:dyDescent="0.25">
      <c r="A397">
        <v>396</v>
      </c>
      <c r="B397">
        <v>52</v>
      </c>
      <c r="C397" t="str">
        <f t="shared" si="6"/>
        <v>(396,52),</v>
      </c>
    </row>
    <row r="398" spans="1:3" x14ac:dyDescent="0.25">
      <c r="A398">
        <v>397</v>
      </c>
      <c r="B398">
        <v>42</v>
      </c>
      <c r="C398" t="str">
        <f t="shared" si="6"/>
        <v>(397,42),</v>
      </c>
    </row>
    <row r="399" spans="1:3" x14ac:dyDescent="0.25">
      <c r="A399">
        <v>398</v>
      </c>
      <c r="B399" t="s">
        <v>4312</v>
      </c>
      <c r="C399" t="str">
        <f t="shared" si="6"/>
        <v>(398,null),</v>
      </c>
    </row>
    <row r="400" spans="1:3" x14ac:dyDescent="0.25">
      <c r="A400">
        <v>399</v>
      </c>
      <c r="B400">
        <v>40</v>
      </c>
      <c r="C400" t="str">
        <f t="shared" si="6"/>
        <v>(399,40),</v>
      </c>
    </row>
    <row r="401" spans="1:3" x14ac:dyDescent="0.25">
      <c r="A401">
        <v>400</v>
      </c>
      <c r="B401">
        <v>83</v>
      </c>
      <c r="C401" t="str">
        <f t="shared" si="6"/>
        <v>(400,83),</v>
      </c>
    </row>
    <row r="402" spans="1:3" x14ac:dyDescent="0.25">
      <c r="A402">
        <v>401</v>
      </c>
      <c r="B402">
        <v>34</v>
      </c>
      <c r="C402" t="str">
        <f t="shared" si="6"/>
        <v>(401,34),</v>
      </c>
    </row>
    <row r="403" spans="1:3" x14ac:dyDescent="0.25">
      <c r="A403">
        <v>402</v>
      </c>
      <c r="B403">
        <v>84</v>
      </c>
      <c r="C403" t="str">
        <f t="shared" si="6"/>
        <v>(402,84),</v>
      </c>
    </row>
    <row r="404" spans="1:3" x14ac:dyDescent="0.25">
      <c r="A404">
        <v>403</v>
      </c>
      <c r="B404">
        <v>53</v>
      </c>
      <c r="C404" t="str">
        <f t="shared" si="6"/>
        <v>(403,53),</v>
      </c>
    </row>
    <row r="405" spans="1:3" x14ac:dyDescent="0.25">
      <c r="A405">
        <v>404</v>
      </c>
      <c r="B405">
        <v>82</v>
      </c>
      <c r="C405" t="str">
        <f t="shared" si="6"/>
        <v>(404,82),</v>
      </c>
    </row>
    <row r="406" spans="1:3" x14ac:dyDescent="0.25">
      <c r="A406">
        <v>405</v>
      </c>
      <c r="B406">
        <v>53</v>
      </c>
      <c r="C406" t="str">
        <f t="shared" si="6"/>
        <v>(405,53),</v>
      </c>
    </row>
    <row r="407" spans="1:3" x14ac:dyDescent="0.25">
      <c r="A407">
        <v>406</v>
      </c>
      <c r="B407">
        <v>85</v>
      </c>
      <c r="C407" t="str">
        <f t="shared" si="6"/>
        <v>(406,85),</v>
      </c>
    </row>
    <row r="408" spans="1:3" x14ac:dyDescent="0.25">
      <c r="A408">
        <v>407</v>
      </c>
      <c r="B408">
        <v>75</v>
      </c>
      <c r="C408" t="str">
        <f t="shared" si="6"/>
        <v>(407,75),</v>
      </c>
    </row>
    <row r="409" spans="1:3" x14ac:dyDescent="0.25">
      <c r="A409">
        <v>408</v>
      </c>
      <c r="B409" t="s">
        <v>4312</v>
      </c>
      <c r="C409" t="str">
        <f t="shared" si="6"/>
        <v>(408,null),</v>
      </c>
    </row>
    <row r="410" spans="1:3" x14ac:dyDescent="0.25">
      <c r="A410">
        <v>409</v>
      </c>
      <c r="B410" t="s">
        <v>4312</v>
      </c>
      <c r="C410" t="str">
        <f t="shared" si="6"/>
        <v>(409,null),</v>
      </c>
    </row>
    <row r="411" spans="1:3" x14ac:dyDescent="0.25">
      <c r="A411">
        <v>410</v>
      </c>
      <c r="B411">
        <v>84</v>
      </c>
      <c r="C411" t="str">
        <f t="shared" si="6"/>
        <v>(410,84),</v>
      </c>
    </row>
    <row r="412" spans="1:3" x14ac:dyDescent="0.25">
      <c r="A412">
        <v>411</v>
      </c>
      <c r="B412">
        <v>86</v>
      </c>
      <c r="C412" t="str">
        <f t="shared" si="6"/>
        <v>(411,86),</v>
      </c>
    </row>
    <row r="413" spans="1:3" x14ac:dyDescent="0.25">
      <c r="A413">
        <v>412</v>
      </c>
      <c r="B413">
        <v>67</v>
      </c>
      <c r="C413" t="str">
        <f t="shared" si="6"/>
        <v>(412,67),</v>
      </c>
    </row>
    <row r="414" spans="1:3" x14ac:dyDescent="0.25">
      <c r="A414">
        <v>413</v>
      </c>
      <c r="B414">
        <v>40</v>
      </c>
      <c r="C414" t="str">
        <f t="shared" si="6"/>
        <v>(413,40),</v>
      </c>
    </row>
    <row r="415" spans="1:3" x14ac:dyDescent="0.25">
      <c r="A415">
        <v>414</v>
      </c>
      <c r="B415">
        <v>40</v>
      </c>
      <c r="C415" t="str">
        <f t="shared" si="6"/>
        <v>(414,40),</v>
      </c>
    </row>
    <row r="416" spans="1:3" x14ac:dyDescent="0.25">
      <c r="A416">
        <v>415</v>
      </c>
      <c r="B416">
        <v>17</v>
      </c>
      <c r="C416" t="str">
        <f t="shared" si="6"/>
        <v>(415,17),</v>
      </c>
    </row>
    <row r="417" spans="1:3" x14ac:dyDescent="0.25">
      <c r="A417">
        <v>416</v>
      </c>
      <c r="B417">
        <v>87</v>
      </c>
      <c r="C417" t="str">
        <f t="shared" si="6"/>
        <v>(416,87),</v>
      </c>
    </row>
    <row r="418" spans="1:3" x14ac:dyDescent="0.25">
      <c r="A418">
        <v>417</v>
      </c>
      <c r="B418">
        <v>69</v>
      </c>
      <c r="C418" t="str">
        <f t="shared" si="6"/>
        <v>(417,69),</v>
      </c>
    </row>
    <row r="419" spans="1:3" x14ac:dyDescent="0.25">
      <c r="A419">
        <v>418</v>
      </c>
      <c r="B419">
        <v>17</v>
      </c>
      <c r="C419" t="str">
        <f t="shared" si="6"/>
        <v>(418,17),</v>
      </c>
    </row>
    <row r="420" spans="1:3" x14ac:dyDescent="0.25">
      <c r="A420">
        <v>419</v>
      </c>
      <c r="B420" t="s">
        <v>4312</v>
      </c>
      <c r="C420" t="str">
        <f t="shared" si="6"/>
        <v>(419,null),</v>
      </c>
    </row>
    <row r="421" spans="1:3" x14ac:dyDescent="0.25">
      <c r="A421">
        <v>420</v>
      </c>
      <c r="B421">
        <v>50</v>
      </c>
      <c r="C421" t="str">
        <f t="shared" si="6"/>
        <v>(420,50),</v>
      </c>
    </row>
    <row r="422" spans="1:3" x14ac:dyDescent="0.25">
      <c r="A422">
        <v>421</v>
      </c>
      <c r="B422" t="s">
        <v>4312</v>
      </c>
      <c r="C422" t="str">
        <f t="shared" si="6"/>
        <v>(421,null),</v>
      </c>
    </row>
    <row r="423" spans="1:3" x14ac:dyDescent="0.25">
      <c r="A423">
        <v>422</v>
      </c>
      <c r="B423">
        <v>35</v>
      </c>
      <c r="C423" t="str">
        <f t="shared" si="6"/>
        <v>(422,35),</v>
      </c>
    </row>
    <row r="424" spans="1:3" x14ac:dyDescent="0.25">
      <c r="A424">
        <v>423</v>
      </c>
      <c r="B424">
        <v>52</v>
      </c>
      <c r="C424" t="str">
        <f t="shared" si="6"/>
        <v>(423,52),</v>
      </c>
    </row>
    <row r="425" spans="1:3" x14ac:dyDescent="0.25">
      <c r="A425">
        <v>424</v>
      </c>
      <c r="B425">
        <v>53</v>
      </c>
      <c r="C425" t="str">
        <f t="shared" si="6"/>
        <v>(424,53),</v>
      </c>
    </row>
    <row r="426" spans="1:3" x14ac:dyDescent="0.25">
      <c r="A426">
        <v>425</v>
      </c>
      <c r="B426">
        <v>88</v>
      </c>
      <c r="C426" t="str">
        <f t="shared" si="6"/>
        <v>(425,88),</v>
      </c>
    </row>
    <row r="427" spans="1:3" x14ac:dyDescent="0.25">
      <c r="A427">
        <v>426</v>
      </c>
      <c r="B427">
        <v>1</v>
      </c>
      <c r="C427" t="str">
        <f t="shared" si="6"/>
        <v>(426,1),</v>
      </c>
    </row>
    <row r="428" spans="1:3" x14ac:dyDescent="0.25">
      <c r="A428">
        <v>427</v>
      </c>
      <c r="B428">
        <v>50</v>
      </c>
      <c r="C428" t="str">
        <f t="shared" si="6"/>
        <v>(427,50),</v>
      </c>
    </row>
    <row r="429" spans="1:3" x14ac:dyDescent="0.25">
      <c r="A429">
        <v>428</v>
      </c>
      <c r="B429">
        <v>89</v>
      </c>
      <c r="C429" t="str">
        <f t="shared" si="6"/>
        <v>(428,89),</v>
      </c>
    </row>
    <row r="430" spans="1:3" x14ac:dyDescent="0.25">
      <c r="A430">
        <v>429</v>
      </c>
      <c r="B430">
        <v>24</v>
      </c>
      <c r="C430" t="str">
        <f t="shared" si="6"/>
        <v>(429,24),</v>
      </c>
    </row>
    <row r="431" spans="1:3" x14ac:dyDescent="0.25">
      <c r="A431">
        <v>430</v>
      </c>
      <c r="B431">
        <v>25</v>
      </c>
      <c r="C431" t="str">
        <f t="shared" si="6"/>
        <v>(430,25),</v>
      </c>
    </row>
    <row r="432" spans="1:3" x14ac:dyDescent="0.25">
      <c r="A432">
        <v>431</v>
      </c>
      <c r="B432">
        <v>17</v>
      </c>
      <c r="C432" t="str">
        <f t="shared" si="6"/>
        <v>(431,17),</v>
      </c>
    </row>
    <row r="433" spans="1:3" x14ac:dyDescent="0.25">
      <c r="A433">
        <v>432</v>
      </c>
      <c r="B433">
        <v>90</v>
      </c>
      <c r="C433" t="str">
        <f t="shared" si="6"/>
        <v>(432,90),</v>
      </c>
    </row>
    <row r="434" spans="1:3" x14ac:dyDescent="0.25">
      <c r="A434">
        <v>433</v>
      </c>
      <c r="B434">
        <v>17</v>
      </c>
      <c r="C434" t="str">
        <f t="shared" si="6"/>
        <v>(433,17),</v>
      </c>
    </row>
    <row r="435" spans="1:3" x14ac:dyDescent="0.25">
      <c r="A435">
        <v>434</v>
      </c>
      <c r="B435">
        <v>28</v>
      </c>
      <c r="C435" t="str">
        <f t="shared" si="6"/>
        <v>(434,28),</v>
      </c>
    </row>
    <row r="436" spans="1:3" x14ac:dyDescent="0.25">
      <c r="A436">
        <v>435</v>
      </c>
      <c r="B436">
        <v>47</v>
      </c>
      <c r="C436" t="str">
        <f t="shared" si="6"/>
        <v>(435,47),</v>
      </c>
    </row>
    <row r="437" spans="1:3" x14ac:dyDescent="0.25">
      <c r="A437">
        <v>436</v>
      </c>
      <c r="B437">
        <v>91</v>
      </c>
      <c r="C437" t="str">
        <f t="shared" si="6"/>
        <v>(436,91),</v>
      </c>
    </row>
    <row r="438" spans="1:3" x14ac:dyDescent="0.25">
      <c r="A438">
        <v>437</v>
      </c>
      <c r="B438">
        <v>53</v>
      </c>
      <c r="C438" t="str">
        <f t="shared" si="6"/>
        <v>(437,53),</v>
      </c>
    </row>
    <row r="439" spans="1:3" x14ac:dyDescent="0.25">
      <c r="A439">
        <v>438</v>
      </c>
      <c r="B439">
        <v>10</v>
      </c>
      <c r="C439" t="str">
        <f t="shared" si="6"/>
        <v>(438,10),</v>
      </c>
    </row>
    <row r="440" spans="1:3" x14ac:dyDescent="0.25">
      <c r="A440">
        <v>439</v>
      </c>
      <c r="B440">
        <v>27</v>
      </c>
      <c r="C440" t="str">
        <f t="shared" si="6"/>
        <v>(439,27),</v>
      </c>
    </row>
    <row r="441" spans="1:3" x14ac:dyDescent="0.25">
      <c r="A441">
        <v>440</v>
      </c>
      <c r="B441">
        <v>40</v>
      </c>
      <c r="C441" t="str">
        <f t="shared" si="6"/>
        <v>(440,40),</v>
      </c>
    </row>
    <row r="442" spans="1:3" x14ac:dyDescent="0.25">
      <c r="A442">
        <v>441</v>
      </c>
      <c r="B442">
        <v>92</v>
      </c>
      <c r="C442" t="str">
        <f t="shared" si="6"/>
        <v>(441,92),</v>
      </c>
    </row>
    <row r="443" spans="1:3" x14ac:dyDescent="0.25">
      <c r="A443">
        <v>442</v>
      </c>
      <c r="B443">
        <v>70</v>
      </c>
      <c r="C443" t="str">
        <f t="shared" si="6"/>
        <v>(442,70),</v>
      </c>
    </row>
    <row r="444" spans="1:3" x14ac:dyDescent="0.25">
      <c r="A444">
        <v>443</v>
      </c>
      <c r="B444">
        <v>49</v>
      </c>
      <c r="C444" t="str">
        <f t="shared" si="6"/>
        <v>(443,49),</v>
      </c>
    </row>
    <row r="445" spans="1:3" x14ac:dyDescent="0.25">
      <c r="A445">
        <v>444</v>
      </c>
      <c r="B445" t="s">
        <v>4312</v>
      </c>
      <c r="C445" t="str">
        <f t="shared" si="6"/>
        <v>(444,null),</v>
      </c>
    </row>
    <row r="446" spans="1:3" x14ac:dyDescent="0.25">
      <c r="A446">
        <v>445</v>
      </c>
      <c r="B446" t="s">
        <v>4312</v>
      </c>
      <c r="C446" t="str">
        <f t="shared" si="6"/>
        <v>(445,null),</v>
      </c>
    </row>
    <row r="447" spans="1:3" x14ac:dyDescent="0.25">
      <c r="A447">
        <v>446</v>
      </c>
      <c r="B447">
        <v>63</v>
      </c>
      <c r="C447" t="str">
        <f t="shared" si="6"/>
        <v>(446,63),</v>
      </c>
    </row>
    <row r="448" spans="1:3" x14ac:dyDescent="0.25">
      <c r="A448">
        <v>447</v>
      </c>
      <c r="B448">
        <v>69</v>
      </c>
      <c r="C448" t="str">
        <f t="shared" si="6"/>
        <v>(447,69),</v>
      </c>
    </row>
    <row r="449" spans="1:3" x14ac:dyDescent="0.25">
      <c r="A449">
        <v>448</v>
      </c>
      <c r="B449">
        <v>40</v>
      </c>
      <c r="C449" t="str">
        <f t="shared" si="6"/>
        <v>(448,40),</v>
      </c>
    </row>
    <row r="450" spans="1:3" x14ac:dyDescent="0.25">
      <c r="A450">
        <v>449</v>
      </c>
      <c r="B450">
        <v>5</v>
      </c>
      <c r="C450" t="str">
        <f t="shared" si="6"/>
        <v>(449,5),</v>
      </c>
    </row>
    <row r="451" spans="1:3" x14ac:dyDescent="0.25">
      <c r="A451">
        <v>450</v>
      </c>
      <c r="B451">
        <v>93</v>
      </c>
      <c r="C451" t="str">
        <f t="shared" ref="C451:C514" si="7">_xlfn.CONCAT("(",A451,",",B451,"),")</f>
        <v>(450,93),</v>
      </c>
    </row>
    <row r="452" spans="1:3" x14ac:dyDescent="0.25">
      <c r="A452">
        <v>451</v>
      </c>
      <c r="B452">
        <v>66</v>
      </c>
      <c r="C452" t="str">
        <f t="shared" si="7"/>
        <v>(451,66),</v>
      </c>
    </row>
    <row r="453" spans="1:3" x14ac:dyDescent="0.25">
      <c r="A453">
        <v>452</v>
      </c>
      <c r="B453">
        <v>52</v>
      </c>
      <c r="C453" t="str">
        <f t="shared" si="7"/>
        <v>(452,52),</v>
      </c>
    </row>
    <row r="454" spans="1:3" x14ac:dyDescent="0.25">
      <c r="A454">
        <v>453</v>
      </c>
      <c r="B454">
        <v>94</v>
      </c>
      <c r="C454" t="str">
        <f t="shared" si="7"/>
        <v>(453,94),</v>
      </c>
    </row>
    <row r="455" spans="1:3" x14ac:dyDescent="0.25">
      <c r="A455">
        <v>454</v>
      </c>
      <c r="B455">
        <v>78</v>
      </c>
      <c r="C455" t="str">
        <f t="shared" si="7"/>
        <v>(454,78),</v>
      </c>
    </row>
    <row r="456" spans="1:3" x14ac:dyDescent="0.25">
      <c r="A456">
        <v>455</v>
      </c>
      <c r="B456">
        <v>43</v>
      </c>
      <c r="C456" t="str">
        <f t="shared" si="7"/>
        <v>(455,43),</v>
      </c>
    </row>
    <row r="457" spans="1:3" x14ac:dyDescent="0.25">
      <c r="A457">
        <v>456</v>
      </c>
      <c r="B457">
        <v>9</v>
      </c>
      <c r="C457" t="str">
        <f t="shared" si="7"/>
        <v>(456,9),</v>
      </c>
    </row>
    <row r="458" spans="1:3" x14ac:dyDescent="0.25">
      <c r="A458">
        <v>457</v>
      </c>
      <c r="B458">
        <v>46</v>
      </c>
      <c r="C458" t="str">
        <f t="shared" si="7"/>
        <v>(457,46),</v>
      </c>
    </row>
    <row r="459" spans="1:3" x14ac:dyDescent="0.25">
      <c r="A459">
        <v>458</v>
      </c>
      <c r="B459">
        <v>5</v>
      </c>
      <c r="C459" t="str">
        <f t="shared" si="7"/>
        <v>(458,5),</v>
      </c>
    </row>
    <row r="460" spans="1:3" x14ac:dyDescent="0.25">
      <c r="A460">
        <v>459</v>
      </c>
      <c r="B460">
        <v>27</v>
      </c>
      <c r="C460" t="str">
        <f t="shared" si="7"/>
        <v>(459,27),</v>
      </c>
    </row>
    <row r="461" spans="1:3" x14ac:dyDescent="0.25">
      <c r="A461">
        <v>460</v>
      </c>
      <c r="B461">
        <v>69</v>
      </c>
      <c r="C461" t="str">
        <f t="shared" si="7"/>
        <v>(460,69),</v>
      </c>
    </row>
    <row r="462" spans="1:3" x14ac:dyDescent="0.25">
      <c r="A462">
        <v>461</v>
      </c>
      <c r="B462">
        <v>85</v>
      </c>
      <c r="C462" t="str">
        <f t="shared" si="7"/>
        <v>(461,85),</v>
      </c>
    </row>
    <row r="463" spans="1:3" x14ac:dyDescent="0.25">
      <c r="A463">
        <v>462</v>
      </c>
      <c r="B463" t="s">
        <v>4312</v>
      </c>
      <c r="C463" t="str">
        <f t="shared" si="7"/>
        <v>(462,null),</v>
      </c>
    </row>
    <row r="464" spans="1:3" x14ac:dyDescent="0.25">
      <c r="A464">
        <v>463</v>
      </c>
      <c r="B464">
        <v>36</v>
      </c>
      <c r="C464" t="str">
        <f t="shared" si="7"/>
        <v>(463,36),</v>
      </c>
    </row>
    <row r="465" spans="1:3" x14ac:dyDescent="0.25">
      <c r="A465">
        <v>464</v>
      </c>
      <c r="B465">
        <v>13</v>
      </c>
      <c r="C465" t="str">
        <f t="shared" si="7"/>
        <v>(464,13),</v>
      </c>
    </row>
    <row r="466" spans="1:3" x14ac:dyDescent="0.25">
      <c r="A466">
        <v>465</v>
      </c>
      <c r="B466" t="s">
        <v>4312</v>
      </c>
      <c r="C466" t="str">
        <f t="shared" si="7"/>
        <v>(465,null),</v>
      </c>
    </row>
    <row r="467" spans="1:3" x14ac:dyDescent="0.25">
      <c r="A467">
        <v>466</v>
      </c>
      <c r="B467">
        <v>91</v>
      </c>
      <c r="C467" t="str">
        <f t="shared" si="7"/>
        <v>(466,91),</v>
      </c>
    </row>
    <row r="468" spans="1:3" x14ac:dyDescent="0.25">
      <c r="A468">
        <v>467</v>
      </c>
      <c r="B468" t="s">
        <v>4312</v>
      </c>
      <c r="C468" t="str">
        <f t="shared" si="7"/>
        <v>(467,null),</v>
      </c>
    </row>
    <row r="469" spans="1:3" x14ac:dyDescent="0.25">
      <c r="A469">
        <v>468</v>
      </c>
      <c r="B469" t="s">
        <v>4312</v>
      </c>
      <c r="C469" t="str">
        <f t="shared" si="7"/>
        <v>(468,null),</v>
      </c>
    </row>
    <row r="470" spans="1:3" x14ac:dyDescent="0.25">
      <c r="A470">
        <v>469</v>
      </c>
      <c r="B470">
        <v>13</v>
      </c>
      <c r="C470" t="str">
        <f t="shared" si="7"/>
        <v>(469,13),</v>
      </c>
    </row>
    <row r="471" spans="1:3" x14ac:dyDescent="0.25">
      <c r="A471">
        <v>470</v>
      </c>
      <c r="B471">
        <v>58</v>
      </c>
      <c r="C471" t="str">
        <f t="shared" si="7"/>
        <v>(470,58),</v>
      </c>
    </row>
    <row r="472" spans="1:3" x14ac:dyDescent="0.25">
      <c r="A472">
        <v>471</v>
      </c>
      <c r="B472">
        <v>35</v>
      </c>
      <c r="C472" t="str">
        <f t="shared" si="7"/>
        <v>(471,35),</v>
      </c>
    </row>
    <row r="473" spans="1:3" x14ac:dyDescent="0.25">
      <c r="A473">
        <v>472</v>
      </c>
      <c r="B473">
        <v>69</v>
      </c>
      <c r="C473" t="str">
        <f t="shared" si="7"/>
        <v>(472,69),</v>
      </c>
    </row>
    <row r="474" spans="1:3" x14ac:dyDescent="0.25">
      <c r="A474">
        <v>473</v>
      </c>
      <c r="B474" t="s">
        <v>4312</v>
      </c>
      <c r="C474" t="str">
        <f t="shared" si="7"/>
        <v>(473,null),</v>
      </c>
    </row>
    <row r="475" spans="1:3" x14ac:dyDescent="0.25">
      <c r="A475">
        <v>474</v>
      </c>
      <c r="B475">
        <v>26</v>
      </c>
      <c r="C475" t="str">
        <f t="shared" si="7"/>
        <v>(474,26),</v>
      </c>
    </row>
    <row r="476" spans="1:3" x14ac:dyDescent="0.25">
      <c r="A476">
        <v>475</v>
      </c>
      <c r="B476">
        <v>29</v>
      </c>
      <c r="C476" t="str">
        <f t="shared" si="7"/>
        <v>(475,29),</v>
      </c>
    </row>
    <row r="477" spans="1:3" x14ac:dyDescent="0.25">
      <c r="A477">
        <v>476</v>
      </c>
      <c r="B477" t="s">
        <v>4312</v>
      </c>
      <c r="C477" t="str">
        <f t="shared" si="7"/>
        <v>(476,null),</v>
      </c>
    </row>
    <row r="478" spans="1:3" x14ac:dyDescent="0.25">
      <c r="A478">
        <v>477</v>
      </c>
      <c r="B478">
        <v>5</v>
      </c>
      <c r="C478" t="str">
        <f t="shared" si="7"/>
        <v>(477,5),</v>
      </c>
    </row>
    <row r="479" spans="1:3" x14ac:dyDescent="0.25">
      <c r="A479">
        <v>478</v>
      </c>
      <c r="B479">
        <v>43</v>
      </c>
      <c r="C479" t="str">
        <f t="shared" si="7"/>
        <v>(478,43),</v>
      </c>
    </row>
    <row r="480" spans="1:3" x14ac:dyDescent="0.25">
      <c r="A480">
        <v>479</v>
      </c>
      <c r="B480">
        <v>95</v>
      </c>
      <c r="C480" t="str">
        <f t="shared" si="7"/>
        <v>(479,95),</v>
      </c>
    </row>
    <row r="481" spans="1:3" x14ac:dyDescent="0.25">
      <c r="A481">
        <v>480</v>
      </c>
      <c r="B481">
        <v>43</v>
      </c>
      <c r="C481" t="str">
        <f t="shared" si="7"/>
        <v>(480,43),</v>
      </c>
    </row>
    <row r="482" spans="1:3" x14ac:dyDescent="0.25">
      <c r="A482">
        <v>481</v>
      </c>
      <c r="B482">
        <v>9</v>
      </c>
      <c r="C482" t="str">
        <f t="shared" si="7"/>
        <v>(481,9),</v>
      </c>
    </row>
    <row r="483" spans="1:3" x14ac:dyDescent="0.25">
      <c r="A483">
        <v>482</v>
      </c>
      <c r="B483">
        <v>22</v>
      </c>
      <c r="C483" t="str">
        <f t="shared" si="7"/>
        <v>(482,22),</v>
      </c>
    </row>
    <row r="484" spans="1:3" x14ac:dyDescent="0.25">
      <c r="A484">
        <v>483</v>
      </c>
      <c r="B484">
        <v>45</v>
      </c>
      <c r="C484" t="str">
        <f t="shared" si="7"/>
        <v>(483,45),</v>
      </c>
    </row>
    <row r="485" spans="1:3" x14ac:dyDescent="0.25">
      <c r="A485">
        <v>484</v>
      </c>
      <c r="B485">
        <v>5</v>
      </c>
      <c r="C485" t="str">
        <f t="shared" si="7"/>
        <v>(484,5),</v>
      </c>
    </row>
    <row r="486" spans="1:3" x14ac:dyDescent="0.25">
      <c r="A486">
        <v>485</v>
      </c>
      <c r="B486">
        <v>58</v>
      </c>
      <c r="C486" t="str">
        <f t="shared" si="7"/>
        <v>(485,58),</v>
      </c>
    </row>
    <row r="487" spans="1:3" x14ac:dyDescent="0.25">
      <c r="A487">
        <v>486</v>
      </c>
      <c r="B487">
        <v>34</v>
      </c>
      <c r="C487" t="str">
        <f t="shared" si="7"/>
        <v>(486,34),</v>
      </c>
    </row>
    <row r="488" spans="1:3" x14ac:dyDescent="0.25">
      <c r="A488">
        <v>487</v>
      </c>
      <c r="B488">
        <v>69</v>
      </c>
      <c r="C488" t="str">
        <f t="shared" si="7"/>
        <v>(487,69),</v>
      </c>
    </row>
    <row r="489" spans="1:3" x14ac:dyDescent="0.25">
      <c r="A489">
        <v>488</v>
      </c>
      <c r="B489">
        <v>34</v>
      </c>
      <c r="C489" t="str">
        <f t="shared" si="7"/>
        <v>(488,34),</v>
      </c>
    </row>
    <row r="490" spans="1:3" x14ac:dyDescent="0.25">
      <c r="A490">
        <v>489</v>
      </c>
      <c r="B490" t="s">
        <v>4312</v>
      </c>
      <c r="C490" t="str">
        <f t="shared" si="7"/>
        <v>(489,null),</v>
      </c>
    </row>
    <row r="491" spans="1:3" x14ac:dyDescent="0.25">
      <c r="A491">
        <v>490</v>
      </c>
      <c r="B491">
        <v>13</v>
      </c>
      <c r="C491" t="str">
        <f t="shared" si="7"/>
        <v>(490,13),</v>
      </c>
    </row>
    <row r="492" spans="1:3" x14ac:dyDescent="0.25">
      <c r="A492">
        <v>491</v>
      </c>
      <c r="B492">
        <v>55</v>
      </c>
      <c r="C492" t="str">
        <f t="shared" si="7"/>
        <v>(491,55),</v>
      </c>
    </row>
    <row r="493" spans="1:3" x14ac:dyDescent="0.25">
      <c r="A493">
        <v>492</v>
      </c>
      <c r="B493">
        <v>29</v>
      </c>
      <c r="C493" t="str">
        <f t="shared" si="7"/>
        <v>(492,29),</v>
      </c>
    </row>
    <row r="494" spans="1:3" x14ac:dyDescent="0.25">
      <c r="A494">
        <v>493</v>
      </c>
      <c r="B494">
        <v>67</v>
      </c>
      <c r="C494" t="str">
        <f t="shared" si="7"/>
        <v>(493,67),</v>
      </c>
    </row>
    <row r="495" spans="1:3" x14ac:dyDescent="0.25">
      <c r="A495">
        <v>494</v>
      </c>
      <c r="B495">
        <v>69</v>
      </c>
      <c r="C495" t="str">
        <f t="shared" si="7"/>
        <v>(494,69),</v>
      </c>
    </row>
    <row r="496" spans="1:3" x14ac:dyDescent="0.25">
      <c r="A496">
        <v>495</v>
      </c>
      <c r="B496">
        <v>13</v>
      </c>
      <c r="C496" t="str">
        <f t="shared" si="7"/>
        <v>(495,13),</v>
      </c>
    </row>
    <row r="497" spans="1:3" x14ac:dyDescent="0.25">
      <c r="A497">
        <v>496</v>
      </c>
      <c r="B497">
        <v>42</v>
      </c>
      <c r="C497" t="str">
        <f t="shared" si="7"/>
        <v>(496,42),</v>
      </c>
    </row>
    <row r="498" spans="1:3" x14ac:dyDescent="0.25">
      <c r="A498">
        <v>497</v>
      </c>
      <c r="B498">
        <v>55</v>
      </c>
      <c r="C498" t="str">
        <f t="shared" si="7"/>
        <v>(497,55),</v>
      </c>
    </row>
    <row r="499" spans="1:3" x14ac:dyDescent="0.25">
      <c r="A499">
        <v>498</v>
      </c>
      <c r="B499">
        <v>69</v>
      </c>
      <c r="C499" t="str">
        <f t="shared" si="7"/>
        <v>(498,69),</v>
      </c>
    </row>
    <row r="500" spans="1:3" x14ac:dyDescent="0.25">
      <c r="A500">
        <v>499</v>
      </c>
      <c r="B500">
        <v>69</v>
      </c>
      <c r="C500" t="str">
        <f t="shared" si="7"/>
        <v>(499,69),</v>
      </c>
    </row>
    <row r="501" spans="1:3" x14ac:dyDescent="0.25">
      <c r="A501">
        <v>500</v>
      </c>
      <c r="B501">
        <v>33</v>
      </c>
      <c r="C501" t="str">
        <f t="shared" si="7"/>
        <v>(500,33),</v>
      </c>
    </row>
    <row r="502" spans="1:3" x14ac:dyDescent="0.25">
      <c r="A502">
        <v>501</v>
      </c>
      <c r="B502">
        <v>13</v>
      </c>
      <c r="C502" t="str">
        <f t="shared" si="7"/>
        <v>(501,13),</v>
      </c>
    </row>
    <row r="503" spans="1:3" x14ac:dyDescent="0.25">
      <c r="A503">
        <v>502</v>
      </c>
      <c r="B503" t="s">
        <v>4312</v>
      </c>
      <c r="C503" t="str">
        <f t="shared" si="7"/>
        <v>(502,null),</v>
      </c>
    </row>
    <row r="504" spans="1:3" x14ac:dyDescent="0.25">
      <c r="A504">
        <v>503</v>
      </c>
      <c r="B504">
        <v>20</v>
      </c>
      <c r="C504" t="str">
        <f t="shared" si="7"/>
        <v>(503,20),</v>
      </c>
    </row>
    <row r="505" spans="1:3" x14ac:dyDescent="0.25">
      <c r="A505">
        <v>504</v>
      </c>
      <c r="B505">
        <v>50</v>
      </c>
      <c r="C505" t="str">
        <f t="shared" si="7"/>
        <v>(504,50),</v>
      </c>
    </row>
    <row r="506" spans="1:3" x14ac:dyDescent="0.25">
      <c r="A506">
        <v>505</v>
      </c>
      <c r="B506">
        <v>58</v>
      </c>
      <c r="C506" t="str">
        <f t="shared" si="7"/>
        <v>(505,58),</v>
      </c>
    </row>
    <row r="507" spans="1:3" x14ac:dyDescent="0.25">
      <c r="A507">
        <v>506</v>
      </c>
      <c r="B507">
        <v>22</v>
      </c>
      <c r="C507" t="str">
        <f t="shared" si="7"/>
        <v>(506,22),</v>
      </c>
    </row>
    <row r="508" spans="1:3" x14ac:dyDescent="0.25">
      <c r="A508">
        <v>507</v>
      </c>
      <c r="B508">
        <v>34</v>
      </c>
      <c r="C508" t="str">
        <f t="shared" si="7"/>
        <v>(507,34),</v>
      </c>
    </row>
    <row r="509" spans="1:3" x14ac:dyDescent="0.25">
      <c r="A509">
        <v>508</v>
      </c>
      <c r="B509">
        <v>25</v>
      </c>
      <c r="C509" t="str">
        <f t="shared" si="7"/>
        <v>(508,25),</v>
      </c>
    </row>
    <row r="510" spans="1:3" x14ac:dyDescent="0.25">
      <c r="A510">
        <v>509</v>
      </c>
      <c r="B510">
        <v>8</v>
      </c>
      <c r="C510" t="str">
        <f t="shared" si="7"/>
        <v>(509,8),</v>
      </c>
    </row>
    <row r="511" spans="1:3" x14ac:dyDescent="0.25">
      <c r="A511">
        <v>510</v>
      </c>
      <c r="B511">
        <v>27</v>
      </c>
      <c r="C511" t="str">
        <f t="shared" si="7"/>
        <v>(510,27),</v>
      </c>
    </row>
    <row r="512" spans="1:3" x14ac:dyDescent="0.25">
      <c r="A512">
        <v>511</v>
      </c>
      <c r="B512">
        <v>96</v>
      </c>
      <c r="C512" t="str">
        <f t="shared" si="7"/>
        <v>(511,96),</v>
      </c>
    </row>
    <row r="513" spans="1:3" x14ac:dyDescent="0.25">
      <c r="A513">
        <v>512</v>
      </c>
      <c r="B513">
        <v>53</v>
      </c>
      <c r="C513" t="str">
        <f t="shared" si="7"/>
        <v>(512,53),</v>
      </c>
    </row>
    <row r="514" spans="1:3" x14ac:dyDescent="0.25">
      <c r="A514">
        <v>513</v>
      </c>
      <c r="B514">
        <v>20</v>
      </c>
      <c r="C514" t="str">
        <f t="shared" si="7"/>
        <v>(513,20),</v>
      </c>
    </row>
    <row r="515" spans="1:3" x14ac:dyDescent="0.25">
      <c r="A515">
        <v>514</v>
      </c>
      <c r="B515">
        <v>3</v>
      </c>
      <c r="C515" t="str">
        <f t="shared" ref="C515:C578" si="8">_xlfn.CONCAT("(",A515,",",B515,"),")</f>
        <v>(514,3),</v>
      </c>
    </row>
    <row r="516" spans="1:3" x14ac:dyDescent="0.25">
      <c r="A516">
        <v>515</v>
      </c>
      <c r="B516">
        <v>67</v>
      </c>
      <c r="C516" t="str">
        <f t="shared" si="8"/>
        <v>(515,67),</v>
      </c>
    </row>
    <row r="517" spans="1:3" x14ac:dyDescent="0.25">
      <c r="A517">
        <v>516</v>
      </c>
      <c r="B517">
        <v>88</v>
      </c>
      <c r="C517" t="str">
        <f t="shared" si="8"/>
        <v>(516,88),</v>
      </c>
    </row>
    <row r="518" spans="1:3" x14ac:dyDescent="0.25">
      <c r="A518">
        <v>517</v>
      </c>
      <c r="B518">
        <v>29</v>
      </c>
      <c r="C518" t="str">
        <f t="shared" si="8"/>
        <v>(517,29),</v>
      </c>
    </row>
    <row r="519" spans="1:3" x14ac:dyDescent="0.25">
      <c r="A519">
        <v>518</v>
      </c>
      <c r="B519">
        <v>53</v>
      </c>
      <c r="C519" t="str">
        <f t="shared" si="8"/>
        <v>(518,53),</v>
      </c>
    </row>
    <row r="520" spans="1:3" x14ac:dyDescent="0.25">
      <c r="A520">
        <v>519</v>
      </c>
      <c r="B520">
        <v>50</v>
      </c>
      <c r="C520" t="str">
        <f t="shared" si="8"/>
        <v>(519,50),</v>
      </c>
    </row>
    <row r="521" spans="1:3" x14ac:dyDescent="0.25">
      <c r="A521">
        <v>520</v>
      </c>
      <c r="B521">
        <v>50</v>
      </c>
      <c r="C521" t="str">
        <f t="shared" si="8"/>
        <v>(520,50),</v>
      </c>
    </row>
    <row r="522" spans="1:3" x14ac:dyDescent="0.25">
      <c r="A522">
        <v>521</v>
      </c>
      <c r="B522">
        <v>53</v>
      </c>
      <c r="C522" t="str">
        <f t="shared" si="8"/>
        <v>(521,53),</v>
      </c>
    </row>
    <row r="523" spans="1:3" x14ac:dyDescent="0.25">
      <c r="A523">
        <v>522</v>
      </c>
      <c r="B523">
        <v>8</v>
      </c>
      <c r="C523" t="str">
        <f t="shared" si="8"/>
        <v>(522,8),</v>
      </c>
    </row>
    <row r="524" spans="1:3" x14ac:dyDescent="0.25">
      <c r="A524">
        <v>523</v>
      </c>
      <c r="B524">
        <v>29</v>
      </c>
      <c r="C524" t="str">
        <f t="shared" si="8"/>
        <v>(523,29),</v>
      </c>
    </row>
    <row r="525" spans="1:3" x14ac:dyDescent="0.25">
      <c r="A525">
        <v>524</v>
      </c>
      <c r="B525">
        <v>18</v>
      </c>
      <c r="C525" t="str">
        <f t="shared" si="8"/>
        <v>(524,18),</v>
      </c>
    </row>
    <row r="526" spans="1:3" x14ac:dyDescent="0.25">
      <c r="A526">
        <v>525</v>
      </c>
      <c r="B526">
        <v>91</v>
      </c>
      <c r="C526" t="str">
        <f t="shared" si="8"/>
        <v>(525,91),</v>
      </c>
    </row>
    <row r="527" spans="1:3" x14ac:dyDescent="0.25">
      <c r="A527">
        <v>526</v>
      </c>
      <c r="B527">
        <v>53</v>
      </c>
      <c r="C527" t="str">
        <f t="shared" si="8"/>
        <v>(526,53),</v>
      </c>
    </row>
    <row r="528" spans="1:3" x14ac:dyDescent="0.25">
      <c r="A528">
        <v>527</v>
      </c>
      <c r="B528">
        <v>97</v>
      </c>
      <c r="C528" t="str">
        <f t="shared" si="8"/>
        <v>(527,97),</v>
      </c>
    </row>
    <row r="529" spans="1:3" x14ac:dyDescent="0.25">
      <c r="A529">
        <v>528</v>
      </c>
      <c r="B529">
        <v>44</v>
      </c>
      <c r="C529" t="str">
        <f t="shared" si="8"/>
        <v>(528,44),</v>
      </c>
    </row>
    <row r="530" spans="1:3" x14ac:dyDescent="0.25">
      <c r="A530">
        <v>529</v>
      </c>
      <c r="B530">
        <v>29</v>
      </c>
      <c r="C530" t="str">
        <f t="shared" si="8"/>
        <v>(529,29),</v>
      </c>
    </row>
    <row r="531" spans="1:3" x14ac:dyDescent="0.25">
      <c r="A531">
        <v>530</v>
      </c>
      <c r="B531">
        <v>53</v>
      </c>
      <c r="C531" t="str">
        <f t="shared" si="8"/>
        <v>(530,53),</v>
      </c>
    </row>
    <row r="532" spans="1:3" x14ac:dyDescent="0.25">
      <c r="A532">
        <v>531</v>
      </c>
      <c r="B532">
        <v>5</v>
      </c>
      <c r="C532" t="str">
        <f t="shared" si="8"/>
        <v>(531,5),</v>
      </c>
    </row>
    <row r="533" spans="1:3" x14ac:dyDescent="0.25">
      <c r="A533">
        <v>532</v>
      </c>
      <c r="B533">
        <v>98</v>
      </c>
      <c r="C533" t="str">
        <f t="shared" si="8"/>
        <v>(532,98),</v>
      </c>
    </row>
    <row r="534" spans="1:3" x14ac:dyDescent="0.25">
      <c r="A534">
        <v>533</v>
      </c>
      <c r="B534">
        <v>53</v>
      </c>
      <c r="C534" t="str">
        <f t="shared" si="8"/>
        <v>(533,53),</v>
      </c>
    </row>
    <row r="535" spans="1:3" x14ac:dyDescent="0.25">
      <c r="A535">
        <v>534</v>
      </c>
      <c r="B535">
        <v>53</v>
      </c>
      <c r="C535" t="str">
        <f t="shared" si="8"/>
        <v>(534,53),</v>
      </c>
    </row>
    <row r="536" spans="1:3" x14ac:dyDescent="0.25">
      <c r="A536">
        <v>535</v>
      </c>
      <c r="B536">
        <v>22</v>
      </c>
      <c r="C536" t="str">
        <f t="shared" si="8"/>
        <v>(535,22),</v>
      </c>
    </row>
    <row r="537" spans="1:3" x14ac:dyDescent="0.25">
      <c r="A537">
        <v>536</v>
      </c>
      <c r="B537">
        <v>18</v>
      </c>
      <c r="C537" t="str">
        <f t="shared" si="8"/>
        <v>(536,18),</v>
      </c>
    </row>
    <row r="538" spans="1:3" x14ac:dyDescent="0.25">
      <c r="A538">
        <v>537</v>
      </c>
      <c r="B538">
        <v>53</v>
      </c>
      <c r="C538" t="str">
        <f t="shared" si="8"/>
        <v>(537,53),</v>
      </c>
    </row>
    <row r="539" spans="1:3" x14ac:dyDescent="0.25">
      <c r="A539">
        <v>538</v>
      </c>
      <c r="B539">
        <v>45</v>
      </c>
      <c r="C539" t="str">
        <f t="shared" si="8"/>
        <v>(538,45),</v>
      </c>
    </row>
    <row r="540" spans="1:3" x14ac:dyDescent="0.25">
      <c r="A540">
        <v>539</v>
      </c>
      <c r="B540">
        <v>48</v>
      </c>
      <c r="C540" t="str">
        <f t="shared" si="8"/>
        <v>(539,48),</v>
      </c>
    </row>
    <row r="541" spans="1:3" x14ac:dyDescent="0.25">
      <c r="A541">
        <v>540</v>
      </c>
      <c r="B541">
        <v>91</v>
      </c>
      <c r="C541" t="str">
        <f t="shared" si="8"/>
        <v>(540,91),</v>
      </c>
    </row>
    <row r="542" spans="1:3" x14ac:dyDescent="0.25">
      <c r="A542">
        <v>541</v>
      </c>
      <c r="B542">
        <v>58</v>
      </c>
      <c r="C542" t="str">
        <f t="shared" si="8"/>
        <v>(541,58),</v>
      </c>
    </row>
    <row r="543" spans="1:3" x14ac:dyDescent="0.25">
      <c r="A543">
        <v>542</v>
      </c>
      <c r="B543">
        <v>53</v>
      </c>
      <c r="C543" t="str">
        <f t="shared" si="8"/>
        <v>(542,53),</v>
      </c>
    </row>
    <row r="544" spans="1:3" x14ac:dyDescent="0.25">
      <c r="A544">
        <v>543</v>
      </c>
      <c r="B544">
        <v>58</v>
      </c>
      <c r="C544" t="str">
        <f t="shared" si="8"/>
        <v>(543,58),</v>
      </c>
    </row>
    <row r="545" spans="1:3" x14ac:dyDescent="0.25">
      <c r="A545">
        <v>544</v>
      </c>
      <c r="B545">
        <v>58</v>
      </c>
      <c r="C545" t="str">
        <f t="shared" si="8"/>
        <v>(544,58),</v>
      </c>
    </row>
    <row r="546" spans="1:3" x14ac:dyDescent="0.25">
      <c r="A546">
        <v>545</v>
      </c>
      <c r="B546">
        <v>69</v>
      </c>
      <c r="C546" t="str">
        <f t="shared" si="8"/>
        <v>(545,69),</v>
      </c>
    </row>
    <row r="547" spans="1:3" x14ac:dyDescent="0.25">
      <c r="A547">
        <v>546</v>
      </c>
      <c r="B547">
        <v>56</v>
      </c>
      <c r="C547" t="str">
        <f t="shared" si="8"/>
        <v>(546,56),</v>
      </c>
    </row>
    <row r="548" spans="1:3" x14ac:dyDescent="0.25">
      <c r="A548">
        <v>547</v>
      </c>
      <c r="B548">
        <v>3</v>
      </c>
      <c r="C548" t="str">
        <f t="shared" si="8"/>
        <v>(547,3),</v>
      </c>
    </row>
    <row r="549" spans="1:3" x14ac:dyDescent="0.25">
      <c r="A549">
        <v>548</v>
      </c>
      <c r="B549">
        <v>50</v>
      </c>
      <c r="C549" t="str">
        <f t="shared" si="8"/>
        <v>(548,50),</v>
      </c>
    </row>
    <row r="550" spans="1:3" x14ac:dyDescent="0.25">
      <c r="A550">
        <v>549</v>
      </c>
      <c r="B550">
        <v>69</v>
      </c>
      <c r="C550" t="str">
        <f t="shared" si="8"/>
        <v>(549,69),</v>
      </c>
    </row>
    <row r="551" spans="1:3" x14ac:dyDescent="0.25">
      <c r="A551">
        <v>550</v>
      </c>
      <c r="B551">
        <v>16</v>
      </c>
      <c r="C551" t="str">
        <f t="shared" si="8"/>
        <v>(550,16),</v>
      </c>
    </row>
    <row r="552" spans="1:3" x14ac:dyDescent="0.25">
      <c r="A552">
        <v>551</v>
      </c>
      <c r="B552">
        <v>53</v>
      </c>
      <c r="C552" t="str">
        <f t="shared" si="8"/>
        <v>(551,53),</v>
      </c>
    </row>
    <row r="553" spans="1:3" x14ac:dyDescent="0.25">
      <c r="A553">
        <v>552</v>
      </c>
      <c r="B553">
        <v>22</v>
      </c>
      <c r="C553" t="str">
        <f t="shared" si="8"/>
        <v>(552,22),</v>
      </c>
    </row>
    <row r="554" spans="1:3" x14ac:dyDescent="0.25">
      <c r="A554">
        <v>553</v>
      </c>
      <c r="B554">
        <v>53</v>
      </c>
      <c r="C554" t="str">
        <f t="shared" si="8"/>
        <v>(553,53),</v>
      </c>
    </row>
    <row r="555" spans="1:3" x14ac:dyDescent="0.25">
      <c r="A555">
        <v>554</v>
      </c>
      <c r="B555">
        <v>99</v>
      </c>
      <c r="C555" t="str">
        <f t="shared" si="8"/>
        <v>(554,99),</v>
      </c>
    </row>
    <row r="556" spans="1:3" x14ac:dyDescent="0.25">
      <c r="A556">
        <v>555</v>
      </c>
      <c r="B556">
        <v>34</v>
      </c>
      <c r="C556" t="str">
        <f t="shared" si="8"/>
        <v>(555,34),</v>
      </c>
    </row>
    <row r="557" spans="1:3" x14ac:dyDescent="0.25">
      <c r="A557">
        <v>556</v>
      </c>
      <c r="B557">
        <v>34</v>
      </c>
      <c r="C557" t="str">
        <f t="shared" si="8"/>
        <v>(556,34),</v>
      </c>
    </row>
    <row r="558" spans="1:3" x14ac:dyDescent="0.25">
      <c r="A558">
        <v>557</v>
      </c>
      <c r="B558">
        <v>99</v>
      </c>
      <c r="C558" t="str">
        <f t="shared" si="8"/>
        <v>(557,99),</v>
      </c>
    </row>
    <row r="559" spans="1:3" x14ac:dyDescent="0.25">
      <c r="A559">
        <v>558</v>
      </c>
      <c r="B559">
        <v>69</v>
      </c>
      <c r="C559" t="str">
        <f t="shared" si="8"/>
        <v>(558,69),</v>
      </c>
    </row>
    <row r="560" spans="1:3" x14ac:dyDescent="0.25">
      <c r="A560">
        <v>559</v>
      </c>
      <c r="B560">
        <v>69</v>
      </c>
      <c r="C560" t="str">
        <f t="shared" si="8"/>
        <v>(559,69),</v>
      </c>
    </row>
    <row r="561" spans="1:3" x14ac:dyDescent="0.25">
      <c r="A561">
        <v>560</v>
      </c>
      <c r="B561">
        <v>30</v>
      </c>
      <c r="C561" t="str">
        <f t="shared" si="8"/>
        <v>(560,30),</v>
      </c>
    </row>
    <row r="562" spans="1:3" x14ac:dyDescent="0.25">
      <c r="A562">
        <v>561</v>
      </c>
      <c r="B562">
        <v>50</v>
      </c>
      <c r="C562" t="str">
        <f t="shared" si="8"/>
        <v>(561,50),</v>
      </c>
    </row>
    <row r="563" spans="1:3" x14ac:dyDescent="0.25">
      <c r="A563">
        <v>562</v>
      </c>
      <c r="B563">
        <v>25</v>
      </c>
      <c r="C563" t="str">
        <f t="shared" si="8"/>
        <v>(562,25),</v>
      </c>
    </row>
    <row r="564" spans="1:3" x14ac:dyDescent="0.25">
      <c r="A564">
        <v>563</v>
      </c>
      <c r="B564">
        <v>46</v>
      </c>
      <c r="C564" t="str">
        <f t="shared" si="8"/>
        <v>(563,46),</v>
      </c>
    </row>
    <row r="565" spans="1:3" x14ac:dyDescent="0.25">
      <c r="A565">
        <v>564</v>
      </c>
      <c r="B565">
        <v>22</v>
      </c>
      <c r="C565" t="str">
        <f t="shared" si="8"/>
        <v>(564,22),</v>
      </c>
    </row>
    <row r="566" spans="1:3" x14ac:dyDescent="0.25">
      <c r="A566">
        <v>565</v>
      </c>
      <c r="B566">
        <v>36</v>
      </c>
      <c r="C566" t="str">
        <f t="shared" si="8"/>
        <v>(565,36),</v>
      </c>
    </row>
    <row r="567" spans="1:3" x14ac:dyDescent="0.25">
      <c r="A567">
        <v>566</v>
      </c>
      <c r="B567">
        <v>89</v>
      </c>
      <c r="C567" t="str">
        <f t="shared" si="8"/>
        <v>(566,89),</v>
      </c>
    </row>
    <row r="568" spans="1:3" x14ac:dyDescent="0.25">
      <c r="A568">
        <v>567</v>
      </c>
      <c r="B568">
        <v>24</v>
      </c>
      <c r="C568" t="str">
        <f t="shared" si="8"/>
        <v>(567,24),</v>
      </c>
    </row>
    <row r="569" spans="1:3" x14ac:dyDescent="0.25">
      <c r="A569">
        <v>568</v>
      </c>
      <c r="B569">
        <v>54</v>
      </c>
      <c r="C569" t="str">
        <f t="shared" si="8"/>
        <v>(568,54),</v>
      </c>
    </row>
    <row r="570" spans="1:3" x14ac:dyDescent="0.25">
      <c r="A570">
        <v>569</v>
      </c>
      <c r="B570">
        <v>58</v>
      </c>
      <c r="C570" t="str">
        <f t="shared" si="8"/>
        <v>(569,58),</v>
      </c>
    </row>
    <row r="571" spans="1:3" x14ac:dyDescent="0.25">
      <c r="A571">
        <v>570</v>
      </c>
      <c r="B571">
        <v>100</v>
      </c>
      <c r="C571" t="str">
        <f t="shared" si="8"/>
        <v>(570,100),</v>
      </c>
    </row>
    <row r="572" spans="1:3" x14ac:dyDescent="0.25">
      <c r="A572">
        <v>571</v>
      </c>
      <c r="B572">
        <v>50</v>
      </c>
      <c r="C572" t="str">
        <f t="shared" si="8"/>
        <v>(571,50),</v>
      </c>
    </row>
    <row r="573" spans="1:3" x14ac:dyDescent="0.25">
      <c r="A573">
        <v>572</v>
      </c>
      <c r="B573">
        <v>69</v>
      </c>
      <c r="C573" t="str">
        <f t="shared" si="8"/>
        <v>(572,69),</v>
      </c>
    </row>
    <row r="574" spans="1:3" x14ac:dyDescent="0.25">
      <c r="A574">
        <v>573</v>
      </c>
      <c r="B574">
        <v>53</v>
      </c>
      <c r="C574" t="str">
        <f t="shared" si="8"/>
        <v>(573,53),</v>
      </c>
    </row>
    <row r="575" spans="1:3" x14ac:dyDescent="0.25">
      <c r="A575">
        <v>574</v>
      </c>
      <c r="B575">
        <v>67</v>
      </c>
      <c r="C575" t="str">
        <f t="shared" si="8"/>
        <v>(574,67),</v>
      </c>
    </row>
    <row r="576" spans="1:3" x14ac:dyDescent="0.25">
      <c r="A576">
        <v>575</v>
      </c>
      <c r="B576">
        <v>47</v>
      </c>
      <c r="C576" t="str">
        <f t="shared" si="8"/>
        <v>(575,47),</v>
      </c>
    </row>
    <row r="577" spans="1:3" x14ac:dyDescent="0.25">
      <c r="A577">
        <v>576</v>
      </c>
      <c r="B577">
        <v>54</v>
      </c>
      <c r="C577" t="str">
        <f t="shared" si="8"/>
        <v>(576,54),</v>
      </c>
    </row>
    <row r="578" spans="1:3" x14ac:dyDescent="0.25">
      <c r="A578">
        <v>577</v>
      </c>
      <c r="B578">
        <v>9</v>
      </c>
      <c r="C578" t="str">
        <f t="shared" si="8"/>
        <v>(577,9),</v>
      </c>
    </row>
    <row r="579" spans="1:3" x14ac:dyDescent="0.25">
      <c r="A579">
        <v>578</v>
      </c>
      <c r="B579">
        <v>84</v>
      </c>
      <c r="C579" t="str">
        <f t="shared" ref="C579:C642" si="9">_xlfn.CONCAT("(",A579,",",B579,"),")</f>
        <v>(578,84),</v>
      </c>
    </row>
    <row r="580" spans="1:3" x14ac:dyDescent="0.25">
      <c r="A580">
        <v>579</v>
      </c>
      <c r="B580">
        <v>41</v>
      </c>
      <c r="C580" t="str">
        <f t="shared" si="9"/>
        <v>(579,41),</v>
      </c>
    </row>
    <row r="581" spans="1:3" x14ac:dyDescent="0.25">
      <c r="A581">
        <v>580</v>
      </c>
      <c r="B581">
        <v>9</v>
      </c>
      <c r="C581" t="str">
        <f t="shared" si="9"/>
        <v>(580,9),</v>
      </c>
    </row>
    <row r="582" spans="1:3" x14ac:dyDescent="0.25">
      <c r="A582">
        <v>581</v>
      </c>
      <c r="B582">
        <v>5</v>
      </c>
      <c r="C582" t="str">
        <f t="shared" si="9"/>
        <v>(581,5),</v>
      </c>
    </row>
    <row r="583" spans="1:3" x14ac:dyDescent="0.25">
      <c r="A583">
        <v>582</v>
      </c>
      <c r="B583">
        <v>40</v>
      </c>
      <c r="C583" t="str">
        <f t="shared" si="9"/>
        <v>(582,40),</v>
      </c>
    </row>
    <row r="584" spans="1:3" x14ac:dyDescent="0.25">
      <c r="A584">
        <v>583</v>
      </c>
      <c r="B584">
        <v>5</v>
      </c>
      <c r="C584" t="str">
        <f t="shared" si="9"/>
        <v>(583,5),</v>
      </c>
    </row>
    <row r="585" spans="1:3" x14ac:dyDescent="0.25">
      <c r="A585">
        <v>584</v>
      </c>
      <c r="B585">
        <v>72</v>
      </c>
      <c r="C585" t="str">
        <f t="shared" si="9"/>
        <v>(584,72),</v>
      </c>
    </row>
    <row r="586" spans="1:3" x14ac:dyDescent="0.25">
      <c r="A586">
        <v>585</v>
      </c>
      <c r="B586">
        <v>68</v>
      </c>
      <c r="C586" t="str">
        <f t="shared" si="9"/>
        <v>(585,68),</v>
      </c>
    </row>
    <row r="587" spans="1:3" x14ac:dyDescent="0.25">
      <c r="A587">
        <v>586</v>
      </c>
      <c r="B587">
        <v>40</v>
      </c>
      <c r="C587" t="str">
        <f t="shared" si="9"/>
        <v>(586,40),</v>
      </c>
    </row>
    <row r="588" spans="1:3" x14ac:dyDescent="0.25">
      <c r="A588">
        <v>587</v>
      </c>
      <c r="B588">
        <v>50</v>
      </c>
      <c r="C588" t="str">
        <f t="shared" si="9"/>
        <v>(587,50),</v>
      </c>
    </row>
    <row r="589" spans="1:3" x14ac:dyDescent="0.25">
      <c r="A589">
        <v>588</v>
      </c>
      <c r="B589">
        <v>24</v>
      </c>
      <c r="C589" t="str">
        <f t="shared" si="9"/>
        <v>(588,24),</v>
      </c>
    </row>
    <row r="590" spans="1:3" x14ac:dyDescent="0.25">
      <c r="A590">
        <v>589</v>
      </c>
      <c r="B590">
        <v>43</v>
      </c>
      <c r="C590" t="str">
        <f t="shared" si="9"/>
        <v>(589,43),</v>
      </c>
    </row>
    <row r="591" spans="1:3" x14ac:dyDescent="0.25">
      <c r="A591">
        <v>590</v>
      </c>
      <c r="B591">
        <v>53</v>
      </c>
      <c r="C591" t="str">
        <f t="shared" si="9"/>
        <v>(590,53),</v>
      </c>
    </row>
    <row r="592" spans="1:3" x14ac:dyDescent="0.25">
      <c r="A592">
        <v>591</v>
      </c>
      <c r="B592">
        <v>15</v>
      </c>
      <c r="C592" t="str">
        <f t="shared" si="9"/>
        <v>(591,15),</v>
      </c>
    </row>
    <row r="593" spans="1:3" x14ac:dyDescent="0.25">
      <c r="A593">
        <v>592</v>
      </c>
      <c r="B593">
        <v>84</v>
      </c>
      <c r="C593" t="str">
        <f t="shared" si="9"/>
        <v>(592,84),</v>
      </c>
    </row>
    <row r="594" spans="1:3" x14ac:dyDescent="0.25">
      <c r="A594">
        <v>593</v>
      </c>
      <c r="B594">
        <v>58</v>
      </c>
      <c r="C594" t="str">
        <f t="shared" si="9"/>
        <v>(593,58),</v>
      </c>
    </row>
    <row r="595" spans="1:3" x14ac:dyDescent="0.25">
      <c r="A595">
        <v>594</v>
      </c>
      <c r="B595">
        <v>53</v>
      </c>
      <c r="C595" t="str">
        <f t="shared" si="9"/>
        <v>(594,53),</v>
      </c>
    </row>
    <row r="596" spans="1:3" x14ac:dyDescent="0.25">
      <c r="A596">
        <v>595</v>
      </c>
      <c r="B596">
        <v>92</v>
      </c>
      <c r="C596" t="str">
        <f t="shared" si="9"/>
        <v>(595,92),</v>
      </c>
    </row>
    <row r="597" spans="1:3" x14ac:dyDescent="0.25">
      <c r="A597">
        <v>596</v>
      </c>
      <c r="B597">
        <v>5</v>
      </c>
      <c r="C597" t="str">
        <f t="shared" si="9"/>
        <v>(596,5),</v>
      </c>
    </row>
    <row r="598" spans="1:3" x14ac:dyDescent="0.25">
      <c r="A598">
        <v>597</v>
      </c>
      <c r="B598">
        <v>57</v>
      </c>
      <c r="C598" t="str">
        <f t="shared" si="9"/>
        <v>(597,57),</v>
      </c>
    </row>
    <row r="599" spans="1:3" x14ac:dyDescent="0.25">
      <c r="A599">
        <v>598</v>
      </c>
      <c r="B599">
        <v>96</v>
      </c>
      <c r="C599" t="str">
        <f t="shared" si="9"/>
        <v>(598,96),</v>
      </c>
    </row>
    <row r="600" spans="1:3" x14ac:dyDescent="0.25">
      <c r="A600">
        <v>599</v>
      </c>
      <c r="B600">
        <v>79</v>
      </c>
      <c r="C600" t="str">
        <f t="shared" si="9"/>
        <v>(599,79),</v>
      </c>
    </row>
    <row r="601" spans="1:3" x14ac:dyDescent="0.25">
      <c r="A601">
        <v>600</v>
      </c>
      <c r="B601">
        <v>63</v>
      </c>
      <c r="C601" t="str">
        <f t="shared" si="9"/>
        <v>(600,63),</v>
      </c>
    </row>
    <row r="602" spans="1:3" x14ac:dyDescent="0.25">
      <c r="A602">
        <v>601</v>
      </c>
      <c r="B602">
        <v>50</v>
      </c>
      <c r="C602" t="str">
        <f t="shared" si="9"/>
        <v>(601,50),</v>
      </c>
    </row>
    <row r="603" spans="1:3" x14ac:dyDescent="0.25">
      <c r="A603">
        <v>602</v>
      </c>
      <c r="B603">
        <v>34</v>
      </c>
      <c r="C603" t="str">
        <f t="shared" si="9"/>
        <v>(602,34),</v>
      </c>
    </row>
    <row r="604" spans="1:3" x14ac:dyDescent="0.25">
      <c r="A604">
        <v>603</v>
      </c>
      <c r="B604">
        <v>15</v>
      </c>
      <c r="C604" t="str">
        <f t="shared" si="9"/>
        <v>(603,15),</v>
      </c>
    </row>
    <row r="605" spans="1:3" x14ac:dyDescent="0.25">
      <c r="A605">
        <v>604</v>
      </c>
      <c r="B605">
        <v>34</v>
      </c>
      <c r="C605" t="str">
        <f t="shared" si="9"/>
        <v>(604,34),</v>
      </c>
    </row>
    <row r="606" spans="1:3" x14ac:dyDescent="0.25">
      <c r="A606">
        <v>605</v>
      </c>
      <c r="B606">
        <v>101</v>
      </c>
      <c r="C606" t="str">
        <f t="shared" si="9"/>
        <v>(605,101),</v>
      </c>
    </row>
    <row r="607" spans="1:3" x14ac:dyDescent="0.25">
      <c r="A607">
        <v>606</v>
      </c>
      <c r="B607">
        <v>34</v>
      </c>
      <c r="C607" t="str">
        <f t="shared" si="9"/>
        <v>(606,34),</v>
      </c>
    </row>
    <row r="608" spans="1:3" x14ac:dyDescent="0.25">
      <c r="A608">
        <v>607</v>
      </c>
      <c r="B608">
        <v>39</v>
      </c>
      <c r="C608" t="str">
        <f t="shared" si="9"/>
        <v>(607,39),</v>
      </c>
    </row>
    <row r="609" spans="1:3" x14ac:dyDescent="0.25">
      <c r="A609">
        <v>608</v>
      </c>
      <c r="B609">
        <v>27</v>
      </c>
      <c r="C609" t="str">
        <f t="shared" si="9"/>
        <v>(608,27),</v>
      </c>
    </row>
    <row r="610" spans="1:3" x14ac:dyDescent="0.25">
      <c r="A610">
        <v>609</v>
      </c>
      <c r="B610">
        <v>102</v>
      </c>
      <c r="C610" t="str">
        <f t="shared" si="9"/>
        <v>(609,102),</v>
      </c>
    </row>
    <row r="611" spans="1:3" x14ac:dyDescent="0.25">
      <c r="A611">
        <v>610</v>
      </c>
      <c r="B611">
        <v>100</v>
      </c>
      <c r="C611" t="str">
        <f t="shared" si="9"/>
        <v>(610,100),</v>
      </c>
    </row>
    <row r="612" spans="1:3" x14ac:dyDescent="0.25">
      <c r="A612">
        <v>611</v>
      </c>
      <c r="B612">
        <v>88</v>
      </c>
      <c r="C612" t="str">
        <f t="shared" si="9"/>
        <v>(611,88),</v>
      </c>
    </row>
    <row r="613" spans="1:3" x14ac:dyDescent="0.25">
      <c r="A613">
        <v>612</v>
      </c>
      <c r="B613">
        <v>53</v>
      </c>
      <c r="C613" t="str">
        <f t="shared" si="9"/>
        <v>(612,53),</v>
      </c>
    </row>
    <row r="614" spans="1:3" x14ac:dyDescent="0.25">
      <c r="A614">
        <v>613</v>
      </c>
      <c r="B614">
        <v>50</v>
      </c>
      <c r="C614" t="str">
        <f t="shared" si="9"/>
        <v>(613,50),</v>
      </c>
    </row>
    <row r="615" spans="1:3" x14ac:dyDescent="0.25">
      <c r="A615">
        <v>614</v>
      </c>
      <c r="B615">
        <v>58</v>
      </c>
      <c r="C615" t="str">
        <f t="shared" si="9"/>
        <v>(614,58),</v>
      </c>
    </row>
    <row r="616" spans="1:3" x14ac:dyDescent="0.25">
      <c r="A616">
        <v>615</v>
      </c>
      <c r="B616">
        <v>54</v>
      </c>
      <c r="C616" t="str">
        <f t="shared" si="9"/>
        <v>(615,54),</v>
      </c>
    </row>
    <row r="617" spans="1:3" x14ac:dyDescent="0.25">
      <c r="A617">
        <v>616</v>
      </c>
      <c r="B617">
        <v>40</v>
      </c>
      <c r="C617" t="str">
        <f t="shared" si="9"/>
        <v>(616,40),</v>
      </c>
    </row>
    <row r="618" spans="1:3" x14ac:dyDescent="0.25">
      <c r="A618">
        <v>617</v>
      </c>
      <c r="B618">
        <v>40</v>
      </c>
      <c r="C618" t="str">
        <f t="shared" si="9"/>
        <v>(617,40),</v>
      </c>
    </row>
    <row r="619" spans="1:3" x14ac:dyDescent="0.25">
      <c r="A619">
        <v>618</v>
      </c>
      <c r="B619">
        <v>103</v>
      </c>
      <c r="C619" t="str">
        <f t="shared" si="9"/>
        <v>(618,103),</v>
      </c>
    </row>
    <row r="620" spans="1:3" x14ac:dyDescent="0.25">
      <c r="A620">
        <v>619</v>
      </c>
      <c r="B620">
        <v>69</v>
      </c>
      <c r="C620" t="str">
        <f t="shared" si="9"/>
        <v>(619,69),</v>
      </c>
    </row>
    <row r="621" spans="1:3" x14ac:dyDescent="0.25">
      <c r="A621">
        <v>620</v>
      </c>
      <c r="B621">
        <v>63</v>
      </c>
      <c r="C621" t="str">
        <f t="shared" si="9"/>
        <v>(620,63),</v>
      </c>
    </row>
    <row r="622" spans="1:3" x14ac:dyDescent="0.25">
      <c r="A622">
        <v>621</v>
      </c>
      <c r="B622">
        <v>50</v>
      </c>
      <c r="C622" t="str">
        <f t="shared" si="9"/>
        <v>(621,50),</v>
      </c>
    </row>
    <row r="623" spans="1:3" x14ac:dyDescent="0.25">
      <c r="A623">
        <v>622</v>
      </c>
      <c r="B623">
        <v>17</v>
      </c>
      <c r="C623" t="str">
        <f t="shared" si="9"/>
        <v>(622,17),</v>
      </c>
    </row>
    <row r="624" spans="1:3" x14ac:dyDescent="0.25">
      <c r="A624">
        <v>623</v>
      </c>
      <c r="B624">
        <v>53</v>
      </c>
      <c r="C624" t="str">
        <f t="shared" si="9"/>
        <v>(623,53),</v>
      </c>
    </row>
    <row r="625" spans="1:3" x14ac:dyDescent="0.25">
      <c r="A625">
        <v>624</v>
      </c>
      <c r="B625">
        <v>43</v>
      </c>
      <c r="C625" t="str">
        <f t="shared" si="9"/>
        <v>(624,43),</v>
      </c>
    </row>
    <row r="626" spans="1:3" x14ac:dyDescent="0.25">
      <c r="A626">
        <v>625</v>
      </c>
      <c r="B626">
        <v>34</v>
      </c>
      <c r="C626" t="str">
        <f t="shared" si="9"/>
        <v>(625,34),</v>
      </c>
    </row>
    <row r="627" spans="1:3" x14ac:dyDescent="0.25">
      <c r="A627">
        <v>626</v>
      </c>
      <c r="B627">
        <v>27</v>
      </c>
      <c r="C627" t="str">
        <f t="shared" si="9"/>
        <v>(626,27),</v>
      </c>
    </row>
    <row r="628" spans="1:3" x14ac:dyDescent="0.25">
      <c r="A628">
        <v>627</v>
      </c>
      <c r="B628">
        <v>61</v>
      </c>
      <c r="C628" t="str">
        <f t="shared" si="9"/>
        <v>(627,61),</v>
      </c>
    </row>
    <row r="629" spans="1:3" x14ac:dyDescent="0.25">
      <c r="A629">
        <v>628</v>
      </c>
      <c r="B629">
        <v>69</v>
      </c>
      <c r="C629" t="str">
        <f t="shared" si="9"/>
        <v>(628,69),</v>
      </c>
    </row>
    <row r="630" spans="1:3" x14ac:dyDescent="0.25">
      <c r="A630">
        <v>629</v>
      </c>
      <c r="B630">
        <v>15</v>
      </c>
      <c r="C630" t="str">
        <f t="shared" si="9"/>
        <v>(629,15),</v>
      </c>
    </row>
    <row r="631" spans="1:3" x14ac:dyDescent="0.25">
      <c r="A631">
        <v>630</v>
      </c>
      <c r="B631">
        <v>69</v>
      </c>
      <c r="C631" t="str">
        <f t="shared" si="9"/>
        <v>(630,69),</v>
      </c>
    </row>
    <row r="632" spans="1:3" x14ac:dyDescent="0.25">
      <c r="A632">
        <v>631</v>
      </c>
      <c r="B632">
        <v>50</v>
      </c>
      <c r="C632" t="str">
        <f t="shared" si="9"/>
        <v>(631,50),</v>
      </c>
    </row>
    <row r="633" spans="1:3" x14ac:dyDescent="0.25">
      <c r="A633">
        <v>632</v>
      </c>
      <c r="B633">
        <v>67</v>
      </c>
      <c r="C633" t="str">
        <f t="shared" si="9"/>
        <v>(632,67),</v>
      </c>
    </row>
    <row r="634" spans="1:3" x14ac:dyDescent="0.25">
      <c r="A634">
        <v>633</v>
      </c>
      <c r="B634">
        <v>40</v>
      </c>
      <c r="C634" t="str">
        <f t="shared" si="9"/>
        <v>(633,40),</v>
      </c>
    </row>
    <row r="635" spans="1:3" x14ac:dyDescent="0.25">
      <c r="A635">
        <v>634</v>
      </c>
      <c r="B635">
        <v>41</v>
      </c>
      <c r="C635" t="str">
        <f t="shared" si="9"/>
        <v>(634,41),</v>
      </c>
    </row>
    <row r="636" spans="1:3" x14ac:dyDescent="0.25">
      <c r="A636">
        <v>635</v>
      </c>
      <c r="B636">
        <v>26</v>
      </c>
      <c r="C636" t="str">
        <f t="shared" si="9"/>
        <v>(635,26),</v>
      </c>
    </row>
    <row r="637" spans="1:3" x14ac:dyDescent="0.25">
      <c r="A637">
        <v>636</v>
      </c>
      <c r="B637">
        <v>75</v>
      </c>
      <c r="C637" t="str">
        <f t="shared" si="9"/>
        <v>(636,75),</v>
      </c>
    </row>
    <row r="638" spans="1:3" x14ac:dyDescent="0.25">
      <c r="A638">
        <v>637</v>
      </c>
      <c r="B638">
        <v>9</v>
      </c>
      <c r="C638" t="str">
        <f t="shared" si="9"/>
        <v>(637,9),</v>
      </c>
    </row>
    <row r="639" spans="1:3" x14ac:dyDescent="0.25">
      <c r="A639">
        <v>638</v>
      </c>
      <c r="B639">
        <v>9</v>
      </c>
      <c r="C639" t="str">
        <f t="shared" si="9"/>
        <v>(638,9),</v>
      </c>
    </row>
    <row r="640" spans="1:3" x14ac:dyDescent="0.25">
      <c r="A640">
        <v>639</v>
      </c>
      <c r="B640">
        <v>18</v>
      </c>
      <c r="C640" t="str">
        <f t="shared" si="9"/>
        <v>(639,18),</v>
      </c>
    </row>
    <row r="641" spans="1:3" x14ac:dyDescent="0.25">
      <c r="A641">
        <v>640</v>
      </c>
      <c r="B641">
        <v>50</v>
      </c>
      <c r="C641" t="str">
        <f t="shared" si="9"/>
        <v>(640,50),</v>
      </c>
    </row>
    <row r="642" spans="1:3" x14ac:dyDescent="0.25">
      <c r="A642">
        <v>641</v>
      </c>
      <c r="B642">
        <v>34</v>
      </c>
      <c r="C642" t="str">
        <f t="shared" si="9"/>
        <v>(641,34),</v>
      </c>
    </row>
    <row r="643" spans="1:3" x14ac:dyDescent="0.25">
      <c r="A643">
        <v>642</v>
      </c>
      <c r="B643">
        <v>29</v>
      </c>
      <c r="C643" t="str">
        <f t="shared" ref="C643:C706" si="10">_xlfn.CONCAT("(",A643,",",B643,"),")</f>
        <v>(642,29),</v>
      </c>
    </row>
    <row r="644" spans="1:3" x14ac:dyDescent="0.25">
      <c r="A644">
        <v>643</v>
      </c>
      <c r="B644">
        <v>3</v>
      </c>
      <c r="C644" t="str">
        <f t="shared" si="10"/>
        <v>(643,3),</v>
      </c>
    </row>
    <row r="645" spans="1:3" x14ac:dyDescent="0.25">
      <c r="A645">
        <v>644</v>
      </c>
      <c r="B645">
        <v>9</v>
      </c>
      <c r="C645" t="str">
        <f t="shared" si="10"/>
        <v>(644,9),</v>
      </c>
    </row>
    <row r="646" spans="1:3" x14ac:dyDescent="0.25">
      <c r="A646">
        <v>645</v>
      </c>
      <c r="B646">
        <v>37</v>
      </c>
      <c r="C646" t="str">
        <f t="shared" si="10"/>
        <v>(645,37),</v>
      </c>
    </row>
    <row r="647" spans="1:3" x14ac:dyDescent="0.25">
      <c r="A647">
        <v>646</v>
      </c>
      <c r="B647">
        <v>83</v>
      </c>
      <c r="C647" t="str">
        <f t="shared" si="10"/>
        <v>(646,83),</v>
      </c>
    </row>
    <row r="648" spans="1:3" x14ac:dyDescent="0.25">
      <c r="A648">
        <v>647</v>
      </c>
      <c r="B648">
        <v>8</v>
      </c>
      <c r="C648" t="str">
        <f t="shared" si="10"/>
        <v>(647,8),</v>
      </c>
    </row>
    <row r="649" spans="1:3" x14ac:dyDescent="0.25">
      <c r="A649">
        <v>648</v>
      </c>
      <c r="B649">
        <v>53</v>
      </c>
      <c r="C649" t="str">
        <f t="shared" si="10"/>
        <v>(648,53),</v>
      </c>
    </row>
    <row r="650" spans="1:3" x14ac:dyDescent="0.25">
      <c r="A650">
        <v>649</v>
      </c>
      <c r="B650">
        <v>58</v>
      </c>
      <c r="C650" t="str">
        <f t="shared" si="10"/>
        <v>(649,58),</v>
      </c>
    </row>
    <row r="651" spans="1:3" x14ac:dyDescent="0.25">
      <c r="A651">
        <v>650</v>
      </c>
      <c r="B651">
        <v>103</v>
      </c>
      <c r="C651" t="str">
        <f t="shared" si="10"/>
        <v>(650,103),</v>
      </c>
    </row>
    <row r="652" spans="1:3" x14ac:dyDescent="0.25">
      <c r="A652">
        <v>651</v>
      </c>
      <c r="B652">
        <v>98</v>
      </c>
      <c r="C652" t="str">
        <f t="shared" si="10"/>
        <v>(651,98),</v>
      </c>
    </row>
    <row r="653" spans="1:3" x14ac:dyDescent="0.25">
      <c r="A653">
        <v>652</v>
      </c>
      <c r="B653">
        <v>53</v>
      </c>
      <c r="C653" t="str">
        <f t="shared" si="10"/>
        <v>(652,53),</v>
      </c>
    </row>
    <row r="654" spans="1:3" x14ac:dyDescent="0.25">
      <c r="A654">
        <v>653</v>
      </c>
      <c r="B654">
        <v>17</v>
      </c>
      <c r="C654" t="str">
        <f t="shared" si="10"/>
        <v>(653,17),</v>
      </c>
    </row>
    <row r="655" spans="1:3" x14ac:dyDescent="0.25">
      <c r="A655">
        <v>654</v>
      </c>
      <c r="B655">
        <v>53</v>
      </c>
      <c r="C655" t="str">
        <f t="shared" si="10"/>
        <v>(654,53),</v>
      </c>
    </row>
    <row r="656" spans="1:3" x14ac:dyDescent="0.25">
      <c r="A656">
        <v>655</v>
      </c>
      <c r="B656">
        <v>104</v>
      </c>
      <c r="C656" t="str">
        <f t="shared" si="10"/>
        <v>(655,104),</v>
      </c>
    </row>
    <row r="657" spans="1:3" x14ac:dyDescent="0.25">
      <c r="A657">
        <v>656</v>
      </c>
      <c r="B657">
        <v>9</v>
      </c>
      <c r="C657" t="str">
        <f t="shared" si="10"/>
        <v>(656,9),</v>
      </c>
    </row>
    <row r="658" spans="1:3" x14ac:dyDescent="0.25">
      <c r="A658">
        <v>657</v>
      </c>
      <c r="B658">
        <v>53</v>
      </c>
      <c r="C658" t="str">
        <f t="shared" si="10"/>
        <v>(657,53),</v>
      </c>
    </row>
    <row r="659" spans="1:3" x14ac:dyDescent="0.25">
      <c r="A659">
        <v>658</v>
      </c>
      <c r="B659">
        <v>53</v>
      </c>
      <c r="C659" t="str">
        <f t="shared" si="10"/>
        <v>(658,53),</v>
      </c>
    </row>
    <row r="660" spans="1:3" x14ac:dyDescent="0.25">
      <c r="A660">
        <v>659</v>
      </c>
      <c r="B660">
        <v>69</v>
      </c>
      <c r="C660" t="str">
        <f t="shared" si="10"/>
        <v>(659,69),</v>
      </c>
    </row>
    <row r="661" spans="1:3" x14ac:dyDescent="0.25">
      <c r="A661">
        <v>660</v>
      </c>
      <c r="B661">
        <v>69</v>
      </c>
      <c r="C661" t="str">
        <f t="shared" si="10"/>
        <v>(660,69),</v>
      </c>
    </row>
    <row r="662" spans="1:3" x14ac:dyDescent="0.25">
      <c r="A662">
        <v>661</v>
      </c>
      <c r="B662">
        <v>9</v>
      </c>
      <c r="C662" t="str">
        <f t="shared" si="10"/>
        <v>(661,9),</v>
      </c>
    </row>
    <row r="663" spans="1:3" x14ac:dyDescent="0.25">
      <c r="A663">
        <v>662</v>
      </c>
      <c r="B663">
        <v>53</v>
      </c>
      <c r="C663" t="str">
        <f t="shared" si="10"/>
        <v>(662,53),</v>
      </c>
    </row>
    <row r="664" spans="1:3" x14ac:dyDescent="0.25">
      <c r="A664">
        <v>663</v>
      </c>
      <c r="B664">
        <v>105</v>
      </c>
      <c r="C664" t="str">
        <f t="shared" si="10"/>
        <v>(663,105),</v>
      </c>
    </row>
    <row r="665" spans="1:3" x14ac:dyDescent="0.25">
      <c r="A665">
        <v>664</v>
      </c>
      <c r="B665">
        <v>69</v>
      </c>
      <c r="C665" t="str">
        <f t="shared" si="10"/>
        <v>(664,69),</v>
      </c>
    </row>
    <row r="666" spans="1:3" x14ac:dyDescent="0.25">
      <c r="A666">
        <v>665</v>
      </c>
      <c r="B666">
        <v>21</v>
      </c>
      <c r="C666" t="str">
        <f t="shared" si="10"/>
        <v>(665,21),</v>
      </c>
    </row>
    <row r="667" spans="1:3" x14ac:dyDescent="0.25">
      <c r="A667">
        <v>666</v>
      </c>
      <c r="B667">
        <v>103</v>
      </c>
      <c r="C667" t="str">
        <f t="shared" si="10"/>
        <v>(666,103),</v>
      </c>
    </row>
    <row r="668" spans="1:3" x14ac:dyDescent="0.25">
      <c r="A668">
        <v>667</v>
      </c>
      <c r="B668">
        <v>53</v>
      </c>
      <c r="C668" t="str">
        <f t="shared" si="10"/>
        <v>(667,53),</v>
      </c>
    </row>
    <row r="669" spans="1:3" x14ac:dyDescent="0.25">
      <c r="A669">
        <v>668</v>
      </c>
      <c r="B669">
        <v>69</v>
      </c>
      <c r="C669" t="str">
        <f t="shared" si="10"/>
        <v>(668,69),</v>
      </c>
    </row>
    <row r="670" spans="1:3" x14ac:dyDescent="0.25">
      <c r="A670">
        <v>669</v>
      </c>
      <c r="B670">
        <v>68</v>
      </c>
      <c r="C670" t="str">
        <f t="shared" si="10"/>
        <v>(669,68),</v>
      </c>
    </row>
    <row r="671" spans="1:3" x14ac:dyDescent="0.25">
      <c r="A671">
        <v>670</v>
      </c>
      <c r="B671">
        <v>105</v>
      </c>
      <c r="C671" t="str">
        <f t="shared" si="10"/>
        <v>(670,105),</v>
      </c>
    </row>
    <row r="672" spans="1:3" x14ac:dyDescent="0.25">
      <c r="A672">
        <v>671</v>
      </c>
      <c r="B672">
        <v>103</v>
      </c>
      <c r="C672" t="str">
        <f t="shared" si="10"/>
        <v>(671,103),</v>
      </c>
    </row>
    <row r="673" spans="1:3" x14ac:dyDescent="0.25">
      <c r="A673">
        <v>672</v>
      </c>
      <c r="B673">
        <v>106</v>
      </c>
      <c r="C673" t="str">
        <f t="shared" si="10"/>
        <v>(672,106),</v>
      </c>
    </row>
    <row r="674" spans="1:3" x14ac:dyDescent="0.25">
      <c r="A674">
        <v>673</v>
      </c>
      <c r="B674">
        <v>40</v>
      </c>
      <c r="C674" t="str">
        <f t="shared" si="10"/>
        <v>(673,40),</v>
      </c>
    </row>
    <row r="675" spans="1:3" x14ac:dyDescent="0.25">
      <c r="A675">
        <v>674</v>
      </c>
      <c r="B675">
        <v>69</v>
      </c>
      <c r="C675" t="str">
        <f t="shared" si="10"/>
        <v>(674,69),</v>
      </c>
    </row>
    <row r="676" spans="1:3" x14ac:dyDescent="0.25">
      <c r="A676">
        <v>675</v>
      </c>
      <c r="B676">
        <v>46</v>
      </c>
      <c r="C676" t="str">
        <f t="shared" si="10"/>
        <v>(675,46),</v>
      </c>
    </row>
    <row r="677" spans="1:3" x14ac:dyDescent="0.25">
      <c r="A677">
        <v>676</v>
      </c>
      <c r="B677">
        <v>41</v>
      </c>
      <c r="C677" t="str">
        <f t="shared" si="10"/>
        <v>(676,41),</v>
      </c>
    </row>
    <row r="678" spans="1:3" x14ac:dyDescent="0.25">
      <c r="A678">
        <v>677</v>
      </c>
      <c r="B678">
        <v>53</v>
      </c>
      <c r="C678" t="str">
        <f t="shared" si="10"/>
        <v>(677,53),</v>
      </c>
    </row>
    <row r="679" spans="1:3" x14ac:dyDescent="0.25">
      <c r="A679">
        <v>678</v>
      </c>
      <c r="B679">
        <v>67</v>
      </c>
      <c r="C679" t="str">
        <f t="shared" si="10"/>
        <v>(678,67),</v>
      </c>
    </row>
    <row r="680" spans="1:3" x14ac:dyDescent="0.25">
      <c r="A680">
        <v>679</v>
      </c>
      <c r="B680">
        <v>55</v>
      </c>
      <c r="C680" t="str">
        <f t="shared" si="10"/>
        <v>(679,55),</v>
      </c>
    </row>
    <row r="681" spans="1:3" x14ac:dyDescent="0.25">
      <c r="A681">
        <v>680</v>
      </c>
      <c r="B681">
        <v>88</v>
      </c>
      <c r="C681" t="str">
        <f t="shared" si="10"/>
        <v>(680,88),</v>
      </c>
    </row>
    <row r="682" spans="1:3" x14ac:dyDescent="0.25">
      <c r="A682">
        <v>681</v>
      </c>
      <c r="B682">
        <v>24</v>
      </c>
      <c r="C682" t="str">
        <f t="shared" si="10"/>
        <v>(681,24),</v>
      </c>
    </row>
    <row r="683" spans="1:3" x14ac:dyDescent="0.25">
      <c r="A683">
        <v>682</v>
      </c>
      <c r="B683">
        <v>88</v>
      </c>
      <c r="C683" t="str">
        <f t="shared" si="10"/>
        <v>(682,88),</v>
      </c>
    </row>
    <row r="684" spans="1:3" x14ac:dyDescent="0.25">
      <c r="A684">
        <v>683</v>
      </c>
      <c r="B684">
        <v>42</v>
      </c>
      <c r="C684" t="str">
        <f t="shared" si="10"/>
        <v>(683,42),</v>
      </c>
    </row>
    <row r="685" spans="1:3" x14ac:dyDescent="0.25">
      <c r="A685">
        <v>684</v>
      </c>
      <c r="B685">
        <v>85</v>
      </c>
      <c r="C685" t="str">
        <f t="shared" si="10"/>
        <v>(684,85),</v>
      </c>
    </row>
    <row r="686" spans="1:3" x14ac:dyDescent="0.25">
      <c r="A686">
        <v>685</v>
      </c>
      <c r="B686">
        <v>26</v>
      </c>
      <c r="C686" t="str">
        <f t="shared" si="10"/>
        <v>(685,26),</v>
      </c>
    </row>
    <row r="687" spans="1:3" x14ac:dyDescent="0.25">
      <c r="A687">
        <v>686</v>
      </c>
      <c r="B687">
        <v>13</v>
      </c>
      <c r="C687" t="str">
        <f t="shared" si="10"/>
        <v>(686,13),</v>
      </c>
    </row>
    <row r="688" spans="1:3" x14ac:dyDescent="0.25">
      <c r="A688">
        <v>687</v>
      </c>
      <c r="B688">
        <v>53</v>
      </c>
      <c r="C688" t="str">
        <f t="shared" si="10"/>
        <v>(687,53),</v>
      </c>
    </row>
    <row r="689" spans="1:3" x14ac:dyDescent="0.25">
      <c r="A689">
        <v>688</v>
      </c>
      <c r="B689">
        <v>17</v>
      </c>
      <c r="C689" t="str">
        <f t="shared" si="10"/>
        <v>(688,17),</v>
      </c>
    </row>
    <row r="690" spans="1:3" x14ac:dyDescent="0.25">
      <c r="A690">
        <v>689</v>
      </c>
      <c r="B690">
        <v>53</v>
      </c>
      <c r="C690" t="str">
        <f t="shared" si="10"/>
        <v>(689,53),</v>
      </c>
    </row>
    <row r="691" spans="1:3" x14ac:dyDescent="0.25">
      <c r="A691">
        <v>690</v>
      </c>
      <c r="B691">
        <v>34</v>
      </c>
      <c r="C691" t="str">
        <f t="shared" si="10"/>
        <v>(690,34),</v>
      </c>
    </row>
    <row r="692" spans="1:3" x14ac:dyDescent="0.25">
      <c r="A692">
        <v>691</v>
      </c>
      <c r="B692">
        <v>34</v>
      </c>
      <c r="C692" t="str">
        <f t="shared" si="10"/>
        <v>(691,34),</v>
      </c>
    </row>
    <row r="693" spans="1:3" x14ac:dyDescent="0.25">
      <c r="A693">
        <v>692</v>
      </c>
      <c r="B693">
        <v>53</v>
      </c>
      <c r="C693" t="str">
        <f t="shared" si="10"/>
        <v>(692,53),</v>
      </c>
    </row>
    <row r="694" spans="1:3" x14ac:dyDescent="0.25">
      <c r="A694">
        <v>693</v>
      </c>
      <c r="B694">
        <v>50</v>
      </c>
      <c r="C694" t="str">
        <f t="shared" si="10"/>
        <v>(693,50),</v>
      </c>
    </row>
    <row r="695" spans="1:3" x14ac:dyDescent="0.25">
      <c r="A695">
        <v>694</v>
      </c>
      <c r="B695">
        <v>69</v>
      </c>
      <c r="C695" t="str">
        <f t="shared" si="10"/>
        <v>(694,69),</v>
      </c>
    </row>
    <row r="696" spans="1:3" x14ac:dyDescent="0.25">
      <c r="A696">
        <v>695</v>
      </c>
      <c r="B696">
        <v>34</v>
      </c>
      <c r="C696" t="str">
        <f t="shared" si="10"/>
        <v>(695,34),</v>
      </c>
    </row>
    <row r="697" spans="1:3" x14ac:dyDescent="0.25">
      <c r="A697">
        <v>696</v>
      </c>
      <c r="B697">
        <v>17</v>
      </c>
      <c r="C697" t="str">
        <f t="shared" si="10"/>
        <v>(696,17),</v>
      </c>
    </row>
    <row r="698" spans="1:3" x14ac:dyDescent="0.25">
      <c r="A698">
        <v>697</v>
      </c>
      <c r="B698">
        <v>69</v>
      </c>
      <c r="C698" t="str">
        <f t="shared" si="10"/>
        <v>(697,69),</v>
      </c>
    </row>
    <row r="699" spans="1:3" x14ac:dyDescent="0.25">
      <c r="A699">
        <v>698</v>
      </c>
      <c r="B699">
        <v>54</v>
      </c>
      <c r="C699" t="str">
        <f t="shared" si="10"/>
        <v>(698,54),</v>
      </c>
    </row>
    <row r="700" spans="1:3" x14ac:dyDescent="0.25">
      <c r="A700">
        <v>699</v>
      </c>
      <c r="B700">
        <v>1</v>
      </c>
      <c r="C700" t="str">
        <f t="shared" si="10"/>
        <v>(699,1),</v>
      </c>
    </row>
    <row r="701" spans="1:3" x14ac:dyDescent="0.25">
      <c r="A701">
        <v>700</v>
      </c>
      <c r="B701">
        <v>17</v>
      </c>
      <c r="C701" t="str">
        <f t="shared" si="10"/>
        <v>(700,17),</v>
      </c>
    </row>
    <row r="702" spans="1:3" x14ac:dyDescent="0.25">
      <c r="A702">
        <v>701</v>
      </c>
      <c r="B702">
        <v>42</v>
      </c>
      <c r="C702" t="str">
        <f t="shared" si="10"/>
        <v>(701,42),</v>
      </c>
    </row>
    <row r="703" spans="1:3" x14ac:dyDescent="0.25">
      <c r="A703">
        <v>702</v>
      </c>
      <c r="B703">
        <v>96</v>
      </c>
      <c r="C703" t="str">
        <f t="shared" si="10"/>
        <v>(702,96),</v>
      </c>
    </row>
    <row r="704" spans="1:3" x14ac:dyDescent="0.25">
      <c r="A704">
        <v>703</v>
      </c>
      <c r="B704">
        <v>13</v>
      </c>
      <c r="C704" t="str">
        <f t="shared" si="10"/>
        <v>(703,13),</v>
      </c>
    </row>
    <row r="705" spans="1:3" x14ac:dyDescent="0.25">
      <c r="A705">
        <v>704</v>
      </c>
      <c r="B705">
        <v>31</v>
      </c>
      <c r="C705" t="str">
        <f t="shared" si="10"/>
        <v>(704,31),</v>
      </c>
    </row>
    <row r="706" spans="1:3" x14ac:dyDescent="0.25">
      <c r="A706">
        <v>705</v>
      </c>
      <c r="B706">
        <v>69</v>
      </c>
      <c r="C706" t="str">
        <f t="shared" si="10"/>
        <v>(705,69),</v>
      </c>
    </row>
    <row r="707" spans="1:3" x14ac:dyDescent="0.25">
      <c r="A707">
        <v>706</v>
      </c>
      <c r="B707">
        <v>36</v>
      </c>
      <c r="C707" t="str">
        <f t="shared" ref="C707:C770" si="11">_xlfn.CONCAT("(",A707,",",B707,"),")</f>
        <v>(706,36),</v>
      </c>
    </row>
    <row r="708" spans="1:3" x14ac:dyDescent="0.25">
      <c r="A708">
        <v>707</v>
      </c>
      <c r="B708">
        <v>103</v>
      </c>
      <c r="C708" t="str">
        <f t="shared" si="11"/>
        <v>(707,103),</v>
      </c>
    </row>
    <row r="709" spans="1:3" x14ac:dyDescent="0.25">
      <c r="A709">
        <v>708</v>
      </c>
      <c r="B709">
        <v>11</v>
      </c>
      <c r="C709" t="str">
        <f t="shared" si="11"/>
        <v>(708,11),</v>
      </c>
    </row>
    <row r="710" spans="1:3" x14ac:dyDescent="0.25">
      <c r="A710">
        <v>709</v>
      </c>
      <c r="B710">
        <v>69</v>
      </c>
      <c r="C710" t="str">
        <f t="shared" si="11"/>
        <v>(709,69),</v>
      </c>
    </row>
    <row r="711" spans="1:3" x14ac:dyDescent="0.25">
      <c r="A711">
        <v>710</v>
      </c>
      <c r="B711">
        <v>9</v>
      </c>
      <c r="C711" t="str">
        <f t="shared" si="11"/>
        <v>(710,9),</v>
      </c>
    </row>
    <row r="712" spans="1:3" x14ac:dyDescent="0.25">
      <c r="A712">
        <v>711</v>
      </c>
      <c r="B712">
        <v>22</v>
      </c>
      <c r="C712" t="str">
        <f t="shared" si="11"/>
        <v>(711,22),</v>
      </c>
    </row>
    <row r="713" spans="1:3" x14ac:dyDescent="0.25">
      <c r="A713">
        <v>712</v>
      </c>
      <c r="B713">
        <v>44</v>
      </c>
      <c r="C713" t="str">
        <f t="shared" si="11"/>
        <v>(712,44),</v>
      </c>
    </row>
    <row r="714" spans="1:3" x14ac:dyDescent="0.25">
      <c r="A714">
        <v>713</v>
      </c>
      <c r="B714">
        <v>107</v>
      </c>
      <c r="C714" t="str">
        <f t="shared" si="11"/>
        <v>(713,107),</v>
      </c>
    </row>
    <row r="715" spans="1:3" x14ac:dyDescent="0.25">
      <c r="A715">
        <v>714</v>
      </c>
      <c r="B715">
        <v>18</v>
      </c>
      <c r="C715" t="str">
        <f t="shared" si="11"/>
        <v>(714,18),</v>
      </c>
    </row>
    <row r="716" spans="1:3" x14ac:dyDescent="0.25">
      <c r="A716">
        <v>715</v>
      </c>
      <c r="B716">
        <v>69</v>
      </c>
      <c r="C716" t="str">
        <f t="shared" si="11"/>
        <v>(715,69),</v>
      </c>
    </row>
    <row r="717" spans="1:3" x14ac:dyDescent="0.25">
      <c r="A717">
        <v>716</v>
      </c>
      <c r="B717">
        <v>34</v>
      </c>
      <c r="C717" t="str">
        <f t="shared" si="11"/>
        <v>(716,34),</v>
      </c>
    </row>
    <row r="718" spans="1:3" x14ac:dyDescent="0.25">
      <c r="A718">
        <v>717</v>
      </c>
      <c r="B718">
        <v>17</v>
      </c>
      <c r="C718" t="str">
        <f t="shared" si="11"/>
        <v>(717,17),</v>
      </c>
    </row>
    <row r="719" spans="1:3" x14ac:dyDescent="0.25">
      <c r="A719">
        <v>718</v>
      </c>
      <c r="B719">
        <v>69</v>
      </c>
      <c r="C719" t="str">
        <f t="shared" si="11"/>
        <v>(718,69),</v>
      </c>
    </row>
    <row r="720" spans="1:3" x14ac:dyDescent="0.25">
      <c r="A720">
        <v>719</v>
      </c>
      <c r="B720">
        <v>50</v>
      </c>
      <c r="C720" t="str">
        <f t="shared" si="11"/>
        <v>(719,50),</v>
      </c>
    </row>
    <row r="721" spans="1:3" x14ac:dyDescent="0.25">
      <c r="A721">
        <v>720</v>
      </c>
      <c r="B721">
        <v>36</v>
      </c>
      <c r="C721" t="str">
        <f t="shared" si="11"/>
        <v>(720,36),</v>
      </c>
    </row>
    <row r="722" spans="1:3" x14ac:dyDescent="0.25">
      <c r="A722">
        <v>721</v>
      </c>
      <c r="B722">
        <v>9</v>
      </c>
      <c r="C722" t="str">
        <f t="shared" si="11"/>
        <v>(721,9),</v>
      </c>
    </row>
    <row r="723" spans="1:3" x14ac:dyDescent="0.25">
      <c r="A723">
        <v>722</v>
      </c>
      <c r="B723">
        <v>9</v>
      </c>
      <c r="C723" t="str">
        <f t="shared" si="11"/>
        <v>(722,9),</v>
      </c>
    </row>
    <row r="724" spans="1:3" x14ac:dyDescent="0.25">
      <c r="A724">
        <v>723</v>
      </c>
      <c r="B724">
        <v>69</v>
      </c>
      <c r="C724" t="str">
        <f t="shared" si="11"/>
        <v>(723,69),</v>
      </c>
    </row>
    <row r="725" spans="1:3" x14ac:dyDescent="0.25">
      <c r="A725">
        <v>724</v>
      </c>
      <c r="B725">
        <v>69</v>
      </c>
      <c r="C725" t="str">
        <f t="shared" si="11"/>
        <v>(724,69),</v>
      </c>
    </row>
    <row r="726" spans="1:3" x14ac:dyDescent="0.25">
      <c r="A726">
        <v>725</v>
      </c>
      <c r="B726">
        <v>24</v>
      </c>
      <c r="C726" t="str">
        <f t="shared" si="11"/>
        <v>(725,24),</v>
      </c>
    </row>
    <row r="727" spans="1:3" x14ac:dyDescent="0.25">
      <c r="A727">
        <v>726</v>
      </c>
      <c r="B727">
        <v>3</v>
      </c>
      <c r="C727" t="str">
        <f t="shared" si="11"/>
        <v>(726,3),</v>
      </c>
    </row>
    <row r="728" spans="1:3" x14ac:dyDescent="0.25">
      <c r="A728">
        <v>727</v>
      </c>
      <c r="B728">
        <v>5</v>
      </c>
      <c r="C728" t="str">
        <f t="shared" si="11"/>
        <v>(727,5),</v>
      </c>
    </row>
    <row r="729" spans="1:3" x14ac:dyDescent="0.25">
      <c r="A729">
        <v>728</v>
      </c>
      <c r="B729">
        <v>45</v>
      </c>
      <c r="C729" t="str">
        <f t="shared" si="11"/>
        <v>(728,45),</v>
      </c>
    </row>
    <row r="730" spans="1:3" x14ac:dyDescent="0.25">
      <c r="A730">
        <v>729</v>
      </c>
      <c r="B730">
        <v>13</v>
      </c>
      <c r="C730" t="str">
        <f t="shared" si="11"/>
        <v>(729,13),</v>
      </c>
    </row>
    <row r="731" spans="1:3" x14ac:dyDescent="0.25">
      <c r="A731">
        <v>730</v>
      </c>
      <c r="B731">
        <v>63</v>
      </c>
      <c r="C731" t="str">
        <f t="shared" si="11"/>
        <v>(730,63),</v>
      </c>
    </row>
    <row r="732" spans="1:3" x14ac:dyDescent="0.25">
      <c r="A732">
        <v>731</v>
      </c>
      <c r="B732">
        <v>108</v>
      </c>
      <c r="C732" t="str">
        <f t="shared" si="11"/>
        <v>(731,108),</v>
      </c>
    </row>
    <row r="733" spans="1:3" x14ac:dyDescent="0.25">
      <c r="A733">
        <v>732</v>
      </c>
      <c r="B733">
        <v>16</v>
      </c>
      <c r="C733" t="str">
        <f t="shared" si="11"/>
        <v>(732,16),</v>
      </c>
    </row>
    <row r="734" spans="1:3" x14ac:dyDescent="0.25">
      <c r="A734">
        <v>733</v>
      </c>
      <c r="B734">
        <v>109</v>
      </c>
      <c r="C734" t="str">
        <f t="shared" si="11"/>
        <v>(733,109),</v>
      </c>
    </row>
    <row r="735" spans="1:3" x14ac:dyDescent="0.25">
      <c r="A735">
        <v>734</v>
      </c>
      <c r="B735">
        <v>105</v>
      </c>
      <c r="C735" t="str">
        <f t="shared" si="11"/>
        <v>(734,105),</v>
      </c>
    </row>
    <row r="736" spans="1:3" x14ac:dyDescent="0.25">
      <c r="A736">
        <v>735</v>
      </c>
      <c r="B736">
        <v>17</v>
      </c>
      <c r="C736" t="str">
        <f t="shared" si="11"/>
        <v>(735,17),</v>
      </c>
    </row>
    <row r="737" spans="1:3" x14ac:dyDescent="0.25">
      <c r="A737">
        <v>736</v>
      </c>
      <c r="B737">
        <v>69</v>
      </c>
      <c r="C737" t="str">
        <f t="shared" si="11"/>
        <v>(736,69),</v>
      </c>
    </row>
    <row r="738" spans="1:3" x14ac:dyDescent="0.25">
      <c r="A738">
        <v>737</v>
      </c>
      <c r="B738">
        <v>69</v>
      </c>
      <c r="C738" t="str">
        <f t="shared" si="11"/>
        <v>(737,69),</v>
      </c>
    </row>
    <row r="739" spans="1:3" x14ac:dyDescent="0.25">
      <c r="A739">
        <v>738</v>
      </c>
      <c r="B739">
        <v>17</v>
      </c>
      <c r="C739" t="str">
        <f t="shared" si="11"/>
        <v>(738,17),</v>
      </c>
    </row>
    <row r="740" spans="1:3" x14ac:dyDescent="0.25">
      <c r="A740">
        <v>739</v>
      </c>
      <c r="B740">
        <v>68</v>
      </c>
      <c r="C740" t="str">
        <f t="shared" si="11"/>
        <v>(739,68),</v>
      </c>
    </row>
    <row r="741" spans="1:3" x14ac:dyDescent="0.25">
      <c r="A741">
        <v>740</v>
      </c>
      <c r="B741">
        <v>34</v>
      </c>
      <c r="C741" t="str">
        <f t="shared" si="11"/>
        <v>(740,34),</v>
      </c>
    </row>
    <row r="742" spans="1:3" x14ac:dyDescent="0.25">
      <c r="A742">
        <v>741</v>
      </c>
      <c r="B742">
        <v>69</v>
      </c>
      <c r="C742" t="str">
        <f t="shared" si="11"/>
        <v>(741,69),</v>
      </c>
    </row>
    <row r="743" spans="1:3" x14ac:dyDescent="0.25">
      <c r="A743">
        <v>742</v>
      </c>
      <c r="B743">
        <v>40</v>
      </c>
      <c r="C743" t="str">
        <f t="shared" si="11"/>
        <v>(742,40),</v>
      </c>
    </row>
    <row r="744" spans="1:3" x14ac:dyDescent="0.25">
      <c r="A744">
        <v>743</v>
      </c>
      <c r="B744">
        <v>54</v>
      </c>
      <c r="C744" t="str">
        <f t="shared" si="11"/>
        <v>(743,54),</v>
      </c>
    </row>
    <row r="745" spans="1:3" x14ac:dyDescent="0.25">
      <c r="A745">
        <v>744</v>
      </c>
      <c r="B745">
        <v>17</v>
      </c>
      <c r="C745" t="str">
        <f t="shared" si="11"/>
        <v>(744,17),</v>
      </c>
    </row>
    <row r="746" spans="1:3" x14ac:dyDescent="0.25">
      <c r="A746">
        <v>745</v>
      </c>
      <c r="B746">
        <v>110</v>
      </c>
      <c r="C746" t="str">
        <f t="shared" si="11"/>
        <v>(745,110),</v>
      </c>
    </row>
    <row r="747" spans="1:3" x14ac:dyDescent="0.25">
      <c r="A747">
        <v>746</v>
      </c>
      <c r="B747">
        <v>44</v>
      </c>
      <c r="C747" t="str">
        <f t="shared" si="11"/>
        <v>(746,44),</v>
      </c>
    </row>
    <row r="748" spans="1:3" x14ac:dyDescent="0.25">
      <c r="A748">
        <v>747</v>
      </c>
      <c r="B748">
        <v>69</v>
      </c>
      <c r="C748" t="str">
        <f t="shared" si="11"/>
        <v>(747,69),</v>
      </c>
    </row>
    <row r="749" spans="1:3" x14ac:dyDescent="0.25">
      <c r="A749">
        <v>748</v>
      </c>
      <c r="B749">
        <v>9</v>
      </c>
      <c r="C749" t="str">
        <f t="shared" si="11"/>
        <v>(748,9),</v>
      </c>
    </row>
    <row r="750" spans="1:3" x14ac:dyDescent="0.25">
      <c r="A750">
        <v>749</v>
      </c>
      <c r="B750">
        <v>63</v>
      </c>
      <c r="C750" t="str">
        <f t="shared" si="11"/>
        <v>(749,63),</v>
      </c>
    </row>
    <row r="751" spans="1:3" x14ac:dyDescent="0.25">
      <c r="A751">
        <v>750</v>
      </c>
      <c r="B751">
        <v>57</v>
      </c>
      <c r="C751" t="str">
        <f t="shared" si="11"/>
        <v>(750,57),</v>
      </c>
    </row>
    <row r="752" spans="1:3" x14ac:dyDescent="0.25">
      <c r="A752">
        <v>751</v>
      </c>
      <c r="B752">
        <v>55</v>
      </c>
      <c r="C752" t="str">
        <f t="shared" si="11"/>
        <v>(751,55),</v>
      </c>
    </row>
    <row r="753" spans="1:3" x14ac:dyDescent="0.25">
      <c r="A753">
        <v>752</v>
      </c>
      <c r="B753">
        <v>34</v>
      </c>
      <c r="C753" t="str">
        <f t="shared" si="11"/>
        <v>(752,34),</v>
      </c>
    </row>
    <row r="754" spans="1:3" x14ac:dyDescent="0.25">
      <c r="A754">
        <v>753</v>
      </c>
      <c r="B754">
        <v>6</v>
      </c>
      <c r="C754" t="str">
        <f t="shared" si="11"/>
        <v>(753,6),</v>
      </c>
    </row>
    <row r="755" spans="1:3" x14ac:dyDescent="0.25">
      <c r="A755">
        <v>754</v>
      </c>
      <c r="B755">
        <v>69</v>
      </c>
      <c r="C755" t="str">
        <f t="shared" si="11"/>
        <v>(754,69),</v>
      </c>
    </row>
    <row r="756" spans="1:3" x14ac:dyDescent="0.25">
      <c r="A756">
        <v>755</v>
      </c>
      <c r="B756">
        <v>5</v>
      </c>
      <c r="C756" t="str">
        <f t="shared" si="11"/>
        <v>(755,5),</v>
      </c>
    </row>
    <row r="757" spans="1:3" x14ac:dyDescent="0.25">
      <c r="A757">
        <v>756</v>
      </c>
      <c r="B757">
        <v>69</v>
      </c>
      <c r="C757" t="str">
        <f t="shared" si="11"/>
        <v>(756,69),</v>
      </c>
    </row>
    <row r="758" spans="1:3" x14ac:dyDescent="0.25">
      <c r="A758">
        <v>757</v>
      </c>
      <c r="B758">
        <v>22</v>
      </c>
      <c r="C758" t="str">
        <f t="shared" si="11"/>
        <v>(757,22),</v>
      </c>
    </row>
    <row r="759" spans="1:3" x14ac:dyDescent="0.25">
      <c r="A759">
        <v>758</v>
      </c>
      <c r="B759">
        <v>17</v>
      </c>
      <c r="C759" t="str">
        <f t="shared" si="11"/>
        <v>(758,17),</v>
      </c>
    </row>
    <row r="760" spans="1:3" x14ac:dyDescent="0.25">
      <c r="A760">
        <v>759</v>
      </c>
      <c r="B760">
        <v>50</v>
      </c>
      <c r="C760" t="str">
        <f t="shared" si="11"/>
        <v>(759,50),</v>
      </c>
    </row>
    <row r="761" spans="1:3" x14ac:dyDescent="0.25">
      <c r="A761">
        <v>760</v>
      </c>
      <c r="B761">
        <v>68</v>
      </c>
      <c r="C761" t="str">
        <f t="shared" si="11"/>
        <v>(760,68),</v>
      </c>
    </row>
    <row r="762" spans="1:3" x14ac:dyDescent="0.25">
      <c r="A762">
        <v>761</v>
      </c>
      <c r="B762">
        <v>69</v>
      </c>
      <c r="C762" t="str">
        <f t="shared" si="11"/>
        <v>(761,69),</v>
      </c>
    </row>
    <row r="763" spans="1:3" x14ac:dyDescent="0.25">
      <c r="A763">
        <v>762</v>
      </c>
      <c r="B763">
        <v>34</v>
      </c>
      <c r="C763" t="str">
        <f t="shared" si="11"/>
        <v>(762,34),</v>
      </c>
    </row>
    <row r="764" spans="1:3" x14ac:dyDescent="0.25">
      <c r="A764">
        <v>763</v>
      </c>
      <c r="B764">
        <v>34</v>
      </c>
      <c r="C764" t="str">
        <f t="shared" si="11"/>
        <v>(763,34),</v>
      </c>
    </row>
    <row r="765" spans="1:3" x14ac:dyDescent="0.25">
      <c r="A765">
        <v>764</v>
      </c>
      <c r="B765">
        <v>17</v>
      </c>
      <c r="C765" t="str">
        <f t="shared" si="11"/>
        <v>(764,17),</v>
      </c>
    </row>
    <row r="766" spans="1:3" x14ac:dyDescent="0.25">
      <c r="A766">
        <v>765</v>
      </c>
      <c r="B766">
        <v>44</v>
      </c>
      <c r="C766" t="str">
        <f t="shared" si="11"/>
        <v>(765,44),</v>
      </c>
    </row>
    <row r="767" spans="1:3" x14ac:dyDescent="0.25">
      <c r="A767">
        <v>766</v>
      </c>
      <c r="B767">
        <v>54</v>
      </c>
      <c r="C767" t="str">
        <f t="shared" si="11"/>
        <v>(766,54),</v>
      </c>
    </row>
    <row r="768" spans="1:3" x14ac:dyDescent="0.25">
      <c r="A768">
        <v>767</v>
      </c>
      <c r="B768">
        <v>55</v>
      </c>
      <c r="C768" t="str">
        <f t="shared" si="11"/>
        <v>(767,55),</v>
      </c>
    </row>
    <row r="769" spans="1:3" x14ac:dyDescent="0.25">
      <c r="A769">
        <v>768</v>
      </c>
      <c r="B769">
        <v>40</v>
      </c>
      <c r="C769" t="str">
        <f t="shared" si="11"/>
        <v>(768,40),</v>
      </c>
    </row>
    <row r="770" spans="1:3" x14ac:dyDescent="0.25">
      <c r="A770">
        <v>769</v>
      </c>
      <c r="B770">
        <v>11</v>
      </c>
      <c r="C770" t="str">
        <f t="shared" si="11"/>
        <v>(769,11),</v>
      </c>
    </row>
    <row r="771" spans="1:3" x14ac:dyDescent="0.25">
      <c r="A771">
        <v>770</v>
      </c>
      <c r="B771">
        <v>18</v>
      </c>
      <c r="C771" t="str">
        <f t="shared" ref="C771:C834" si="12">_xlfn.CONCAT("(",A771,",",B771,"),")</f>
        <v>(770,18),</v>
      </c>
    </row>
    <row r="772" spans="1:3" x14ac:dyDescent="0.25">
      <c r="A772">
        <v>771</v>
      </c>
      <c r="B772">
        <v>29</v>
      </c>
      <c r="C772" t="str">
        <f t="shared" si="12"/>
        <v>(771,29),</v>
      </c>
    </row>
    <row r="773" spans="1:3" x14ac:dyDescent="0.25">
      <c r="A773">
        <v>772</v>
      </c>
      <c r="B773">
        <v>29</v>
      </c>
      <c r="C773" t="str">
        <f t="shared" si="12"/>
        <v>(772,29),</v>
      </c>
    </row>
    <row r="774" spans="1:3" x14ac:dyDescent="0.25">
      <c r="A774">
        <v>773</v>
      </c>
      <c r="B774">
        <v>5</v>
      </c>
      <c r="C774" t="str">
        <f t="shared" si="12"/>
        <v>(773,5),</v>
      </c>
    </row>
    <row r="775" spans="1:3" x14ac:dyDescent="0.25">
      <c r="A775">
        <v>774</v>
      </c>
      <c r="B775">
        <v>68</v>
      </c>
      <c r="C775" t="str">
        <f t="shared" si="12"/>
        <v>(774,68),</v>
      </c>
    </row>
    <row r="776" spans="1:3" x14ac:dyDescent="0.25">
      <c r="A776">
        <v>775</v>
      </c>
      <c r="B776">
        <v>34</v>
      </c>
      <c r="C776" t="str">
        <f t="shared" si="12"/>
        <v>(775,34),</v>
      </c>
    </row>
    <row r="777" spans="1:3" x14ac:dyDescent="0.25">
      <c r="A777">
        <v>776</v>
      </c>
      <c r="B777">
        <v>111</v>
      </c>
      <c r="C777" t="str">
        <f t="shared" si="12"/>
        <v>(776,111),</v>
      </c>
    </row>
    <row r="778" spans="1:3" x14ac:dyDescent="0.25">
      <c r="A778">
        <v>777</v>
      </c>
      <c r="B778">
        <v>69</v>
      </c>
      <c r="C778" t="str">
        <f t="shared" si="12"/>
        <v>(777,69),</v>
      </c>
    </row>
    <row r="779" spans="1:3" x14ac:dyDescent="0.25">
      <c r="A779">
        <v>778</v>
      </c>
      <c r="B779">
        <v>69</v>
      </c>
      <c r="C779" t="str">
        <f t="shared" si="12"/>
        <v>(778,69),</v>
      </c>
    </row>
    <row r="780" spans="1:3" x14ac:dyDescent="0.25">
      <c r="A780">
        <v>779</v>
      </c>
      <c r="B780">
        <v>69</v>
      </c>
      <c r="C780" t="str">
        <f t="shared" si="12"/>
        <v>(779,69),</v>
      </c>
    </row>
    <row r="781" spans="1:3" x14ac:dyDescent="0.25">
      <c r="A781">
        <v>780</v>
      </c>
      <c r="B781">
        <v>69</v>
      </c>
      <c r="C781" t="str">
        <f t="shared" si="12"/>
        <v>(780,69),</v>
      </c>
    </row>
    <row r="782" spans="1:3" x14ac:dyDescent="0.25">
      <c r="A782">
        <v>781</v>
      </c>
      <c r="B782">
        <v>69</v>
      </c>
      <c r="C782" t="str">
        <f t="shared" si="12"/>
        <v>(781,69),</v>
      </c>
    </row>
    <row r="783" spans="1:3" x14ac:dyDescent="0.25">
      <c r="A783">
        <v>782</v>
      </c>
      <c r="B783">
        <v>69</v>
      </c>
      <c r="C783" t="str">
        <f t="shared" si="12"/>
        <v>(782,69),</v>
      </c>
    </row>
    <row r="784" spans="1:3" x14ac:dyDescent="0.25">
      <c r="A784">
        <v>783</v>
      </c>
      <c r="B784">
        <v>34</v>
      </c>
      <c r="C784" t="str">
        <f t="shared" si="12"/>
        <v>(783,34),</v>
      </c>
    </row>
    <row r="785" spans="1:3" x14ac:dyDescent="0.25">
      <c r="A785">
        <v>784</v>
      </c>
      <c r="B785">
        <v>16</v>
      </c>
      <c r="C785" t="str">
        <f t="shared" si="12"/>
        <v>(784,16),</v>
      </c>
    </row>
    <row r="786" spans="1:3" x14ac:dyDescent="0.25">
      <c r="A786">
        <v>785</v>
      </c>
      <c r="B786">
        <v>17</v>
      </c>
      <c r="C786" t="str">
        <f t="shared" si="12"/>
        <v>(785,17),</v>
      </c>
    </row>
    <row r="787" spans="1:3" x14ac:dyDescent="0.25">
      <c r="A787">
        <v>786</v>
      </c>
      <c r="B787">
        <v>17</v>
      </c>
      <c r="C787" t="str">
        <f t="shared" si="12"/>
        <v>(786,17),</v>
      </c>
    </row>
    <row r="788" spans="1:3" x14ac:dyDescent="0.25">
      <c r="A788">
        <v>787</v>
      </c>
      <c r="B788">
        <v>34</v>
      </c>
      <c r="C788" t="str">
        <f t="shared" si="12"/>
        <v>(787,34),</v>
      </c>
    </row>
    <row r="789" spans="1:3" x14ac:dyDescent="0.25">
      <c r="A789">
        <v>788</v>
      </c>
      <c r="B789">
        <v>34</v>
      </c>
      <c r="C789" t="str">
        <f t="shared" si="12"/>
        <v>(788,34),</v>
      </c>
    </row>
    <row r="790" spans="1:3" x14ac:dyDescent="0.25">
      <c r="A790">
        <v>789</v>
      </c>
      <c r="B790">
        <v>63</v>
      </c>
      <c r="C790" t="str">
        <f t="shared" si="12"/>
        <v>(789,63),</v>
      </c>
    </row>
    <row r="791" spans="1:3" x14ac:dyDescent="0.25">
      <c r="A791">
        <v>790</v>
      </c>
      <c r="B791">
        <v>69</v>
      </c>
      <c r="C791" t="str">
        <f t="shared" si="12"/>
        <v>(790,69),</v>
      </c>
    </row>
    <row r="792" spans="1:3" x14ac:dyDescent="0.25">
      <c r="A792">
        <v>791</v>
      </c>
      <c r="B792">
        <v>48</v>
      </c>
      <c r="C792" t="str">
        <f t="shared" si="12"/>
        <v>(791,48),</v>
      </c>
    </row>
    <row r="793" spans="1:3" x14ac:dyDescent="0.25">
      <c r="A793">
        <v>792</v>
      </c>
      <c r="B793">
        <v>69</v>
      </c>
      <c r="C793" t="str">
        <f t="shared" si="12"/>
        <v>(792,69),</v>
      </c>
    </row>
    <row r="794" spans="1:3" x14ac:dyDescent="0.25">
      <c r="A794">
        <v>793</v>
      </c>
      <c r="B794">
        <v>5</v>
      </c>
      <c r="C794" t="str">
        <f t="shared" si="12"/>
        <v>(793,5),</v>
      </c>
    </row>
    <row r="795" spans="1:3" x14ac:dyDescent="0.25">
      <c r="A795">
        <v>794</v>
      </c>
      <c r="B795">
        <v>58</v>
      </c>
      <c r="C795" t="str">
        <f t="shared" si="12"/>
        <v>(794,58),</v>
      </c>
    </row>
    <row r="796" spans="1:3" x14ac:dyDescent="0.25">
      <c r="A796">
        <v>795</v>
      </c>
      <c r="B796">
        <v>69</v>
      </c>
      <c r="C796" t="str">
        <f t="shared" si="12"/>
        <v>(795,69),</v>
      </c>
    </row>
    <row r="797" spans="1:3" x14ac:dyDescent="0.25">
      <c r="A797">
        <v>796</v>
      </c>
      <c r="B797">
        <v>99</v>
      </c>
      <c r="C797" t="str">
        <f t="shared" si="12"/>
        <v>(796,99),</v>
      </c>
    </row>
    <row r="798" spans="1:3" x14ac:dyDescent="0.25">
      <c r="A798">
        <v>797</v>
      </c>
      <c r="B798">
        <v>102</v>
      </c>
      <c r="C798" t="str">
        <f t="shared" si="12"/>
        <v>(797,102),</v>
      </c>
    </row>
    <row r="799" spans="1:3" x14ac:dyDescent="0.25">
      <c r="A799">
        <v>798</v>
      </c>
      <c r="B799">
        <v>99</v>
      </c>
      <c r="C799" t="str">
        <f t="shared" si="12"/>
        <v>(798,99),</v>
      </c>
    </row>
    <row r="800" spans="1:3" x14ac:dyDescent="0.25">
      <c r="A800">
        <v>799</v>
      </c>
      <c r="B800">
        <v>58</v>
      </c>
      <c r="C800" t="str">
        <f t="shared" si="12"/>
        <v>(799,58),</v>
      </c>
    </row>
    <row r="801" spans="1:3" x14ac:dyDescent="0.25">
      <c r="A801">
        <v>800</v>
      </c>
      <c r="B801">
        <v>30</v>
      </c>
      <c r="C801" t="str">
        <f t="shared" si="12"/>
        <v>(800,30),</v>
      </c>
    </row>
    <row r="802" spans="1:3" x14ac:dyDescent="0.25">
      <c r="A802">
        <v>801</v>
      </c>
      <c r="B802">
        <v>97</v>
      </c>
      <c r="C802" t="str">
        <f t="shared" si="12"/>
        <v>(801,97),</v>
      </c>
    </row>
    <row r="803" spans="1:3" x14ac:dyDescent="0.25">
      <c r="A803">
        <v>802</v>
      </c>
      <c r="B803">
        <v>58</v>
      </c>
      <c r="C803" t="str">
        <f t="shared" si="12"/>
        <v>(802,58),</v>
      </c>
    </row>
    <row r="804" spans="1:3" x14ac:dyDescent="0.25">
      <c r="A804">
        <v>803</v>
      </c>
      <c r="B804">
        <v>69</v>
      </c>
      <c r="C804" t="str">
        <f t="shared" si="12"/>
        <v>(803,69),</v>
      </c>
    </row>
    <row r="805" spans="1:3" x14ac:dyDescent="0.25">
      <c r="A805">
        <v>804</v>
      </c>
      <c r="B805">
        <v>58</v>
      </c>
      <c r="C805" t="str">
        <f t="shared" si="12"/>
        <v>(804,58),</v>
      </c>
    </row>
    <row r="806" spans="1:3" x14ac:dyDescent="0.25">
      <c r="A806">
        <v>805</v>
      </c>
      <c r="B806">
        <v>12</v>
      </c>
      <c r="C806" t="str">
        <f t="shared" si="12"/>
        <v>(805,12),</v>
      </c>
    </row>
    <row r="807" spans="1:3" x14ac:dyDescent="0.25">
      <c r="A807">
        <v>806</v>
      </c>
      <c r="B807">
        <v>69</v>
      </c>
      <c r="C807" t="str">
        <f t="shared" si="12"/>
        <v>(806,69),</v>
      </c>
    </row>
    <row r="808" spans="1:3" x14ac:dyDescent="0.25">
      <c r="A808">
        <v>807</v>
      </c>
      <c r="B808">
        <v>69</v>
      </c>
      <c r="C808" t="str">
        <f t="shared" si="12"/>
        <v>(807,69),</v>
      </c>
    </row>
    <row r="809" spans="1:3" x14ac:dyDescent="0.25">
      <c r="A809">
        <v>808</v>
      </c>
      <c r="B809">
        <v>27</v>
      </c>
      <c r="C809" t="str">
        <f t="shared" si="12"/>
        <v>(808,27),</v>
      </c>
    </row>
    <row r="810" spans="1:3" x14ac:dyDescent="0.25">
      <c r="A810">
        <v>809</v>
      </c>
      <c r="B810">
        <v>50</v>
      </c>
      <c r="C810" t="str">
        <f t="shared" si="12"/>
        <v>(809,50),</v>
      </c>
    </row>
    <row r="811" spans="1:3" x14ac:dyDescent="0.25">
      <c r="A811">
        <v>810</v>
      </c>
      <c r="B811">
        <v>17</v>
      </c>
      <c r="C811" t="str">
        <f t="shared" si="12"/>
        <v>(810,17),</v>
      </c>
    </row>
    <row r="812" spans="1:3" x14ac:dyDescent="0.25">
      <c r="A812">
        <v>811</v>
      </c>
      <c r="B812">
        <v>17</v>
      </c>
      <c r="C812" t="str">
        <f t="shared" si="12"/>
        <v>(811,17),</v>
      </c>
    </row>
    <row r="813" spans="1:3" x14ac:dyDescent="0.25">
      <c r="A813">
        <v>812</v>
      </c>
      <c r="B813">
        <v>54</v>
      </c>
      <c r="C813" t="str">
        <f t="shared" si="12"/>
        <v>(812,54),</v>
      </c>
    </row>
    <row r="814" spans="1:3" x14ac:dyDescent="0.25">
      <c r="A814">
        <v>813</v>
      </c>
      <c r="B814">
        <v>96</v>
      </c>
      <c r="C814" t="str">
        <f t="shared" si="12"/>
        <v>(813,96),</v>
      </c>
    </row>
    <row r="815" spans="1:3" x14ac:dyDescent="0.25">
      <c r="A815">
        <v>814</v>
      </c>
      <c r="B815">
        <v>69</v>
      </c>
      <c r="C815" t="str">
        <f t="shared" si="12"/>
        <v>(814,69),</v>
      </c>
    </row>
    <row r="816" spans="1:3" x14ac:dyDescent="0.25">
      <c r="A816">
        <v>815</v>
      </c>
      <c r="B816">
        <v>17</v>
      </c>
      <c r="C816" t="str">
        <f t="shared" si="12"/>
        <v>(815,17),</v>
      </c>
    </row>
    <row r="817" spans="1:3" x14ac:dyDescent="0.25">
      <c r="A817">
        <v>816</v>
      </c>
      <c r="B817">
        <v>69</v>
      </c>
      <c r="C817" t="str">
        <f t="shared" si="12"/>
        <v>(816,69),</v>
      </c>
    </row>
    <row r="818" spans="1:3" x14ac:dyDescent="0.25">
      <c r="A818">
        <v>817</v>
      </c>
      <c r="B818">
        <v>63</v>
      </c>
      <c r="C818" t="str">
        <f t="shared" si="12"/>
        <v>(817,63),</v>
      </c>
    </row>
    <row r="819" spans="1:3" x14ac:dyDescent="0.25">
      <c r="A819">
        <v>818</v>
      </c>
      <c r="B819">
        <v>44</v>
      </c>
      <c r="C819" t="str">
        <f t="shared" si="12"/>
        <v>(818,44),</v>
      </c>
    </row>
    <row r="820" spans="1:3" x14ac:dyDescent="0.25">
      <c r="A820">
        <v>819</v>
      </c>
      <c r="B820">
        <v>112</v>
      </c>
      <c r="C820" t="str">
        <f t="shared" si="12"/>
        <v>(819,112),</v>
      </c>
    </row>
    <row r="821" spans="1:3" x14ac:dyDescent="0.25">
      <c r="A821">
        <v>820</v>
      </c>
      <c r="B821">
        <v>69</v>
      </c>
      <c r="C821" t="str">
        <f t="shared" si="12"/>
        <v>(820,69),</v>
      </c>
    </row>
    <row r="822" spans="1:3" x14ac:dyDescent="0.25">
      <c r="A822">
        <v>821</v>
      </c>
      <c r="B822">
        <v>85</v>
      </c>
      <c r="C822" t="str">
        <f t="shared" si="12"/>
        <v>(821,85),</v>
      </c>
    </row>
    <row r="823" spans="1:3" x14ac:dyDescent="0.25">
      <c r="A823">
        <v>822</v>
      </c>
      <c r="B823">
        <v>26</v>
      </c>
      <c r="C823" t="str">
        <f t="shared" si="12"/>
        <v>(822,26),</v>
      </c>
    </row>
    <row r="824" spans="1:3" x14ac:dyDescent="0.25">
      <c r="A824">
        <v>823</v>
      </c>
      <c r="B824">
        <v>17</v>
      </c>
      <c r="C824" t="str">
        <f t="shared" si="12"/>
        <v>(823,17),</v>
      </c>
    </row>
    <row r="825" spans="1:3" x14ac:dyDescent="0.25">
      <c r="A825">
        <v>824</v>
      </c>
      <c r="B825">
        <v>88</v>
      </c>
      <c r="C825" t="str">
        <f t="shared" si="12"/>
        <v>(824,88),</v>
      </c>
    </row>
    <row r="826" spans="1:3" x14ac:dyDescent="0.25">
      <c r="A826">
        <v>825</v>
      </c>
      <c r="B826">
        <v>106</v>
      </c>
      <c r="C826" t="str">
        <f t="shared" si="12"/>
        <v>(825,106),</v>
      </c>
    </row>
    <row r="827" spans="1:3" x14ac:dyDescent="0.25">
      <c r="A827">
        <v>826</v>
      </c>
      <c r="B827">
        <v>88</v>
      </c>
      <c r="C827" t="str">
        <f t="shared" si="12"/>
        <v>(826,88),</v>
      </c>
    </row>
    <row r="828" spans="1:3" x14ac:dyDescent="0.25">
      <c r="A828">
        <v>827</v>
      </c>
      <c r="B828">
        <v>85</v>
      </c>
      <c r="C828" t="str">
        <f t="shared" si="12"/>
        <v>(827,85),</v>
      </c>
    </row>
    <row r="829" spans="1:3" x14ac:dyDescent="0.25">
      <c r="A829">
        <v>828</v>
      </c>
      <c r="B829">
        <v>50</v>
      </c>
      <c r="C829" t="str">
        <f t="shared" si="12"/>
        <v>(828,50),</v>
      </c>
    </row>
    <row r="830" spans="1:3" x14ac:dyDescent="0.25">
      <c r="A830">
        <v>829</v>
      </c>
      <c r="B830">
        <v>17</v>
      </c>
      <c r="C830" t="str">
        <f t="shared" si="12"/>
        <v>(829,17),</v>
      </c>
    </row>
    <row r="831" spans="1:3" x14ac:dyDescent="0.25">
      <c r="A831">
        <v>830</v>
      </c>
      <c r="B831">
        <v>1</v>
      </c>
      <c r="C831" t="str">
        <f t="shared" si="12"/>
        <v>(830,1),</v>
      </c>
    </row>
    <row r="832" spans="1:3" x14ac:dyDescent="0.25">
      <c r="A832">
        <v>831</v>
      </c>
      <c r="B832">
        <v>22</v>
      </c>
      <c r="C832" t="str">
        <f t="shared" si="12"/>
        <v>(831,22),</v>
      </c>
    </row>
    <row r="833" spans="1:3" x14ac:dyDescent="0.25">
      <c r="A833">
        <v>832</v>
      </c>
      <c r="B833">
        <v>1</v>
      </c>
      <c r="C833" t="str">
        <f t="shared" si="12"/>
        <v>(832,1),</v>
      </c>
    </row>
    <row r="834" spans="1:3" x14ac:dyDescent="0.25">
      <c r="A834">
        <v>833</v>
      </c>
      <c r="B834">
        <v>25</v>
      </c>
      <c r="C834" t="str">
        <f t="shared" si="12"/>
        <v>(833,25),</v>
      </c>
    </row>
    <row r="835" spans="1:3" x14ac:dyDescent="0.25">
      <c r="A835">
        <v>834</v>
      </c>
      <c r="B835">
        <v>8</v>
      </c>
      <c r="C835" t="str">
        <f t="shared" ref="C835:C898" si="13">_xlfn.CONCAT("(",A835,",",B835,"),")</f>
        <v>(834,8),</v>
      </c>
    </row>
    <row r="836" spans="1:3" x14ac:dyDescent="0.25">
      <c r="A836">
        <v>835</v>
      </c>
      <c r="B836">
        <v>18</v>
      </c>
      <c r="C836" t="str">
        <f t="shared" si="13"/>
        <v>(835,18),</v>
      </c>
    </row>
    <row r="837" spans="1:3" x14ac:dyDescent="0.25">
      <c r="A837">
        <v>836</v>
      </c>
      <c r="B837">
        <v>13</v>
      </c>
      <c r="C837" t="str">
        <f t="shared" si="13"/>
        <v>(836,13),</v>
      </c>
    </row>
    <row r="838" spans="1:3" x14ac:dyDescent="0.25">
      <c r="A838">
        <v>837</v>
      </c>
      <c r="B838">
        <v>5</v>
      </c>
      <c r="C838" t="str">
        <f t="shared" si="13"/>
        <v>(837,5),</v>
      </c>
    </row>
    <row r="839" spans="1:3" x14ac:dyDescent="0.25">
      <c r="A839">
        <v>838</v>
      </c>
      <c r="B839">
        <v>34</v>
      </c>
      <c r="C839" t="str">
        <f t="shared" si="13"/>
        <v>(838,34),</v>
      </c>
    </row>
    <row r="840" spans="1:3" x14ac:dyDescent="0.25">
      <c r="A840">
        <v>839</v>
      </c>
      <c r="B840">
        <v>69</v>
      </c>
      <c r="C840" t="str">
        <f t="shared" si="13"/>
        <v>(839,69),</v>
      </c>
    </row>
    <row r="841" spans="1:3" x14ac:dyDescent="0.25">
      <c r="A841">
        <v>840</v>
      </c>
      <c r="B841">
        <v>17</v>
      </c>
      <c r="C841" t="str">
        <f t="shared" si="13"/>
        <v>(840,17),</v>
      </c>
    </row>
    <row r="842" spans="1:3" x14ac:dyDescent="0.25">
      <c r="A842">
        <v>841</v>
      </c>
      <c r="B842">
        <v>17</v>
      </c>
      <c r="C842" t="str">
        <f t="shared" si="13"/>
        <v>(841,17),</v>
      </c>
    </row>
    <row r="843" spans="1:3" x14ac:dyDescent="0.25">
      <c r="A843">
        <v>842</v>
      </c>
      <c r="B843">
        <v>17</v>
      </c>
      <c r="C843" t="str">
        <f t="shared" si="13"/>
        <v>(842,17),</v>
      </c>
    </row>
    <row r="844" spans="1:3" x14ac:dyDescent="0.25">
      <c r="A844">
        <v>843</v>
      </c>
      <c r="B844">
        <v>69</v>
      </c>
      <c r="C844" t="str">
        <f t="shared" si="13"/>
        <v>(843,69),</v>
      </c>
    </row>
    <row r="845" spans="1:3" x14ac:dyDescent="0.25">
      <c r="A845">
        <v>844</v>
      </c>
      <c r="B845">
        <v>53</v>
      </c>
      <c r="C845" t="str">
        <f t="shared" si="13"/>
        <v>(844,53),</v>
      </c>
    </row>
    <row r="846" spans="1:3" x14ac:dyDescent="0.25">
      <c r="A846">
        <v>845</v>
      </c>
      <c r="B846">
        <v>17</v>
      </c>
      <c r="C846" t="str">
        <f t="shared" si="13"/>
        <v>(845,17),</v>
      </c>
    </row>
    <row r="847" spans="1:3" x14ac:dyDescent="0.25">
      <c r="A847">
        <v>846</v>
      </c>
      <c r="B847">
        <v>13</v>
      </c>
      <c r="C847" t="str">
        <f t="shared" si="13"/>
        <v>(846,13),</v>
      </c>
    </row>
    <row r="848" spans="1:3" x14ac:dyDescent="0.25">
      <c r="A848">
        <v>847</v>
      </c>
      <c r="B848">
        <v>17</v>
      </c>
      <c r="C848" t="str">
        <f t="shared" si="13"/>
        <v>(847,17),</v>
      </c>
    </row>
    <row r="849" spans="1:3" x14ac:dyDescent="0.25">
      <c r="A849">
        <v>848</v>
      </c>
      <c r="B849">
        <v>54</v>
      </c>
      <c r="C849" t="str">
        <f t="shared" si="13"/>
        <v>(848,54),</v>
      </c>
    </row>
    <row r="850" spans="1:3" x14ac:dyDescent="0.25">
      <c r="A850">
        <v>849</v>
      </c>
      <c r="B850">
        <v>50</v>
      </c>
      <c r="C850" t="str">
        <f t="shared" si="13"/>
        <v>(849,50),</v>
      </c>
    </row>
    <row r="851" spans="1:3" x14ac:dyDescent="0.25">
      <c r="A851">
        <v>850</v>
      </c>
      <c r="B851">
        <v>44</v>
      </c>
      <c r="C851" t="str">
        <f t="shared" si="13"/>
        <v>(850,44),</v>
      </c>
    </row>
    <row r="852" spans="1:3" x14ac:dyDescent="0.25">
      <c r="A852">
        <v>851</v>
      </c>
      <c r="B852">
        <v>44</v>
      </c>
      <c r="C852" t="str">
        <f t="shared" si="13"/>
        <v>(851,44),</v>
      </c>
    </row>
    <row r="853" spans="1:3" x14ac:dyDescent="0.25">
      <c r="A853">
        <v>852</v>
      </c>
      <c r="B853">
        <v>17</v>
      </c>
      <c r="C853" t="str">
        <f t="shared" si="13"/>
        <v>(852,17),</v>
      </c>
    </row>
    <row r="854" spans="1:3" x14ac:dyDescent="0.25">
      <c r="A854">
        <v>853</v>
      </c>
      <c r="B854">
        <v>69</v>
      </c>
      <c r="C854" t="str">
        <f t="shared" si="13"/>
        <v>(853,69),</v>
      </c>
    </row>
    <row r="855" spans="1:3" x14ac:dyDescent="0.25">
      <c r="A855">
        <v>854</v>
      </c>
      <c r="B855">
        <v>34</v>
      </c>
      <c r="C855" t="str">
        <f t="shared" si="13"/>
        <v>(854,34),</v>
      </c>
    </row>
    <row r="856" spans="1:3" x14ac:dyDescent="0.25">
      <c r="A856">
        <v>855</v>
      </c>
      <c r="B856">
        <v>34</v>
      </c>
      <c r="C856" t="str">
        <f t="shared" si="13"/>
        <v>(855,34),</v>
      </c>
    </row>
    <row r="857" spans="1:3" x14ac:dyDescent="0.25">
      <c r="A857">
        <v>856</v>
      </c>
      <c r="B857">
        <v>55</v>
      </c>
      <c r="C857" t="str">
        <f t="shared" si="13"/>
        <v>(856,55),</v>
      </c>
    </row>
    <row r="858" spans="1:3" x14ac:dyDescent="0.25">
      <c r="A858">
        <v>857</v>
      </c>
      <c r="B858">
        <v>17</v>
      </c>
      <c r="C858" t="str">
        <f t="shared" si="13"/>
        <v>(857,17),</v>
      </c>
    </row>
    <row r="859" spans="1:3" x14ac:dyDescent="0.25">
      <c r="A859">
        <v>858</v>
      </c>
      <c r="B859">
        <v>5</v>
      </c>
      <c r="C859" t="str">
        <f t="shared" si="13"/>
        <v>(858,5),</v>
      </c>
    </row>
    <row r="860" spans="1:3" x14ac:dyDescent="0.25">
      <c r="A860">
        <v>859</v>
      </c>
      <c r="B860">
        <v>13</v>
      </c>
      <c r="C860" t="str">
        <f t="shared" si="13"/>
        <v>(859,13),</v>
      </c>
    </row>
    <row r="861" spans="1:3" x14ac:dyDescent="0.25">
      <c r="A861">
        <v>860</v>
      </c>
      <c r="B861">
        <v>15</v>
      </c>
      <c r="C861" t="str">
        <f t="shared" si="13"/>
        <v>(860,15),</v>
      </c>
    </row>
    <row r="862" spans="1:3" x14ac:dyDescent="0.25">
      <c r="A862">
        <v>861</v>
      </c>
      <c r="B862">
        <v>48</v>
      </c>
      <c r="C862" t="str">
        <f t="shared" si="13"/>
        <v>(861,48),</v>
      </c>
    </row>
    <row r="863" spans="1:3" x14ac:dyDescent="0.25">
      <c r="A863">
        <v>862</v>
      </c>
      <c r="B863">
        <v>92</v>
      </c>
      <c r="C863" t="str">
        <f t="shared" si="13"/>
        <v>(862,92),</v>
      </c>
    </row>
    <row r="864" spans="1:3" x14ac:dyDescent="0.25">
      <c r="A864">
        <v>863</v>
      </c>
      <c r="B864">
        <v>112</v>
      </c>
      <c r="C864" t="str">
        <f t="shared" si="13"/>
        <v>(863,112),</v>
      </c>
    </row>
    <row r="865" spans="1:3" x14ac:dyDescent="0.25">
      <c r="A865">
        <v>864</v>
      </c>
      <c r="B865">
        <v>36</v>
      </c>
      <c r="C865" t="str">
        <f t="shared" si="13"/>
        <v>(864,36),</v>
      </c>
    </row>
    <row r="866" spans="1:3" x14ac:dyDescent="0.25">
      <c r="A866">
        <v>865</v>
      </c>
      <c r="B866">
        <v>35</v>
      </c>
      <c r="C866" t="str">
        <f t="shared" si="13"/>
        <v>(865,35),</v>
      </c>
    </row>
    <row r="867" spans="1:3" x14ac:dyDescent="0.25">
      <c r="A867">
        <v>866</v>
      </c>
      <c r="B867">
        <v>36</v>
      </c>
      <c r="C867" t="str">
        <f t="shared" si="13"/>
        <v>(866,36),</v>
      </c>
    </row>
    <row r="868" spans="1:3" x14ac:dyDescent="0.25">
      <c r="A868">
        <v>867</v>
      </c>
      <c r="B868">
        <v>36</v>
      </c>
      <c r="C868" t="str">
        <f t="shared" si="13"/>
        <v>(867,36),</v>
      </c>
    </row>
    <row r="869" spans="1:3" x14ac:dyDescent="0.25">
      <c r="A869">
        <v>868</v>
      </c>
      <c r="B869">
        <v>9</v>
      </c>
      <c r="C869" t="str">
        <f t="shared" si="13"/>
        <v>(868,9),</v>
      </c>
    </row>
    <row r="870" spans="1:3" x14ac:dyDescent="0.25">
      <c r="A870">
        <v>869</v>
      </c>
      <c r="B870">
        <v>10</v>
      </c>
      <c r="C870" t="str">
        <f t="shared" si="13"/>
        <v>(869,10),</v>
      </c>
    </row>
    <row r="871" spans="1:3" x14ac:dyDescent="0.25">
      <c r="A871">
        <v>870</v>
      </c>
      <c r="B871">
        <v>13</v>
      </c>
      <c r="C871" t="str">
        <f t="shared" si="13"/>
        <v>(870,13),</v>
      </c>
    </row>
    <row r="872" spans="1:3" x14ac:dyDescent="0.25">
      <c r="A872">
        <v>871</v>
      </c>
      <c r="B872">
        <v>18</v>
      </c>
      <c r="C872" t="str">
        <f t="shared" si="13"/>
        <v>(871,18),</v>
      </c>
    </row>
    <row r="873" spans="1:3" x14ac:dyDescent="0.25">
      <c r="A873">
        <v>872</v>
      </c>
      <c r="B873">
        <v>69</v>
      </c>
      <c r="C873" t="str">
        <f t="shared" si="13"/>
        <v>(872,69),</v>
      </c>
    </row>
    <row r="874" spans="1:3" x14ac:dyDescent="0.25">
      <c r="A874">
        <v>873</v>
      </c>
      <c r="B874">
        <v>35</v>
      </c>
      <c r="C874" t="str">
        <f t="shared" si="13"/>
        <v>(873,35),</v>
      </c>
    </row>
    <row r="875" spans="1:3" x14ac:dyDescent="0.25">
      <c r="A875">
        <v>874</v>
      </c>
      <c r="B875">
        <v>58</v>
      </c>
      <c r="C875" t="str">
        <f t="shared" si="13"/>
        <v>(874,58),</v>
      </c>
    </row>
    <row r="876" spans="1:3" x14ac:dyDescent="0.25">
      <c r="A876">
        <v>875</v>
      </c>
      <c r="B876">
        <v>5</v>
      </c>
      <c r="C876" t="str">
        <f t="shared" si="13"/>
        <v>(875,5),</v>
      </c>
    </row>
    <row r="877" spans="1:3" x14ac:dyDescent="0.25">
      <c r="A877">
        <v>876</v>
      </c>
      <c r="B877">
        <v>75</v>
      </c>
      <c r="C877" t="str">
        <f t="shared" si="13"/>
        <v>(876,75),</v>
      </c>
    </row>
    <row r="878" spans="1:3" x14ac:dyDescent="0.25">
      <c r="A878">
        <v>877</v>
      </c>
      <c r="B878">
        <v>69</v>
      </c>
      <c r="C878" t="str">
        <f t="shared" si="13"/>
        <v>(877,69),</v>
      </c>
    </row>
    <row r="879" spans="1:3" x14ac:dyDescent="0.25">
      <c r="A879">
        <v>878</v>
      </c>
      <c r="B879">
        <v>69</v>
      </c>
      <c r="C879" t="str">
        <f t="shared" si="13"/>
        <v>(878,69),</v>
      </c>
    </row>
    <row r="880" spans="1:3" x14ac:dyDescent="0.25">
      <c r="A880">
        <v>879</v>
      </c>
      <c r="B880">
        <v>8</v>
      </c>
      <c r="C880" t="str">
        <f t="shared" si="13"/>
        <v>(879,8),</v>
      </c>
    </row>
    <row r="881" spans="1:3" x14ac:dyDescent="0.25">
      <c r="A881">
        <v>880</v>
      </c>
      <c r="B881">
        <v>36</v>
      </c>
      <c r="C881" t="str">
        <f t="shared" si="13"/>
        <v>(880,36),</v>
      </c>
    </row>
    <row r="882" spans="1:3" x14ac:dyDescent="0.25">
      <c r="A882">
        <v>881</v>
      </c>
      <c r="B882">
        <v>17</v>
      </c>
      <c r="C882" t="str">
        <f t="shared" si="13"/>
        <v>(881,17),</v>
      </c>
    </row>
    <row r="883" spans="1:3" x14ac:dyDescent="0.25">
      <c r="A883">
        <v>882</v>
      </c>
      <c r="B883">
        <v>13</v>
      </c>
      <c r="C883" t="str">
        <f t="shared" si="13"/>
        <v>(882,13),</v>
      </c>
    </row>
    <row r="884" spans="1:3" x14ac:dyDescent="0.25">
      <c r="A884">
        <v>883</v>
      </c>
      <c r="B884">
        <v>111</v>
      </c>
      <c r="C884" t="str">
        <f t="shared" si="13"/>
        <v>(883,111),</v>
      </c>
    </row>
    <row r="885" spans="1:3" x14ac:dyDescent="0.25">
      <c r="A885">
        <v>884</v>
      </c>
      <c r="B885">
        <v>54</v>
      </c>
      <c r="C885" t="str">
        <f t="shared" si="13"/>
        <v>(884,54),</v>
      </c>
    </row>
    <row r="886" spans="1:3" x14ac:dyDescent="0.25">
      <c r="A886">
        <v>885</v>
      </c>
      <c r="B886">
        <v>26</v>
      </c>
      <c r="C886" t="str">
        <f t="shared" si="13"/>
        <v>(885,26),</v>
      </c>
    </row>
    <row r="887" spans="1:3" x14ac:dyDescent="0.25">
      <c r="A887">
        <v>886</v>
      </c>
      <c r="B887">
        <v>34</v>
      </c>
      <c r="C887" t="str">
        <f t="shared" si="13"/>
        <v>(886,34),</v>
      </c>
    </row>
    <row r="888" spans="1:3" x14ac:dyDescent="0.25">
      <c r="A888">
        <v>887</v>
      </c>
      <c r="B888">
        <v>74</v>
      </c>
      <c r="C888" t="str">
        <f t="shared" si="13"/>
        <v>(887,74),</v>
      </c>
    </row>
    <row r="889" spans="1:3" x14ac:dyDescent="0.25">
      <c r="A889">
        <v>888</v>
      </c>
      <c r="B889">
        <v>8</v>
      </c>
      <c r="C889" t="str">
        <f t="shared" si="13"/>
        <v>(888,8),</v>
      </c>
    </row>
    <row r="890" spans="1:3" x14ac:dyDescent="0.25">
      <c r="A890">
        <v>889</v>
      </c>
      <c r="B890">
        <v>68</v>
      </c>
      <c r="C890" t="str">
        <f t="shared" si="13"/>
        <v>(889,68),</v>
      </c>
    </row>
    <row r="891" spans="1:3" x14ac:dyDescent="0.25">
      <c r="A891">
        <v>890</v>
      </c>
      <c r="B891">
        <v>39</v>
      </c>
      <c r="C891" t="str">
        <f t="shared" si="13"/>
        <v>(890,39),</v>
      </c>
    </row>
    <row r="892" spans="1:3" x14ac:dyDescent="0.25">
      <c r="A892">
        <v>891</v>
      </c>
      <c r="B892">
        <v>26</v>
      </c>
      <c r="C892" t="str">
        <f t="shared" si="13"/>
        <v>(891,26),</v>
      </c>
    </row>
    <row r="893" spans="1:3" x14ac:dyDescent="0.25">
      <c r="A893">
        <v>892</v>
      </c>
      <c r="B893">
        <v>50</v>
      </c>
      <c r="C893" t="str">
        <f t="shared" si="13"/>
        <v>(892,50),</v>
      </c>
    </row>
    <row r="894" spans="1:3" x14ac:dyDescent="0.25">
      <c r="A894">
        <v>893</v>
      </c>
      <c r="B894">
        <v>67</v>
      </c>
      <c r="C894" t="str">
        <f t="shared" si="13"/>
        <v>(893,67),</v>
      </c>
    </row>
    <row r="895" spans="1:3" x14ac:dyDescent="0.25">
      <c r="A895">
        <v>894</v>
      </c>
      <c r="B895">
        <v>46</v>
      </c>
      <c r="C895" t="str">
        <f t="shared" si="13"/>
        <v>(894,46),</v>
      </c>
    </row>
    <row r="896" spans="1:3" x14ac:dyDescent="0.25">
      <c r="A896">
        <v>895</v>
      </c>
      <c r="B896">
        <v>34</v>
      </c>
      <c r="C896" t="str">
        <f t="shared" si="13"/>
        <v>(895,34),</v>
      </c>
    </row>
    <row r="897" spans="1:3" x14ac:dyDescent="0.25">
      <c r="A897">
        <v>896</v>
      </c>
      <c r="B897">
        <v>34</v>
      </c>
      <c r="C897" t="str">
        <f t="shared" si="13"/>
        <v>(896,34),</v>
      </c>
    </row>
    <row r="898" spans="1:3" x14ac:dyDescent="0.25">
      <c r="A898">
        <v>897</v>
      </c>
      <c r="B898">
        <v>63</v>
      </c>
      <c r="C898" t="str">
        <f t="shared" si="13"/>
        <v>(897,63),</v>
      </c>
    </row>
    <row r="899" spans="1:3" x14ac:dyDescent="0.25">
      <c r="A899">
        <v>898</v>
      </c>
      <c r="B899">
        <v>22</v>
      </c>
      <c r="C899" t="str">
        <f t="shared" ref="C899:C930" si="14">_xlfn.CONCAT("(",A899,",",B899,"),")</f>
        <v>(898,22),</v>
      </c>
    </row>
    <row r="900" spans="1:3" x14ac:dyDescent="0.25">
      <c r="A900">
        <v>899</v>
      </c>
      <c r="B900">
        <v>26</v>
      </c>
      <c r="C900" t="str">
        <f t="shared" si="14"/>
        <v>(899,26),</v>
      </c>
    </row>
    <row r="901" spans="1:3" x14ac:dyDescent="0.25">
      <c r="A901">
        <v>900</v>
      </c>
      <c r="B901">
        <v>24</v>
      </c>
      <c r="C901" t="str">
        <f t="shared" si="14"/>
        <v>(900,24),</v>
      </c>
    </row>
    <row r="902" spans="1:3" x14ac:dyDescent="0.25">
      <c r="A902">
        <v>901</v>
      </c>
      <c r="B902">
        <v>83</v>
      </c>
      <c r="C902" t="str">
        <f t="shared" si="14"/>
        <v>(901,83),</v>
      </c>
    </row>
    <row r="903" spans="1:3" x14ac:dyDescent="0.25">
      <c r="A903">
        <v>902</v>
      </c>
      <c r="B903">
        <v>69</v>
      </c>
      <c r="C903" t="str">
        <f t="shared" si="14"/>
        <v>(902,69),</v>
      </c>
    </row>
    <row r="904" spans="1:3" x14ac:dyDescent="0.25">
      <c r="A904">
        <v>903</v>
      </c>
      <c r="B904">
        <v>68</v>
      </c>
      <c r="C904" t="str">
        <f t="shared" si="14"/>
        <v>(903,68),</v>
      </c>
    </row>
    <row r="905" spans="1:3" x14ac:dyDescent="0.25">
      <c r="A905">
        <v>904</v>
      </c>
      <c r="B905">
        <v>53</v>
      </c>
      <c r="C905" t="str">
        <f t="shared" si="14"/>
        <v>(904,53),</v>
      </c>
    </row>
    <row r="906" spans="1:3" x14ac:dyDescent="0.25">
      <c r="A906">
        <v>905</v>
      </c>
      <c r="B906">
        <v>17</v>
      </c>
      <c r="C906" t="str">
        <f t="shared" si="14"/>
        <v>(905,17),</v>
      </c>
    </row>
    <row r="907" spans="1:3" x14ac:dyDescent="0.25">
      <c r="A907">
        <v>906</v>
      </c>
      <c r="B907">
        <v>41</v>
      </c>
      <c r="C907" t="str">
        <f t="shared" si="14"/>
        <v>(906,41),</v>
      </c>
    </row>
    <row r="908" spans="1:3" x14ac:dyDescent="0.25">
      <c r="A908">
        <v>907</v>
      </c>
      <c r="B908">
        <v>26</v>
      </c>
      <c r="C908" t="str">
        <f t="shared" si="14"/>
        <v>(907,26),</v>
      </c>
    </row>
    <row r="909" spans="1:3" x14ac:dyDescent="0.25">
      <c r="A909">
        <v>908</v>
      </c>
      <c r="B909">
        <v>69</v>
      </c>
      <c r="C909" t="str">
        <f t="shared" si="14"/>
        <v>(908,69),</v>
      </c>
    </row>
    <row r="910" spans="1:3" x14ac:dyDescent="0.25">
      <c r="A910">
        <v>909</v>
      </c>
      <c r="B910">
        <v>90</v>
      </c>
      <c r="C910" t="str">
        <f t="shared" si="14"/>
        <v>(909,90),</v>
      </c>
    </row>
    <row r="911" spans="1:3" x14ac:dyDescent="0.25">
      <c r="A911">
        <v>910</v>
      </c>
      <c r="B911">
        <v>8</v>
      </c>
      <c r="C911" t="str">
        <f t="shared" si="14"/>
        <v>(910,8),</v>
      </c>
    </row>
    <row r="912" spans="1:3" x14ac:dyDescent="0.25">
      <c r="A912">
        <v>911</v>
      </c>
      <c r="B912">
        <v>8</v>
      </c>
      <c r="C912" t="str">
        <f t="shared" si="14"/>
        <v>(911,8),</v>
      </c>
    </row>
    <row r="913" spans="1:3" x14ac:dyDescent="0.25">
      <c r="A913">
        <v>912</v>
      </c>
      <c r="B913">
        <v>40</v>
      </c>
      <c r="C913" t="str">
        <f t="shared" si="14"/>
        <v>(912,40),</v>
      </c>
    </row>
    <row r="914" spans="1:3" x14ac:dyDescent="0.25">
      <c r="A914">
        <v>913</v>
      </c>
      <c r="B914">
        <v>58</v>
      </c>
      <c r="C914" t="str">
        <f t="shared" si="14"/>
        <v>(913,58),</v>
      </c>
    </row>
    <row r="915" spans="1:3" x14ac:dyDescent="0.25">
      <c r="A915">
        <v>914</v>
      </c>
      <c r="B915">
        <v>58</v>
      </c>
      <c r="C915" t="str">
        <f t="shared" si="14"/>
        <v>(914,58),</v>
      </c>
    </row>
    <row r="916" spans="1:3" x14ac:dyDescent="0.25">
      <c r="A916">
        <v>915</v>
      </c>
      <c r="B916">
        <v>41</v>
      </c>
      <c r="C916" t="str">
        <f t="shared" si="14"/>
        <v>(915,41),</v>
      </c>
    </row>
    <row r="917" spans="1:3" x14ac:dyDescent="0.25">
      <c r="A917">
        <v>916</v>
      </c>
      <c r="B917">
        <v>34</v>
      </c>
      <c r="C917" t="str">
        <f t="shared" si="14"/>
        <v>(916,34),</v>
      </c>
    </row>
    <row r="918" spans="1:3" x14ac:dyDescent="0.25">
      <c r="A918">
        <v>917</v>
      </c>
      <c r="B918">
        <v>16</v>
      </c>
      <c r="C918" t="str">
        <f t="shared" si="14"/>
        <v>(917,16),</v>
      </c>
    </row>
    <row r="919" spans="1:3" x14ac:dyDescent="0.25">
      <c r="A919">
        <v>918</v>
      </c>
      <c r="B919">
        <v>106</v>
      </c>
      <c r="C919" t="str">
        <f t="shared" si="14"/>
        <v>(918,106),</v>
      </c>
    </row>
    <row r="920" spans="1:3" x14ac:dyDescent="0.25">
      <c r="A920">
        <v>919</v>
      </c>
      <c r="B920">
        <v>6</v>
      </c>
      <c r="C920" t="str">
        <f t="shared" si="14"/>
        <v>(919,6),</v>
      </c>
    </row>
    <row r="921" spans="1:3" x14ac:dyDescent="0.25">
      <c r="A921">
        <v>920</v>
      </c>
      <c r="B921">
        <v>53</v>
      </c>
      <c r="C921" t="str">
        <f t="shared" si="14"/>
        <v>(920,53),</v>
      </c>
    </row>
    <row r="922" spans="1:3" x14ac:dyDescent="0.25">
      <c r="A922">
        <v>921</v>
      </c>
      <c r="B922">
        <v>8</v>
      </c>
      <c r="C922" t="str">
        <f t="shared" si="14"/>
        <v>(921,8),</v>
      </c>
    </row>
    <row r="923" spans="1:3" x14ac:dyDescent="0.25">
      <c r="A923">
        <v>922</v>
      </c>
      <c r="B923">
        <v>69</v>
      </c>
      <c r="C923" t="str">
        <f t="shared" si="14"/>
        <v>(922,69),</v>
      </c>
    </row>
    <row r="924" spans="1:3" x14ac:dyDescent="0.25">
      <c r="A924">
        <v>923</v>
      </c>
      <c r="B924">
        <v>58</v>
      </c>
      <c r="C924" t="str">
        <f t="shared" si="14"/>
        <v>(923,58),</v>
      </c>
    </row>
    <row r="925" spans="1:3" x14ac:dyDescent="0.25">
      <c r="A925">
        <v>924</v>
      </c>
      <c r="B925">
        <v>40</v>
      </c>
      <c r="C925" t="str">
        <f t="shared" si="14"/>
        <v>(924,40),</v>
      </c>
    </row>
    <row r="926" spans="1:3" x14ac:dyDescent="0.25">
      <c r="A926">
        <v>925</v>
      </c>
      <c r="B926">
        <v>96</v>
      </c>
      <c r="C926" t="str">
        <f t="shared" si="14"/>
        <v>(925,96),</v>
      </c>
    </row>
    <row r="927" spans="1:3" x14ac:dyDescent="0.25">
      <c r="A927">
        <v>926</v>
      </c>
      <c r="B927">
        <v>39</v>
      </c>
      <c r="C927" t="str">
        <f t="shared" si="14"/>
        <v>(926,39),</v>
      </c>
    </row>
    <row r="928" spans="1:3" x14ac:dyDescent="0.25">
      <c r="A928">
        <v>927</v>
      </c>
      <c r="B928">
        <v>97</v>
      </c>
      <c r="C928" t="str">
        <f t="shared" si="14"/>
        <v>(927,97),</v>
      </c>
    </row>
    <row r="929" spans="1:3" x14ac:dyDescent="0.25">
      <c r="A929">
        <v>222</v>
      </c>
      <c r="B929">
        <v>31</v>
      </c>
      <c r="C929" t="str">
        <f t="shared" si="14"/>
        <v>(222,31),</v>
      </c>
    </row>
    <row r="930" spans="1:3" x14ac:dyDescent="0.25">
      <c r="A930">
        <v>222</v>
      </c>
      <c r="B930">
        <v>57</v>
      </c>
      <c r="C930" t="str">
        <f t="shared" si="14"/>
        <v>(222,57),</v>
      </c>
    </row>
  </sheetData>
  <autoFilter ref="A1:B930" xr:uid="{34D921F4-0B5F-4C6C-B79D-F5A4FB389114}"/>
  <conditionalFormatting sqref="B1:B1048576">
    <cfRule type="duplicateValues" dxfId="3" priority="1"/>
  </conditionalFormatting>
  <conditionalFormatting sqref="C1:C1048576">
    <cfRule type="duplicateValues" dxfId="2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A110-897D-40E3-A8BC-6E511AB76F50}">
  <dimension ref="A1:O928"/>
  <sheetViews>
    <sheetView topLeftCell="I1" zoomScale="90" zoomScaleNormal="90" workbookViewId="0">
      <selection activeCell="O1" sqref="O1"/>
    </sheetView>
  </sheetViews>
  <sheetFormatPr baseColWidth="10" defaultRowHeight="15" x14ac:dyDescent="0.25"/>
  <cols>
    <col min="1" max="1" width="15.42578125" bestFit="1" customWidth="1"/>
    <col min="2" max="2" width="15.7109375" bestFit="1" customWidth="1"/>
    <col min="3" max="3" width="12.140625" bestFit="1" customWidth="1"/>
    <col min="4" max="4" width="14.85546875" bestFit="1" customWidth="1"/>
    <col min="5" max="5" width="13" bestFit="1" customWidth="1"/>
    <col min="6" max="6" width="15.28515625" bestFit="1" customWidth="1"/>
    <col min="7" max="7" width="19.5703125" bestFit="1" customWidth="1"/>
    <col min="8" max="8" width="16.42578125" bestFit="1" customWidth="1"/>
    <col min="9" max="9" width="21.28515625" bestFit="1" customWidth="1"/>
    <col min="10" max="10" width="45" bestFit="1" customWidth="1"/>
    <col min="11" max="11" width="17.140625" style="5" bestFit="1" customWidth="1"/>
    <col min="12" max="12" width="16.140625" style="5" bestFit="1" customWidth="1"/>
    <col min="13" max="13" width="32.140625" style="5" bestFit="1" customWidth="1"/>
    <col min="14" max="14" width="10.7109375" bestFit="1" customWidth="1"/>
    <col min="15" max="15" width="144.85546875" bestFit="1" customWidth="1"/>
  </cols>
  <sheetData>
    <row r="1" spans="1:15" x14ac:dyDescent="0.25">
      <c r="A1" t="s">
        <v>9005</v>
      </c>
      <c r="B1" s="5" t="s">
        <v>7522</v>
      </c>
      <c r="C1" s="5" t="s">
        <v>9019</v>
      </c>
      <c r="D1" s="5" t="s">
        <v>9033</v>
      </c>
      <c r="E1" s="5" t="s">
        <v>9113</v>
      </c>
      <c r="F1" s="5" t="s">
        <v>9114</v>
      </c>
      <c r="G1" s="5" t="s">
        <v>9006</v>
      </c>
      <c r="H1" s="5" t="s">
        <v>8997</v>
      </c>
      <c r="I1" s="5" t="s">
        <v>9004</v>
      </c>
      <c r="J1" s="5" t="s">
        <v>9032</v>
      </c>
      <c r="K1" s="5" t="s">
        <v>7518</v>
      </c>
      <c r="L1" s="5" t="s">
        <v>7519</v>
      </c>
      <c r="M1" s="5" t="s">
        <v>7521</v>
      </c>
      <c r="N1" t="s">
        <v>7520</v>
      </c>
      <c r="O1" s="9" t="s">
        <v>10125</v>
      </c>
    </row>
    <row r="2" spans="1:15" x14ac:dyDescent="0.25">
      <c r="A2">
        <v>1</v>
      </c>
      <c r="B2">
        <v>1</v>
      </c>
      <c r="C2">
        <v>22</v>
      </c>
      <c r="D2">
        <v>1</v>
      </c>
      <c r="E2">
        <v>1</v>
      </c>
      <c r="F2">
        <v>1</v>
      </c>
      <c r="G2" t="s">
        <v>7523</v>
      </c>
      <c r="H2" t="s">
        <v>8995</v>
      </c>
      <c r="I2" t="s">
        <v>9003</v>
      </c>
      <c r="J2" t="s">
        <v>9020</v>
      </c>
      <c r="K2" s="5">
        <v>40527</v>
      </c>
      <c r="L2" s="5" t="s">
        <v>4312</v>
      </c>
      <c r="M2" s="5" t="s">
        <v>4312</v>
      </c>
      <c r="N2">
        <v>1</v>
      </c>
      <c r="O2" t="s">
        <v>10468</v>
      </c>
    </row>
    <row r="3" spans="1:15" x14ac:dyDescent="0.25">
      <c r="A3">
        <v>2</v>
      </c>
      <c r="B3">
        <v>1</v>
      </c>
      <c r="C3">
        <v>17</v>
      </c>
      <c r="D3">
        <v>1</v>
      </c>
      <c r="E3">
        <v>1</v>
      </c>
      <c r="F3">
        <v>1</v>
      </c>
      <c r="G3" t="s">
        <v>7524</v>
      </c>
      <c r="H3" t="s">
        <v>8995</v>
      </c>
      <c r="I3" t="s">
        <v>9003</v>
      </c>
      <c r="J3" t="s">
        <v>9020</v>
      </c>
      <c r="K3" s="5">
        <v>40527</v>
      </c>
      <c r="L3" s="5" t="s">
        <v>4312</v>
      </c>
      <c r="M3" s="5" t="s">
        <v>4312</v>
      </c>
      <c r="N3">
        <v>1</v>
      </c>
      <c r="O3" t="s">
        <v>10469</v>
      </c>
    </row>
    <row r="4" spans="1:15" x14ac:dyDescent="0.25">
      <c r="A4">
        <v>3</v>
      </c>
      <c r="B4">
        <v>1</v>
      </c>
      <c r="C4">
        <v>20</v>
      </c>
      <c r="D4">
        <v>1</v>
      </c>
      <c r="E4">
        <v>1</v>
      </c>
      <c r="F4">
        <v>1</v>
      </c>
      <c r="K4" s="5">
        <v>40527</v>
      </c>
      <c r="L4" s="5">
        <v>44804</v>
      </c>
      <c r="M4" s="5" t="s">
        <v>4312</v>
      </c>
      <c r="N4">
        <v>0</v>
      </c>
      <c r="O4" t="s">
        <v>10470</v>
      </c>
    </row>
    <row r="5" spans="1:15" x14ac:dyDescent="0.25">
      <c r="A5">
        <v>4</v>
      </c>
      <c r="B5">
        <v>1</v>
      </c>
      <c r="C5">
        <v>172</v>
      </c>
      <c r="D5">
        <v>1</v>
      </c>
      <c r="E5">
        <v>1</v>
      </c>
      <c r="F5">
        <v>1</v>
      </c>
      <c r="G5" t="s">
        <v>7525</v>
      </c>
      <c r="H5" t="s">
        <v>8996</v>
      </c>
      <c r="I5" t="s">
        <v>4348</v>
      </c>
      <c r="J5" t="s">
        <v>9020</v>
      </c>
      <c r="K5" s="5">
        <v>40589</v>
      </c>
      <c r="L5" s="5" t="s">
        <v>4312</v>
      </c>
      <c r="M5" s="5" t="s">
        <v>4312</v>
      </c>
      <c r="N5">
        <v>1</v>
      </c>
      <c r="O5" t="s">
        <v>10471</v>
      </c>
    </row>
    <row r="6" spans="1:15" x14ac:dyDescent="0.25">
      <c r="A6">
        <v>5</v>
      </c>
      <c r="B6">
        <v>2</v>
      </c>
      <c r="C6">
        <v>210</v>
      </c>
      <c r="D6">
        <v>1</v>
      </c>
      <c r="E6">
        <v>1</v>
      </c>
      <c r="F6">
        <v>1</v>
      </c>
      <c r="G6" t="s">
        <v>7526</v>
      </c>
      <c r="H6" t="s">
        <v>8996</v>
      </c>
      <c r="I6" t="s">
        <v>4349</v>
      </c>
      <c r="J6" t="s">
        <v>9020</v>
      </c>
      <c r="K6" s="5">
        <v>44998</v>
      </c>
      <c r="L6" s="5" t="s">
        <v>4312</v>
      </c>
      <c r="M6" s="5">
        <v>46022</v>
      </c>
      <c r="N6">
        <v>1</v>
      </c>
      <c r="O6" t="s">
        <v>10472</v>
      </c>
    </row>
    <row r="7" spans="1:15" x14ac:dyDescent="0.25">
      <c r="A7">
        <v>6</v>
      </c>
      <c r="B7">
        <v>2</v>
      </c>
      <c r="C7">
        <v>210</v>
      </c>
      <c r="D7">
        <v>1</v>
      </c>
      <c r="E7">
        <v>1</v>
      </c>
      <c r="F7">
        <v>1</v>
      </c>
      <c r="G7" t="s">
        <v>7527</v>
      </c>
      <c r="H7" t="s">
        <v>8996</v>
      </c>
      <c r="I7" t="s">
        <v>4349</v>
      </c>
      <c r="J7" t="s">
        <v>9020</v>
      </c>
      <c r="K7" s="5">
        <v>45593</v>
      </c>
      <c r="L7" s="5" t="s">
        <v>4312</v>
      </c>
      <c r="M7" s="5">
        <v>46142</v>
      </c>
      <c r="N7">
        <v>1</v>
      </c>
      <c r="O7" t="s">
        <v>10473</v>
      </c>
    </row>
    <row r="8" spans="1:15" x14ac:dyDescent="0.25">
      <c r="A8">
        <v>7</v>
      </c>
      <c r="B8">
        <v>1</v>
      </c>
      <c r="C8">
        <v>242</v>
      </c>
      <c r="D8">
        <v>1</v>
      </c>
      <c r="E8">
        <v>1</v>
      </c>
      <c r="F8">
        <v>1</v>
      </c>
      <c r="G8" t="s">
        <v>7528</v>
      </c>
      <c r="H8" t="s">
        <v>8996</v>
      </c>
      <c r="I8" t="s">
        <v>4348</v>
      </c>
      <c r="J8" t="s">
        <v>9020</v>
      </c>
      <c r="K8" s="5">
        <v>40634</v>
      </c>
      <c r="L8" s="5" t="s">
        <v>4312</v>
      </c>
      <c r="M8" s="5" t="s">
        <v>4312</v>
      </c>
      <c r="N8">
        <v>1</v>
      </c>
      <c r="O8" t="s">
        <v>10474</v>
      </c>
    </row>
    <row r="9" spans="1:15" x14ac:dyDescent="0.25">
      <c r="A9">
        <v>8</v>
      </c>
      <c r="B9">
        <v>1</v>
      </c>
      <c r="C9">
        <v>150</v>
      </c>
      <c r="D9">
        <v>1</v>
      </c>
      <c r="E9">
        <v>18</v>
      </c>
      <c r="F9">
        <v>21</v>
      </c>
      <c r="K9" s="5">
        <v>40637</v>
      </c>
      <c r="L9" s="5">
        <v>45089</v>
      </c>
      <c r="M9" s="5" t="s">
        <v>4312</v>
      </c>
      <c r="N9">
        <v>0</v>
      </c>
      <c r="O9" t="s">
        <v>10475</v>
      </c>
    </row>
    <row r="10" spans="1:15" x14ac:dyDescent="0.25">
      <c r="A10">
        <v>9</v>
      </c>
      <c r="B10">
        <v>1</v>
      </c>
      <c r="C10">
        <v>67</v>
      </c>
      <c r="D10">
        <v>1</v>
      </c>
      <c r="E10">
        <v>1</v>
      </c>
      <c r="F10">
        <v>1</v>
      </c>
      <c r="G10" t="s">
        <v>7529</v>
      </c>
      <c r="H10" t="s">
        <v>8996</v>
      </c>
      <c r="I10" t="s">
        <v>4349</v>
      </c>
      <c r="J10" t="s">
        <v>9020</v>
      </c>
      <c r="K10" s="5">
        <v>40695</v>
      </c>
      <c r="L10" s="5" t="s">
        <v>4312</v>
      </c>
      <c r="M10" s="5" t="s">
        <v>4312</v>
      </c>
      <c r="N10">
        <v>1</v>
      </c>
      <c r="O10" t="s">
        <v>10476</v>
      </c>
    </row>
    <row r="11" spans="1:15" x14ac:dyDescent="0.25">
      <c r="A11">
        <v>10</v>
      </c>
      <c r="B11">
        <v>2</v>
      </c>
      <c r="C11">
        <v>210</v>
      </c>
      <c r="D11">
        <v>1</v>
      </c>
      <c r="E11">
        <v>1</v>
      </c>
      <c r="F11">
        <v>1</v>
      </c>
      <c r="G11" t="s">
        <v>7530</v>
      </c>
      <c r="H11" t="s">
        <v>8996</v>
      </c>
      <c r="I11" t="s">
        <v>4349</v>
      </c>
      <c r="J11" t="s">
        <v>9020</v>
      </c>
      <c r="K11" s="5">
        <v>45666</v>
      </c>
      <c r="L11" s="5" t="s">
        <v>4312</v>
      </c>
      <c r="M11" s="5">
        <v>46142</v>
      </c>
      <c r="N11">
        <v>1</v>
      </c>
      <c r="O11" t="s">
        <v>10477</v>
      </c>
    </row>
    <row r="12" spans="1:15" x14ac:dyDescent="0.25">
      <c r="A12">
        <v>11</v>
      </c>
      <c r="B12">
        <v>1</v>
      </c>
      <c r="C12">
        <v>49</v>
      </c>
      <c r="D12">
        <v>2</v>
      </c>
      <c r="E12">
        <v>1</v>
      </c>
      <c r="F12">
        <v>1</v>
      </c>
      <c r="G12" t="s">
        <v>7531</v>
      </c>
      <c r="H12" t="s">
        <v>8995</v>
      </c>
      <c r="I12" t="s">
        <v>4348</v>
      </c>
      <c r="J12" t="s">
        <v>9020</v>
      </c>
      <c r="K12" s="5">
        <v>40848</v>
      </c>
      <c r="L12" s="5" t="s">
        <v>4312</v>
      </c>
      <c r="M12" s="5" t="s">
        <v>4312</v>
      </c>
      <c r="N12">
        <v>1</v>
      </c>
      <c r="O12" t="s">
        <v>10478</v>
      </c>
    </row>
    <row r="13" spans="1:15" x14ac:dyDescent="0.25">
      <c r="A13">
        <v>12</v>
      </c>
      <c r="B13">
        <v>1</v>
      </c>
      <c r="C13">
        <v>51</v>
      </c>
      <c r="D13">
        <v>3</v>
      </c>
      <c r="E13">
        <v>1</v>
      </c>
      <c r="F13">
        <v>1</v>
      </c>
      <c r="G13" t="s">
        <v>7532</v>
      </c>
      <c r="H13" t="s">
        <v>8995</v>
      </c>
      <c r="I13" t="s">
        <v>4348</v>
      </c>
      <c r="J13" t="s">
        <v>9020</v>
      </c>
      <c r="K13" s="5">
        <v>40876</v>
      </c>
      <c r="L13" s="5" t="s">
        <v>4312</v>
      </c>
      <c r="M13" s="5" t="s">
        <v>4312</v>
      </c>
      <c r="N13">
        <v>1</v>
      </c>
      <c r="O13" t="s">
        <v>10479</v>
      </c>
    </row>
    <row r="14" spans="1:15" x14ac:dyDescent="0.25">
      <c r="A14">
        <v>13</v>
      </c>
      <c r="B14">
        <v>1</v>
      </c>
      <c r="C14">
        <v>164</v>
      </c>
      <c r="D14">
        <v>1</v>
      </c>
      <c r="E14">
        <v>10</v>
      </c>
      <c r="F14">
        <v>14</v>
      </c>
      <c r="G14" t="s">
        <v>7533</v>
      </c>
      <c r="H14" t="s">
        <v>8996</v>
      </c>
      <c r="I14" t="s">
        <v>4349</v>
      </c>
      <c r="J14" t="s">
        <v>9021</v>
      </c>
      <c r="K14" s="5">
        <v>40911</v>
      </c>
      <c r="L14" s="5" t="s">
        <v>4312</v>
      </c>
      <c r="M14" s="5" t="s">
        <v>4312</v>
      </c>
      <c r="N14">
        <v>1</v>
      </c>
      <c r="O14" t="s">
        <v>10480</v>
      </c>
    </row>
    <row r="15" spans="1:15" x14ac:dyDescent="0.25">
      <c r="A15">
        <v>14</v>
      </c>
      <c r="B15">
        <v>1</v>
      </c>
      <c r="C15">
        <v>133</v>
      </c>
      <c r="D15">
        <v>1</v>
      </c>
      <c r="E15">
        <v>1</v>
      </c>
      <c r="F15">
        <v>1</v>
      </c>
      <c r="G15" t="s">
        <v>7534</v>
      </c>
      <c r="H15" t="s">
        <v>8996</v>
      </c>
      <c r="I15" t="s">
        <v>4348</v>
      </c>
      <c r="J15" t="s">
        <v>9022</v>
      </c>
      <c r="K15" s="5">
        <v>41030</v>
      </c>
      <c r="L15" s="5" t="s">
        <v>4312</v>
      </c>
      <c r="M15" s="5" t="s">
        <v>4312</v>
      </c>
      <c r="N15">
        <v>1</v>
      </c>
      <c r="O15" t="s">
        <v>10481</v>
      </c>
    </row>
    <row r="16" spans="1:15" x14ac:dyDescent="0.25">
      <c r="A16">
        <v>15</v>
      </c>
      <c r="B16">
        <v>3</v>
      </c>
      <c r="C16">
        <v>7</v>
      </c>
      <c r="D16">
        <v>4</v>
      </c>
      <c r="E16">
        <v>21</v>
      </c>
      <c r="F16">
        <v>11</v>
      </c>
      <c r="G16" t="s">
        <v>7535</v>
      </c>
      <c r="H16" t="s">
        <v>8996</v>
      </c>
      <c r="I16" t="s">
        <v>4349</v>
      </c>
      <c r="J16" t="s">
        <v>9023</v>
      </c>
      <c r="K16" s="5">
        <v>44930</v>
      </c>
      <c r="L16" s="5" t="s">
        <v>4312</v>
      </c>
      <c r="M16" s="5">
        <v>45991</v>
      </c>
      <c r="N16">
        <v>1</v>
      </c>
      <c r="O16" t="s">
        <v>10482</v>
      </c>
    </row>
    <row r="17" spans="1:15" x14ac:dyDescent="0.25">
      <c r="A17">
        <v>16</v>
      </c>
      <c r="B17">
        <v>1</v>
      </c>
      <c r="C17">
        <v>164</v>
      </c>
      <c r="D17">
        <v>4</v>
      </c>
      <c r="E17">
        <v>21</v>
      </c>
      <c r="F17">
        <v>11</v>
      </c>
      <c r="G17" t="s">
        <v>7536</v>
      </c>
      <c r="H17" t="s">
        <v>8996</v>
      </c>
      <c r="I17" t="s">
        <v>4349</v>
      </c>
      <c r="J17" t="s">
        <v>9023</v>
      </c>
      <c r="K17" s="5">
        <v>41064</v>
      </c>
      <c r="L17" s="5" t="s">
        <v>4312</v>
      </c>
      <c r="M17" s="5" t="s">
        <v>4312</v>
      </c>
      <c r="N17">
        <v>1</v>
      </c>
      <c r="O17" t="s">
        <v>10483</v>
      </c>
    </row>
    <row r="18" spans="1:15" x14ac:dyDescent="0.25">
      <c r="A18">
        <v>17</v>
      </c>
      <c r="B18">
        <v>1</v>
      </c>
      <c r="C18">
        <v>171</v>
      </c>
      <c r="D18">
        <v>4</v>
      </c>
      <c r="E18">
        <v>38</v>
      </c>
      <c r="F18">
        <v>49</v>
      </c>
      <c r="G18" t="s">
        <v>7537</v>
      </c>
      <c r="H18" t="s">
        <v>8996</v>
      </c>
      <c r="I18" t="s">
        <v>4349</v>
      </c>
      <c r="J18" t="s">
        <v>9020</v>
      </c>
      <c r="K18" s="5">
        <v>41095</v>
      </c>
      <c r="L18" s="5" t="s">
        <v>4312</v>
      </c>
      <c r="M18" s="5" t="s">
        <v>4312</v>
      </c>
      <c r="N18">
        <v>1</v>
      </c>
      <c r="O18" t="s">
        <v>10484</v>
      </c>
    </row>
    <row r="19" spans="1:15" x14ac:dyDescent="0.25">
      <c r="A19">
        <v>18</v>
      </c>
      <c r="B19">
        <v>3</v>
      </c>
      <c r="C19">
        <v>7</v>
      </c>
      <c r="D19">
        <v>1</v>
      </c>
      <c r="E19">
        <v>24</v>
      </c>
      <c r="F19">
        <v>25</v>
      </c>
      <c r="G19" t="s">
        <v>7538</v>
      </c>
      <c r="H19" t="s">
        <v>8996</v>
      </c>
      <c r="I19" t="s">
        <v>4349</v>
      </c>
      <c r="J19" t="s">
        <v>9024</v>
      </c>
      <c r="K19" s="5">
        <v>45383</v>
      </c>
      <c r="L19" s="5" t="s">
        <v>4312</v>
      </c>
      <c r="M19" s="5">
        <v>45991</v>
      </c>
      <c r="N19">
        <v>1</v>
      </c>
      <c r="O19" t="s">
        <v>10485</v>
      </c>
    </row>
    <row r="20" spans="1:15" x14ac:dyDescent="0.25">
      <c r="A20">
        <v>19</v>
      </c>
      <c r="B20">
        <v>1</v>
      </c>
      <c r="C20">
        <v>44</v>
      </c>
      <c r="D20">
        <v>1</v>
      </c>
      <c r="E20">
        <v>1</v>
      </c>
      <c r="F20">
        <v>1</v>
      </c>
      <c r="K20" s="5">
        <v>41183</v>
      </c>
      <c r="L20" s="5">
        <v>45169</v>
      </c>
      <c r="M20" s="5" t="s">
        <v>4312</v>
      </c>
      <c r="N20">
        <v>0</v>
      </c>
      <c r="O20" t="s">
        <v>10486</v>
      </c>
    </row>
    <row r="21" spans="1:15" x14ac:dyDescent="0.25">
      <c r="A21">
        <v>20</v>
      </c>
      <c r="B21">
        <v>1</v>
      </c>
      <c r="C21">
        <v>170</v>
      </c>
      <c r="D21">
        <v>2</v>
      </c>
      <c r="E21">
        <v>34</v>
      </c>
      <c r="F21">
        <v>35</v>
      </c>
      <c r="G21" t="s">
        <v>7539</v>
      </c>
      <c r="H21" t="s">
        <v>8996</v>
      </c>
      <c r="I21" t="s">
        <v>4349</v>
      </c>
      <c r="J21" t="s">
        <v>9025</v>
      </c>
      <c r="K21" s="5">
        <v>41214</v>
      </c>
      <c r="L21" s="5" t="s">
        <v>4312</v>
      </c>
      <c r="M21" s="5" t="s">
        <v>4312</v>
      </c>
      <c r="N21">
        <v>1</v>
      </c>
      <c r="O21" t="s">
        <v>10487</v>
      </c>
    </row>
    <row r="22" spans="1:15" x14ac:dyDescent="0.25">
      <c r="A22">
        <v>21</v>
      </c>
      <c r="B22">
        <v>1</v>
      </c>
      <c r="C22">
        <v>20</v>
      </c>
      <c r="D22">
        <v>1</v>
      </c>
      <c r="E22">
        <v>1</v>
      </c>
      <c r="F22">
        <v>1</v>
      </c>
      <c r="G22" t="s">
        <v>7540</v>
      </c>
      <c r="H22" t="s">
        <v>8995</v>
      </c>
      <c r="I22" t="s">
        <v>9003</v>
      </c>
      <c r="J22" t="s">
        <v>9020</v>
      </c>
      <c r="K22" s="5">
        <v>41275</v>
      </c>
      <c r="L22" s="5" t="s">
        <v>4312</v>
      </c>
      <c r="M22" s="5" t="s">
        <v>4312</v>
      </c>
      <c r="N22">
        <v>1</v>
      </c>
      <c r="O22" t="s">
        <v>10488</v>
      </c>
    </row>
    <row r="23" spans="1:15" x14ac:dyDescent="0.25">
      <c r="A23">
        <v>22</v>
      </c>
      <c r="B23">
        <v>1</v>
      </c>
      <c r="C23">
        <v>34</v>
      </c>
      <c r="D23">
        <v>1</v>
      </c>
      <c r="E23">
        <v>1</v>
      </c>
      <c r="F23">
        <v>1</v>
      </c>
      <c r="G23" t="s">
        <v>7541</v>
      </c>
      <c r="H23" t="s">
        <v>8995</v>
      </c>
      <c r="I23" t="s">
        <v>4348</v>
      </c>
      <c r="J23" t="s">
        <v>9020</v>
      </c>
      <c r="K23" s="5">
        <v>41275</v>
      </c>
      <c r="L23" s="5" t="s">
        <v>4312</v>
      </c>
      <c r="M23" s="5" t="s">
        <v>4312</v>
      </c>
      <c r="N23">
        <v>1</v>
      </c>
      <c r="O23" t="s">
        <v>10489</v>
      </c>
    </row>
    <row r="24" spans="1:15" x14ac:dyDescent="0.25">
      <c r="A24">
        <v>23</v>
      </c>
      <c r="B24">
        <v>1</v>
      </c>
      <c r="C24">
        <v>149</v>
      </c>
      <c r="D24">
        <v>1</v>
      </c>
      <c r="E24">
        <v>38</v>
      </c>
      <c r="F24">
        <v>49</v>
      </c>
      <c r="K24" s="5">
        <v>41410</v>
      </c>
      <c r="L24" s="5">
        <v>44985</v>
      </c>
      <c r="M24" s="5" t="s">
        <v>4312</v>
      </c>
      <c r="N24">
        <v>0</v>
      </c>
      <c r="O24" t="s">
        <v>10490</v>
      </c>
    </row>
    <row r="25" spans="1:15" x14ac:dyDescent="0.25">
      <c r="A25">
        <v>24</v>
      </c>
      <c r="B25">
        <v>1</v>
      </c>
      <c r="C25">
        <v>134</v>
      </c>
      <c r="D25">
        <v>1</v>
      </c>
      <c r="E25">
        <v>1</v>
      </c>
      <c r="F25">
        <v>1</v>
      </c>
      <c r="G25" t="s">
        <v>7542</v>
      </c>
      <c r="H25" t="s">
        <v>8996</v>
      </c>
      <c r="I25" t="s">
        <v>4349</v>
      </c>
      <c r="J25" t="s">
        <v>9026</v>
      </c>
      <c r="K25" s="5">
        <v>41428</v>
      </c>
      <c r="L25" s="5">
        <v>45779</v>
      </c>
      <c r="M25" s="5" t="s">
        <v>4312</v>
      </c>
      <c r="N25">
        <v>0</v>
      </c>
      <c r="O25" t="s">
        <v>10491</v>
      </c>
    </row>
    <row r="26" spans="1:15" x14ac:dyDescent="0.25">
      <c r="A26">
        <v>25</v>
      </c>
      <c r="B26">
        <v>1</v>
      </c>
      <c r="C26">
        <v>27</v>
      </c>
      <c r="D26">
        <v>1</v>
      </c>
      <c r="E26">
        <v>1</v>
      </c>
      <c r="F26">
        <v>1</v>
      </c>
      <c r="K26" s="5">
        <v>41442</v>
      </c>
      <c r="L26" s="5">
        <v>45054</v>
      </c>
      <c r="M26" s="5" t="s">
        <v>4312</v>
      </c>
      <c r="N26">
        <v>0</v>
      </c>
      <c r="O26" t="s">
        <v>10492</v>
      </c>
    </row>
    <row r="27" spans="1:15" x14ac:dyDescent="0.25">
      <c r="A27">
        <v>26</v>
      </c>
      <c r="B27">
        <v>1</v>
      </c>
      <c r="C27">
        <v>18</v>
      </c>
      <c r="D27">
        <v>2</v>
      </c>
      <c r="E27">
        <v>1</v>
      </c>
      <c r="F27">
        <v>1</v>
      </c>
      <c r="G27" t="s">
        <v>7543</v>
      </c>
      <c r="H27" t="s">
        <v>8996</v>
      </c>
      <c r="I27" t="s">
        <v>4349</v>
      </c>
      <c r="J27" t="s">
        <v>9020</v>
      </c>
      <c r="K27" s="5">
        <v>41596</v>
      </c>
      <c r="L27" s="5">
        <v>45692</v>
      </c>
      <c r="M27" s="5" t="s">
        <v>4312</v>
      </c>
      <c r="N27">
        <v>0</v>
      </c>
      <c r="O27" t="s">
        <v>10493</v>
      </c>
    </row>
    <row r="28" spans="1:15" x14ac:dyDescent="0.25">
      <c r="A28">
        <v>27</v>
      </c>
      <c r="B28">
        <v>1</v>
      </c>
      <c r="C28">
        <v>168</v>
      </c>
      <c r="D28">
        <v>1</v>
      </c>
      <c r="E28">
        <v>38</v>
      </c>
      <c r="F28">
        <v>49</v>
      </c>
      <c r="G28" t="s">
        <v>7544</v>
      </c>
      <c r="H28" t="s">
        <v>8996</v>
      </c>
      <c r="I28" t="s">
        <v>4349</v>
      </c>
      <c r="J28" t="s">
        <v>9020</v>
      </c>
      <c r="K28" s="5">
        <v>41666</v>
      </c>
      <c r="L28" s="5">
        <v>45884</v>
      </c>
      <c r="M28" s="5" t="s">
        <v>4312</v>
      </c>
      <c r="N28">
        <v>0</v>
      </c>
      <c r="O28" t="s">
        <v>10494</v>
      </c>
    </row>
    <row r="29" spans="1:15" x14ac:dyDescent="0.25">
      <c r="A29">
        <v>28</v>
      </c>
      <c r="B29">
        <v>2</v>
      </c>
      <c r="C29">
        <v>7</v>
      </c>
      <c r="D29">
        <v>2</v>
      </c>
      <c r="E29">
        <v>1</v>
      </c>
      <c r="F29">
        <v>1</v>
      </c>
      <c r="G29" t="s">
        <v>7545</v>
      </c>
      <c r="H29" t="s">
        <v>8996</v>
      </c>
      <c r="I29" t="s">
        <v>4349</v>
      </c>
      <c r="J29" t="s">
        <v>9027</v>
      </c>
      <c r="K29" s="5">
        <v>45770</v>
      </c>
      <c r="L29" s="5" t="s">
        <v>4312</v>
      </c>
      <c r="M29" s="5">
        <v>46081</v>
      </c>
      <c r="N29">
        <v>1</v>
      </c>
      <c r="O29" t="s">
        <v>10495</v>
      </c>
    </row>
    <row r="30" spans="1:15" x14ac:dyDescent="0.25">
      <c r="A30">
        <v>29</v>
      </c>
      <c r="B30">
        <v>1</v>
      </c>
      <c r="C30">
        <v>18</v>
      </c>
      <c r="D30">
        <v>3</v>
      </c>
      <c r="E30">
        <v>1</v>
      </c>
      <c r="F30">
        <v>1</v>
      </c>
      <c r="G30" t="s">
        <v>7546</v>
      </c>
      <c r="H30" t="s">
        <v>8996</v>
      </c>
      <c r="I30" t="s">
        <v>4349</v>
      </c>
      <c r="J30" t="s">
        <v>9020</v>
      </c>
      <c r="K30" s="5">
        <v>41045</v>
      </c>
      <c r="L30" s="5" t="s">
        <v>4312</v>
      </c>
      <c r="M30" s="5" t="s">
        <v>4312</v>
      </c>
      <c r="N30">
        <v>1</v>
      </c>
      <c r="O30" t="s">
        <v>10496</v>
      </c>
    </row>
    <row r="31" spans="1:15" x14ac:dyDescent="0.25">
      <c r="A31">
        <v>30</v>
      </c>
      <c r="B31">
        <v>1</v>
      </c>
      <c r="C31">
        <v>175</v>
      </c>
      <c r="D31">
        <v>3</v>
      </c>
      <c r="E31">
        <v>1</v>
      </c>
      <c r="F31">
        <v>1</v>
      </c>
      <c r="G31" t="s">
        <v>7547</v>
      </c>
      <c r="H31" t="s">
        <v>8995</v>
      </c>
      <c r="J31" t="s">
        <v>9020</v>
      </c>
      <c r="K31" s="5">
        <v>41813</v>
      </c>
      <c r="L31" s="5">
        <v>45639</v>
      </c>
      <c r="M31" s="5" t="s">
        <v>4312</v>
      </c>
      <c r="N31">
        <v>0</v>
      </c>
      <c r="O31" t="s">
        <v>10497</v>
      </c>
    </row>
    <row r="32" spans="1:15" x14ac:dyDescent="0.25">
      <c r="A32">
        <v>31</v>
      </c>
      <c r="B32">
        <v>1</v>
      </c>
      <c r="C32">
        <v>164</v>
      </c>
      <c r="D32">
        <v>1</v>
      </c>
      <c r="E32">
        <v>34</v>
      </c>
      <c r="F32">
        <v>37</v>
      </c>
      <c r="G32" t="s">
        <v>7548</v>
      </c>
      <c r="H32" t="s">
        <v>8996</v>
      </c>
      <c r="I32" t="s">
        <v>4349</v>
      </c>
      <c r="J32" t="s">
        <v>9025</v>
      </c>
      <c r="K32" s="5">
        <v>41823</v>
      </c>
      <c r="L32" s="5" t="s">
        <v>4312</v>
      </c>
      <c r="M32" s="5" t="s">
        <v>4312</v>
      </c>
      <c r="N32">
        <v>1</v>
      </c>
      <c r="O32" t="s">
        <v>10498</v>
      </c>
    </row>
    <row r="33" spans="1:15" x14ac:dyDescent="0.25">
      <c r="A33">
        <v>32</v>
      </c>
      <c r="B33">
        <v>1</v>
      </c>
      <c r="C33">
        <v>150</v>
      </c>
      <c r="D33">
        <v>2</v>
      </c>
      <c r="E33">
        <v>34</v>
      </c>
      <c r="F33">
        <v>35</v>
      </c>
      <c r="K33" s="5">
        <v>41885</v>
      </c>
      <c r="L33" s="5">
        <v>45117</v>
      </c>
      <c r="M33" s="5" t="s">
        <v>4312</v>
      </c>
      <c r="N33">
        <v>0</v>
      </c>
      <c r="O33" t="s">
        <v>10499</v>
      </c>
    </row>
    <row r="34" spans="1:15" x14ac:dyDescent="0.25">
      <c r="A34">
        <v>33</v>
      </c>
      <c r="B34">
        <v>1</v>
      </c>
      <c r="C34">
        <v>3</v>
      </c>
      <c r="D34">
        <v>1</v>
      </c>
      <c r="E34">
        <v>1</v>
      </c>
      <c r="F34">
        <v>1</v>
      </c>
      <c r="K34" s="5">
        <v>41885</v>
      </c>
      <c r="L34" s="5">
        <v>44949</v>
      </c>
      <c r="M34" s="5" t="s">
        <v>4312</v>
      </c>
      <c r="N34">
        <v>0</v>
      </c>
      <c r="O34" t="s">
        <v>10500</v>
      </c>
    </row>
    <row r="35" spans="1:15" x14ac:dyDescent="0.25">
      <c r="A35">
        <v>34</v>
      </c>
      <c r="B35">
        <v>1</v>
      </c>
      <c r="C35">
        <v>150</v>
      </c>
      <c r="D35">
        <v>2</v>
      </c>
      <c r="E35">
        <v>34</v>
      </c>
      <c r="F35">
        <v>35</v>
      </c>
      <c r="K35" s="5">
        <v>41947</v>
      </c>
      <c r="L35" s="5">
        <v>44902</v>
      </c>
      <c r="M35" s="5" t="s">
        <v>4312</v>
      </c>
      <c r="N35">
        <v>0</v>
      </c>
      <c r="O35" t="s">
        <v>10501</v>
      </c>
    </row>
    <row r="36" spans="1:15" x14ac:dyDescent="0.25">
      <c r="A36">
        <v>35</v>
      </c>
      <c r="B36">
        <v>1</v>
      </c>
      <c r="C36">
        <v>168</v>
      </c>
      <c r="D36">
        <v>4</v>
      </c>
      <c r="E36">
        <v>38</v>
      </c>
      <c r="F36">
        <v>49</v>
      </c>
      <c r="G36" t="s">
        <v>7549</v>
      </c>
      <c r="H36" t="s">
        <v>8996</v>
      </c>
      <c r="I36" t="s">
        <v>4349</v>
      </c>
      <c r="J36" t="s">
        <v>9020</v>
      </c>
      <c r="K36" s="5">
        <v>41953</v>
      </c>
      <c r="L36" s="5" t="s">
        <v>4312</v>
      </c>
      <c r="M36" s="5" t="s">
        <v>4312</v>
      </c>
      <c r="N36">
        <v>1</v>
      </c>
      <c r="O36" t="s">
        <v>10502</v>
      </c>
    </row>
    <row r="37" spans="1:15" x14ac:dyDescent="0.25">
      <c r="A37">
        <v>36</v>
      </c>
      <c r="B37">
        <v>1</v>
      </c>
      <c r="C37">
        <v>162</v>
      </c>
      <c r="D37">
        <v>4</v>
      </c>
      <c r="E37">
        <v>8</v>
      </c>
      <c r="F37">
        <v>11</v>
      </c>
      <c r="G37" t="s">
        <v>7550</v>
      </c>
      <c r="H37" t="s">
        <v>8996</v>
      </c>
      <c r="J37" t="s">
        <v>9020</v>
      </c>
      <c r="K37" s="5">
        <v>41953</v>
      </c>
      <c r="L37" s="5">
        <v>45565</v>
      </c>
      <c r="M37" s="5" t="s">
        <v>4312</v>
      </c>
      <c r="N37">
        <v>0</v>
      </c>
      <c r="O37" t="s">
        <v>10503</v>
      </c>
    </row>
    <row r="38" spans="1:15" x14ac:dyDescent="0.25">
      <c r="A38">
        <v>37</v>
      </c>
      <c r="B38">
        <v>1</v>
      </c>
      <c r="C38">
        <v>7</v>
      </c>
      <c r="D38">
        <v>1</v>
      </c>
      <c r="E38">
        <v>1</v>
      </c>
      <c r="F38">
        <v>1</v>
      </c>
      <c r="G38" t="s">
        <v>7551</v>
      </c>
      <c r="H38" t="s">
        <v>8996</v>
      </c>
      <c r="I38" t="s">
        <v>4349</v>
      </c>
      <c r="J38" t="s">
        <v>9020</v>
      </c>
      <c r="K38" s="5">
        <v>41984</v>
      </c>
      <c r="L38" s="5">
        <v>45879</v>
      </c>
      <c r="M38" s="5" t="s">
        <v>4312</v>
      </c>
      <c r="N38">
        <v>0</v>
      </c>
      <c r="O38" t="s">
        <v>10504</v>
      </c>
    </row>
    <row r="39" spans="1:15" x14ac:dyDescent="0.25">
      <c r="A39">
        <v>38</v>
      </c>
      <c r="B39">
        <v>1</v>
      </c>
      <c r="C39">
        <v>178</v>
      </c>
      <c r="D39">
        <v>1</v>
      </c>
      <c r="E39">
        <v>1</v>
      </c>
      <c r="F39">
        <v>1</v>
      </c>
      <c r="G39" t="s">
        <v>7552</v>
      </c>
      <c r="H39" t="s">
        <v>8996</v>
      </c>
      <c r="I39" t="s">
        <v>4349</v>
      </c>
      <c r="J39" t="s">
        <v>9020</v>
      </c>
      <c r="K39" s="5">
        <v>42109</v>
      </c>
      <c r="L39" s="5" t="s">
        <v>4312</v>
      </c>
      <c r="M39" s="5" t="s">
        <v>4312</v>
      </c>
      <c r="N39">
        <v>1</v>
      </c>
      <c r="O39" t="s">
        <v>10505</v>
      </c>
    </row>
    <row r="40" spans="1:15" x14ac:dyDescent="0.25">
      <c r="A40">
        <v>39</v>
      </c>
      <c r="B40">
        <v>1</v>
      </c>
      <c r="C40">
        <v>259</v>
      </c>
      <c r="D40">
        <v>1</v>
      </c>
      <c r="E40">
        <v>1</v>
      </c>
      <c r="F40">
        <v>1</v>
      </c>
      <c r="G40" t="s">
        <v>7553</v>
      </c>
      <c r="H40" t="s">
        <v>8996</v>
      </c>
      <c r="I40" t="s">
        <v>4349</v>
      </c>
      <c r="J40" t="s">
        <v>9020</v>
      </c>
      <c r="K40" s="5">
        <v>42142</v>
      </c>
      <c r="L40" s="5">
        <v>45716</v>
      </c>
      <c r="M40" s="5" t="s">
        <v>4312</v>
      </c>
      <c r="N40">
        <v>0</v>
      </c>
      <c r="O40" t="s">
        <v>10506</v>
      </c>
    </row>
    <row r="41" spans="1:15" x14ac:dyDescent="0.25">
      <c r="A41">
        <v>40</v>
      </c>
      <c r="B41">
        <v>1</v>
      </c>
      <c r="C41">
        <v>52</v>
      </c>
      <c r="D41">
        <v>4</v>
      </c>
      <c r="E41">
        <v>1</v>
      </c>
      <c r="F41">
        <v>1</v>
      </c>
      <c r="G41" t="s">
        <v>7554</v>
      </c>
      <c r="H41" t="s">
        <v>8995</v>
      </c>
      <c r="I41" t="s">
        <v>4348</v>
      </c>
      <c r="J41" t="s">
        <v>9020</v>
      </c>
      <c r="K41" s="5">
        <v>42156</v>
      </c>
      <c r="L41" s="5" t="s">
        <v>4312</v>
      </c>
      <c r="M41" s="5" t="s">
        <v>4312</v>
      </c>
      <c r="N41">
        <v>1</v>
      </c>
      <c r="O41" t="s">
        <v>10507</v>
      </c>
    </row>
    <row r="42" spans="1:15" x14ac:dyDescent="0.25">
      <c r="A42">
        <v>41</v>
      </c>
      <c r="B42">
        <v>1</v>
      </c>
      <c r="C42">
        <v>18</v>
      </c>
      <c r="D42">
        <v>1</v>
      </c>
      <c r="E42">
        <v>1</v>
      </c>
      <c r="F42">
        <v>1</v>
      </c>
      <c r="G42" t="s">
        <v>7555</v>
      </c>
      <c r="H42" t="s">
        <v>8996</v>
      </c>
      <c r="I42" t="s">
        <v>4349</v>
      </c>
      <c r="J42" t="s">
        <v>9026</v>
      </c>
      <c r="K42" s="5">
        <v>42899</v>
      </c>
      <c r="L42" s="5" t="s">
        <v>4312</v>
      </c>
      <c r="M42" s="5" t="s">
        <v>4312</v>
      </c>
      <c r="N42">
        <v>1</v>
      </c>
      <c r="O42" t="s">
        <v>10508</v>
      </c>
    </row>
    <row r="43" spans="1:15" x14ac:dyDescent="0.25">
      <c r="A43">
        <v>42</v>
      </c>
      <c r="B43">
        <v>1</v>
      </c>
      <c r="C43">
        <v>37</v>
      </c>
      <c r="D43">
        <v>1</v>
      </c>
      <c r="E43">
        <v>1</v>
      </c>
      <c r="F43">
        <v>1</v>
      </c>
      <c r="G43" t="s">
        <v>7556</v>
      </c>
      <c r="H43" t="s">
        <v>8995</v>
      </c>
      <c r="I43" t="s">
        <v>4348</v>
      </c>
      <c r="J43" t="s">
        <v>9020</v>
      </c>
      <c r="K43" s="5">
        <v>42171</v>
      </c>
      <c r="L43" s="5" t="s">
        <v>4312</v>
      </c>
      <c r="M43" s="5" t="s">
        <v>4312</v>
      </c>
      <c r="N43">
        <v>1</v>
      </c>
      <c r="O43" t="s">
        <v>10509</v>
      </c>
    </row>
    <row r="44" spans="1:15" x14ac:dyDescent="0.25">
      <c r="A44">
        <v>43</v>
      </c>
      <c r="B44">
        <v>1</v>
      </c>
      <c r="C44">
        <v>168</v>
      </c>
      <c r="D44">
        <v>1</v>
      </c>
      <c r="E44">
        <v>38</v>
      </c>
      <c r="F44">
        <v>49</v>
      </c>
      <c r="G44" t="s">
        <v>7557</v>
      </c>
      <c r="H44" t="s">
        <v>8996</v>
      </c>
      <c r="I44" t="s">
        <v>4349</v>
      </c>
      <c r="J44" t="s">
        <v>9020</v>
      </c>
      <c r="K44" s="5">
        <v>42373</v>
      </c>
      <c r="L44" s="5">
        <v>45688</v>
      </c>
      <c r="M44" s="5" t="s">
        <v>4312</v>
      </c>
      <c r="N44">
        <v>0</v>
      </c>
      <c r="O44" t="s">
        <v>10510</v>
      </c>
    </row>
    <row r="45" spans="1:15" x14ac:dyDescent="0.25">
      <c r="A45">
        <v>44</v>
      </c>
      <c r="B45">
        <v>1</v>
      </c>
      <c r="C45">
        <v>199</v>
      </c>
      <c r="D45">
        <v>1</v>
      </c>
      <c r="E45">
        <v>1</v>
      </c>
      <c r="F45">
        <v>1</v>
      </c>
      <c r="K45" s="5">
        <v>42381</v>
      </c>
      <c r="L45" s="5">
        <v>44946</v>
      </c>
      <c r="M45" s="5" t="s">
        <v>4312</v>
      </c>
      <c r="N45">
        <v>0</v>
      </c>
      <c r="O45" t="s">
        <v>10511</v>
      </c>
    </row>
    <row r="46" spans="1:15" x14ac:dyDescent="0.25">
      <c r="A46">
        <v>45</v>
      </c>
      <c r="B46">
        <v>1</v>
      </c>
      <c r="C46">
        <v>28</v>
      </c>
      <c r="D46">
        <v>1</v>
      </c>
      <c r="E46">
        <v>1</v>
      </c>
      <c r="F46">
        <v>1</v>
      </c>
      <c r="K46" s="5">
        <v>42618</v>
      </c>
      <c r="L46" s="5">
        <v>44849</v>
      </c>
      <c r="M46" s="5" t="s">
        <v>4312</v>
      </c>
      <c r="N46">
        <v>0</v>
      </c>
      <c r="O46" t="s">
        <v>10512</v>
      </c>
    </row>
    <row r="47" spans="1:15" x14ac:dyDescent="0.25">
      <c r="A47">
        <v>46</v>
      </c>
      <c r="B47">
        <v>1</v>
      </c>
      <c r="C47">
        <v>5</v>
      </c>
      <c r="D47">
        <v>1</v>
      </c>
      <c r="E47">
        <v>1</v>
      </c>
      <c r="F47">
        <v>1</v>
      </c>
      <c r="K47" s="5">
        <v>42772</v>
      </c>
      <c r="L47" s="5">
        <v>44951</v>
      </c>
      <c r="M47" s="5" t="s">
        <v>4312</v>
      </c>
      <c r="N47">
        <v>0</v>
      </c>
      <c r="O47" t="s">
        <v>10513</v>
      </c>
    </row>
    <row r="48" spans="1:15" x14ac:dyDescent="0.25">
      <c r="A48">
        <v>47</v>
      </c>
      <c r="B48">
        <v>1</v>
      </c>
      <c r="C48">
        <v>9</v>
      </c>
      <c r="D48">
        <v>1</v>
      </c>
      <c r="E48">
        <v>1</v>
      </c>
      <c r="F48">
        <v>1</v>
      </c>
      <c r="G48" t="s">
        <v>7558</v>
      </c>
      <c r="H48" t="s">
        <v>8995</v>
      </c>
      <c r="I48" t="s">
        <v>4349</v>
      </c>
      <c r="J48" t="s">
        <v>9020</v>
      </c>
      <c r="K48" s="5">
        <v>42859</v>
      </c>
      <c r="L48" s="5">
        <v>45869</v>
      </c>
      <c r="M48" s="5" t="s">
        <v>4312</v>
      </c>
      <c r="N48">
        <v>0</v>
      </c>
      <c r="O48" t="s">
        <v>10514</v>
      </c>
    </row>
    <row r="49" spans="1:15" x14ac:dyDescent="0.25">
      <c r="A49">
        <v>48</v>
      </c>
      <c r="B49">
        <v>2</v>
      </c>
      <c r="C49">
        <v>18</v>
      </c>
      <c r="D49">
        <v>1</v>
      </c>
      <c r="E49">
        <v>1</v>
      </c>
      <c r="F49">
        <v>1</v>
      </c>
      <c r="G49" t="s">
        <v>7559</v>
      </c>
      <c r="H49" t="s">
        <v>8996</v>
      </c>
      <c r="I49" t="s">
        <v>4349</v>
      </c>
      <c r="J49" t="s">
        <v>9020</v>
      </c>
      <c r="K49" s="5">
        <v>45689</v>
      </c>
      <c r="L49" s="5" t="s">
        <v>4312</v>
      </c>
      <c r="M49" s="5">
        <v>46053</v>
      </c>
      <c r="N49">
        <v>1</v>
      </c>
      <c r="O49" t="s">
        <v>10515</v>
      </c>
    </row>
    <row r="50" spans="1:15" x14ac:dyDescent="0.25">
      <c r="A50">
        <v>49</v>
      </c>
      <c r="B50">
        <v>1</v>
      </c>
      <c r="C50">
        <v>6</v>
      </c>
      <c r="D50">
        <v>1</v>
      </c>
      <c r="E50">
        <v>1</v>
      </c>
      <c r="F50">
        <v>1</v>
      </c>
      <c r="G50" t="s">
        <v>7560</v>
      </c>
      <c r="H50" t="s">
        <v>8996</v>
      </c>
      <c r="J50" t="s">
        <v>9020</v>
      </c>
      <c r="K50" s="5">
        <v>42964</v>
      </c>
      <c r="L50" s="5">
        <v>45504</v>
      </c>
      <c r="M50" s="5" t="s">
        <v>4312</v>
      </c>
      <c r="N50">
        <v>0</v>
      </c>
      <c r="O50" t="s">
        <v>10516</v>
      </c>
    </row>
    <row r="51" spans="1:15" x14ac:dyDescent="0.25">
      <c r="A51">
        <v>50</v>
      </c>
      <c r="B51">
        <v>1</v>
      </c>
      <c r="C51">
        <v>142</v>
      </c>
      <c r="D51">
        <v>1</v>
      </c>
      <c r="E51">
        <v>1</v>
      </c>
      <c r="F51">
        <v>1</v>
      </c>
      <c r="G51" t="s">
        <v>7561</v>
      </c>
      <c r="H51" t="s">
        <v>8995</v>
      </c>
      <c r="J51" t="s">
        <v>9020</v>
      </c>
      <c r="K51" s="5">
        <v>42996</v>
      </c>
      <c r="L51" s="5">
        <v>45565</v>
      </c>
      <c r="M51" s="5" t="s">
        <v>4312</v>
      </c>
      <c r="N51">
        <v>0</v>
      </c>
      <c r="O51" t="s">
        <v>10517</v>
      </c>
    </row>
    <row r="52" spans="1:15" x14ac:dyDescent="0.25">
      <c r="A52">
        <v>51</v>
      </c>
      <c r="B52">
        <v>1</v>
      </c>
      <c r="C52">
        <v>131</v>
      </c>
      <c r="D52">
        <v>1</v>
      </c>
      <c r="E52">
        <v>1</v>
      </c>
      <c r="F52">
        <v>1</v>
      </c>
      <c r="G52" t="s">
        <v>7562</v>
      </c>
      <c r="H52" t="s">
        <v>8995</v>
      </c>
      <c r="J52" t="s">
        <v>9020</v>
      </c>
      <c r="K52" s="5">
        <v>43024</v>
      </c>
      <c r="L52" s="5">
        <v>45359</v>
      </c>
      <c r="M52" s="5" t="s">
        <v>4312</v>
      </c>
      <c r="N52">
        <v>0</v>
      </c>
      <c r="O52" t="s">
        <v>10518</v>
      </c>
    </row>
    <row r="53" spans="1:15" x14ac:dyDescent="0.25">
      <c r="A53">
        <v>52</v>
      </c>
      <c r="B53">
        <v>1</v>
      </c>
      <c r="C53">
        <v>128</v>
      </c>
      <c r="D53">
        <v>1</v>
      </c>
      <c r="E53">
        <v>38</v>
      </c>
      <c r="F53">
        <v>49</v>
      </c>
      <c r="G53" t="s">
        <v>7563</v>
      </c>
      <c r="H53" t="s">
        <v>8996</v>
      </c>
      <c r="I53" t="s">
        <v>4349</v>
      </c>
      <c r="J53" t="s">
        <v>9020</v>
      </c>
      <c r="K53" s="5">
        <v>43040</v>
      </c>
      <c r="L53" s="5" t="s">
        <v>4312</v>
      </c>
      <c r="M53" s="5" t="s">
        <v>4312</v>
      </c>
      <c r="N53">
        <v>1</v>
      </c>
      <c r="O53" t="s">
        <v>10519</v>
      </c>
    </row>
    <row r="54" spans="1:15" x14ac:dyDescent="0.25">
      <c r="A54">
        <v>53</v>
      </c>
      <c r="B54">
        <v>2</v>
      </c>
      <c r="C54">
        <v>52</v>
      </c>
      <c r="D54">
        <v>4</v>
      </c>
      <c r="E54">
        <v>1</v>
      </c>
      <c r="F54">
        <v>1</v>
      </c>
      <c r="K54" s="5">
        <v>43144</v>
      </c>
      <c r="L54" s="5">
        <v>44937</v>
      </c>
      <c r="M54" s="5">
        <v>44985</v>
      </c>
      <c r="N54">
        <v>0</v>
      </c>
      <c r="O54" t="s">
        <v>10126</v>
      </c>
    </row>
    <row r="55" spans="1:15" x14ac:dyDescent="0.25">
      <c r="A55">
        <v>54</v>
      </c>
      <c r="B55">
        <v>2</v>
      </c>
      <c r="C55">
        <v>29</v>
      </c>
      <c r="D55">
        <v>1</v>
      </c>
      <c r="E55">
        <v>1</v>
      </c>
      <c r="F55">
        <v>1</v>
      </c>
      <c r="G55" t="s">
        <v>7564</v>
      </c>
      <c r="H55" t="s">
        <v>8996</v>
      </c>
      <c r="I55" t="s">
        <v>4349</v>
      </c>
      <c r="J55" t="s">
        <v>9020</v>
      </c>
      <c r="K55" s="5">
        <v>44222</v>
      </c>
      <c r="L55" s="5" t="s">
        <v>4312</v>
      </c>
      <c r="M55" s="5">
        <v>46047</v>
      </c>
      <c r="N55">
        <v>1</v>
      </c>
      <c r="O55" t="s">
        <v>10520</v>
      </c>
    </row>
    <row r="56" spans="1:15" x14ac:dyDescent="0.25">
      <c r="A56">
        <v>55</v>
      </c>
      <c r="B56">
        <v>2</v>
      </c>
      <c r="C56">
        <v>175</v>
      </c>
      <c r="D56">
        <v>2</v>
      </c>
      <c r="E56">
        <v>1</v>
      </c>
      <c r="F56">
        <v>1</v>
      </c>
      <c r="K56" s="5">
        <v>43178</v>
      </c>
      <c r="L56" s="5">
        <v>44774</v>
      </c>
      <c r="M56" s="5">
        <v>45016</v>
      </c>
      <c r="N56">
        <v>0</v>
      </c>
      <c r="O56" t="s">
        <v>10127</v>
      </c>
    </row>
    <row r="57" spans="1:15" x14ac:dyDescent="0.25">
      <c r="A57">
        <v>56</v>
      </c>
      <c r="B57">
        <v>1</v>
      </c>
      <c r="C57">
        <v>107</v>
      </c>
      <c r="D57">
        <v>3</v>
      </c>
      <c r="E57">
        <v>1</v>
      </c>
      <c r="F57">
        <v>1</v>
      </c>
      <c r="G57" t="s">
        <v>7565</v>
      </c>
      <c r="H57" t="s">
        <v>8996</v>
      </c>
      <c r="I57" t="s">
        <v>4348</v>
      </c>
      <c r="J57" t="s">
        <v>9022</v>
      </c>
      <c r="K57" s="5">
        <v>43191</v>
      </c>
      <c r="L57" s="5" t="s">
        <v>4312</v>
      </c>
      <c r="M57" s="5" t="s">
        <v>4312</v>
      </c>
      <c r="N57">
        <v>1</v>
      </c>
      <c r="O57" t="s">
        <v>10521</v>
      </c>
    </row>
    <row r="58" spans="1:15" x14ac:dyDescent="0.25">
      <c r="A58">
        <v>138</v>
      </c>
      <c r="B58">
        <v>4</v>
      </c>
      <c r="C58">
        <v>57</v>
      </c>
      <c r="D58">
        <v>1</v>
      </c>
      <c r="E58">
        <v>38</v>
      </c>
      <c r="F58">
        <v>49</v>
      </c>
      <c r="K58" s="5">
        <v>43191</v>
      </c>
      <c r="L58" s="5">
        <v>45169</v>
      </c>
      <c r="M58" s="5" t="s">
        <v>4312</v>
      </c>
      <c r="N58">
        <v>0</v>
      </c>
      <c r="O58" t="s">
        <v>10522</v>
      </c>
    </row>
    <row r="59" spans="1:15" x14ac:dyDescent="0.25">
      <c r="A59">
        <v>57</v>
      </c>
      <c r="B59">
        <v>4</v>
      </c>
      <c r="C59">
        <v>120</v>
      </c>
      <c r="D59">
        <v>4</v>
      </c>
      <c r="E59">
        <v>38</v>
      </c>
      <c r="F59">
        <v>49</v>
      </c>
      <c r="K59" s="5">
        <v>43191</v>
      </c>
      <c r="L59" s="5">
        <v>44697</v>
      </c>
      <c r="M59" s="5" t="s">
        <v>4312</v>
      </c>
      <c r="N59">
        <v>0</v>
      </c>
      <c r="O59" t="s">
        <v>10523</v>
      </c>
    </row>
    <row r="60" spans="1:15" x14ac:dyDescent="0.25">
      <c r="A60">
        <v>58</v>
      </c>
      <c r="B60">
        <v>1</v>
      </c>
      <c r="C60">
        <v>175</v>
      </c>
      <c r="D60">
        <v>1</v>
      </c>
      <c r="E60">
        <v>1</v>
      </c>
      <c r="F60">
        <v>1</v>
      </c>
      <c r="K60" s="5">
        <v>43257</v>
      </c>
      <c r="L60" s="5">
        <v>45138</v>
      </c>
      <c r="M60" s="5" t="s">
        <v>4312</v>
      </c>
      <c r="N60">
        <v>0</v>
      </c>
      <c r="O60" t="s">
        <v>10524</v>
      </c>
    </row>
    <row r="61" spans="1:15" x14ac:dyDescent="0.25">
      <c r="A61">
        <v>233</v>
      </c>
      <c r="B61">
        <v>4</v>
      </c>
      <c r="C61">
        <v>250</v>
      </c>
      <c r="D61">
        <v>1</v>
      </c>
      <c r="E61">
        <v>1</v>
      </c>
      <c r="F61">
        <v>1</v>
      </c>
      <c r="K61" s="5">
        <v>43321</v>
      </c>
      <c r="L61" s="5">
        <v>44804</v>
      </c>
      <c r="M61" s="5" t="s">
        <v>4312</v>
      </c>
      <c r="N61">
        <v>0</v>
      </c>
      <c r="O61" t="s">
        <v>10525</v>
      </c>
    </row>
    <row r="62" spans="1:15" x14ac:dyDescent="0.25">
      <c r="A62">
        <v>60</v>
      </c>
      <c r="B62">
        <v>2</v>
      </c>
      <c r="C62">
        <v>119</v>
      </c>
      <c r="D62">
        <v>4</v>
      </c>
      <c r="E62">
        <v>1</v>
      </c>
      <c r="F62">
        <v>1</v>
      </c>
      <c r="K62" s="5">
        <v>43332</v>
      </c>
      <c r="L62" s="5">
        <v>45107</v>
      </c>
      <c r="M62" s="5">
        <v>45107</v>
      </c>
      <c r="N62">
        <v>0</v>
      </c>
      <c r="O62" t="s">
        <v>10128</v>
      </c>
    </row>
    <row r="63" spans="1:15" x14ac:dyDescent="0.25">
      <c r="A63">
        <v>61</v>
      </c>
      <c r="B63">
        <v>1</v>
      </c>
      <c r="C63">
        <v>110</v>
      </c>
      <c r="D63">
        <v>1</v>
      </c>
      <c r="E63">
        <v>1</v>
      </c>
      <c r="F63">
        <v>1</v>
      </c>
      <c r="G63" t="s">
        <v>7566</v>
      </c>
      <c r="H63" t="s">
        <v>8996</v>
      </c>
      <c r="I63" t="s">
        <v>4349</v>
      </c>
      <c r="J63" t="s">
        <v>9022</v>
      </c>
      <c r="K63" s="5">
        <v>43346</v>
      </c>
      <c r="L63" s="5" t="s">
        <v>4312</v>
      </c>
      <c r="M63" s="5" t="s">
        <v>4312</v>
      </c>
      <c r="N63">
        <v>1</v>
      </c>
      <c r="O63" t="s">
        <v>10526</v>
      </c>
    </row>
    <row r="64" spans="1:15" x14ac:dyDescent="0.25">
      <c r="A64">
        <v>62</v>
      </c>
      <c r="B64">
        <v>1</v>
      </c>
      <c r="C64">
        <v>164</v>
      </c>
      <c r="D64">
        <v>1</v>
      </c>
      <c r="E64">
        <v>34</v>
      </c>
      <c r="F64">
        <v>38</v>
      </c>
      <c r="G64" t="s">
        <v>7567</v>
      </c>
      <c r="H64" t="s">
        <v>8996</v>
      </c>
      <c r="I64" t="s">
        <v>4349</v>
      </c>
      <c r="J64" t="s">
        <v>9025</v>
      </c>
      <c r="K64" s="5">
        <v>43376</v>
      </c>
      <c r="L64" s="5" t="s">
        <v>4312</v>
      </c>
      <c r="M64" s="5" t="s">
        <v>4312</v>
      </c>
      <c r="N64">
        <v>1</v>
      </c>
      <c r="O64" t="s">
        <v>10527</v>
      </c>
    </row>
    <row r="65" spans="1:15" x14ac:dyDescent="0.25">
      <c r="A65">
        <v>63</v>
      </c>
      <c r="B65">
        <v>1</v>
      </c>
      <c r="C65">
        <v>169</v>
      </c>
      <c r="D65">
        <v>1</v>
      </c>
      <c r="E65">
        <v>36</v>
      </c>
      <c r="F65">
        <v>21</v>
      </c>
      <c r="G65" t="s">
        <v>7568</v>
      </c>
      <c r="H65" t="s">
        <v>8996</v>
      </c>
      <c r="J65" t="s">
        <v>9026</v>
      </c>
      <c r="K65" s="5">
        <v>43409</v>
      </c>
      <c r="L65" s="5">
        <v>45652</v>
      </c>
      <c r="M65" s="5" t="s">
        <v>4312</v>
      </c>
      <c r="N65">
        <v>0</v>
      </c>
      <c r="O65" t="s">
        <v>10528</v>
      </c>
    </row>
    <row r="66" spans="1:15" x14ac:dyDescent="0.25">
      <c r="A66">
        <v>225</v>
      </c>
      <c r="B66">
        <v>4</v>
      </c>
      <c r="C66">
        <v>69</v>
      </c>
      <c r="D66">
        <v>1</v>
      </c>
      <c r="E66">
        <v>38</v>
      </c>
      <c r="F66">
        <v>49</v>
      </c>
      <c r="K66" s="5">
        <v>43480</v>
      </c>
      <c r="L66" s="5">
        <v>44804</v>
      </c>
      <c r="M66" s="5" t="s">
        <v>4312</v>
      </c>
      <c r="N66">
        <v>0</v>
      </c>
      <c r="O66" t="s">
        <v>10529</v>
      </c>
    </row>
    <row r="67" spans="1:15" x14ac:dyDescent="0.25">
      <c r="A67">
        <v>64</v>
      </c>
      <c r="B67">
        <v>1</v>
      </c>
      <c r="C67">
        <v>168</v>
      </c>
      <c r="D67">
        <v>3</v>
      </c>
      <c r="E67">
        <v>38</v>
      </c>
      <c r="F67">
        <v>49</v>
      </c>
      <c r="G67" t="s">
        <v>7569</v>
      </c>
      <c r="H67" t="s">
        <v>8996</v>
      </c>
      <c r="I67" t="s">
        <v>4349</v>
      </c>
      <c r="J67" t="s">
        <v>9020</v>
      </c>
      <c r="K67" s="5">
        <v>43577</v>
      </c>
      <c r="L67" s="5" t="s">
        <v>4312</v>
      </c>
      <c r="M67" s="5" t="s">
        <v>4312</v>
      </c>
      <c r="N67">
        <v>1</v>
      </c>
      <c r="O67" t="s">
        <v>10530</v>
      </c>
    </row>
    <row r="68" spans="1:15" x14ac:dyDescent="0.25">
      <c r="A68">
        <v>65</v>
      </c>
      <c r="B68">
        <v>1</v>
      </c>
      <c r="C68">
        <v>161</v>
      </c>
      <c r="D68">
        <v>2</v>
      </c>
      <c r="E68">
        <v>38</v>
      </c>
      <c r="F68">
        <v>49</v>
      </c>
      <c r="G68" t="s">
        <v>7570</v>
      </c>
      <c r="H68" t="s">
        <v>8996</v>
      </c>
      <c r="I68" t="s">
        <v>4349</v>
      </c>
      <c r="J68" t="s">
        <v>9026</v>
      </c>
      <c r="K68" s="5">
        <v>43577</v>
      </c>
      <c r="L68" s="5">
        <v>45504</v>
      </c>
      <c r="M68" s="5" t="s">
        <v>4312</v>
      </c>
      <c r="N68">
        <v>0</v>
      </c>
      <c r="O68" t="s">
        <v>10531</v>
      </c>
    </row>
    <row r="69" spans="1:15" x14ac:dyDescent="0.25">
      <c r="A69">
        <v>66</v>
      </c>
      <c r="B69">
        <v>4</v>
      </c>
      <c r="C69">
        <v>57</v>
      </c>
      <c r="D69">
        <v>1</v>
      </c>
      <c r="E69">
        <v>38</v>
      </c>
      <c r="F69">
        <v>49</v>
      </c>
      <c r="K69" s="5">
        <v>43587</v>
      </c>
      <c r="L69" s="5">
        <v>44804</v>
      </c>
      <c r="M69" s="5" t="s">
        <v>4312</v>
      </c>
      <c r="N69">
        <v>0</v>
      </c>
      <c r="O69" t="s">
        <v>10532</v>
      </c>
    </row>
    <row r="70" spans="1:15" x14ac:dyDescent="0.25">
      <c r="A70">
        <v>67</v>
      </c>
      <c r="B70">
        <v>1</v>
      </c>
      <c r="C70">
        <v>19</v>
      </c>
      <c r="D70">
        <v>1</v>
      </c>
      <c r="E70">
        <v>1</v>
      </c>
      <c r="F70">
        <v>1</v>
      </c>
      <c r="G70" t="s">
        <v>7571</v>
      </c>
      <c r="H70" t="s">
        <v>8995</v>
      </c>
      <c r="I70" t="s">
        <v>9003</v>
      </c>
      <c r="J70" t="s">
        <v>9020</v>
      </c>
      <c r="K70" s="5">
        <v>43635</v>
      </c>
      <c r="L70" s="5" t="s">
        <v>4312</v>
      </c>
      <c r="M70" s="5" t="s">
        <v>4312</v>
      </c>
      <c r="N70">
        <v>1</v>
      </c>
      <c r="O70" t="s">
        <v>10533</v>
      </c>
    </row>
    <row r="71" spans="1:15" x14ac:dyDescent="0.25">
      <c r="A71">
        <v>68</v>
      </c>
      <c r="B71">
        <v>1</v>
      </c>
      <c r="C71">
        <v>164</v>
      </c>
      <c r="D71">
        <v>3</v>
      </c>
      <c r="E71">
        <v>29</v>
      </c>
      <c r="F71">
        <v>8</v>
      </c>
      <c r="G71" t="s">
        <v>7572</v>
      </c>
      <c r="H71" t="s">
        <v>8996</v>
      </c>
      <c r="I71" t="s">
        <v>4349</v>
      </c>
      <c r="J71" t="s">
        <v>9023</v>
      </c>
      <c r="K71" s="5">
        <v>43648</v>
      </c>
      <c r="L71" s="5" t="s">
        <v>4312</v>
      </c>
      <c r="M71" s="5" t="s">
        <v>4312</v>
      </c>
      <c r="N71">
        <v>1</v>
      </c>
      <c r="O71" t="s">
        <v>10534</v>
      </c>
    </row>
    <row r="72" spans="1:15" x14ac:dyDescent="0.25">
      <c r="A72">
        <v>69</v>
      </c>
      <c r="B72">
        <v>1</v>
      </c>
      <c r="C72">
        <v>154</v>
      </c>
      <c r="D72">
        <v>4</v>
      </c>
      <c r="E72">
        <v>34</v>
      </c>
      <c r="F72">
        <v>35</v>
      </c>
      <c r="G72" t="s">
        <v>7573</v>
      </c>
      <c r="H72" t="s">
        <v>8996</v>
      </c>
      <c r="I72" t="s">
        <v>4349</v>
      </c>
      <c r="J72" t="s">
        <v>9026</v>
      </c>
      <c r="K72" s="5">
        <v>43654</v>
      </c>
      <c r="L72" s="5">
        <v>45854</v>
      </c>
      <c r="M72" s="5" t="s">
        <v>4312</v>
      </c>
      <c r="N72">
        <v>0</v>
      </c>
      <c r="O72" t="s">
        <v>10535</v>
      </c>
    </row>
    <row r="73" spans="1:15" x14ac:dyDescent="0.25">
      <c r="A73">
        <v>70</v>
      </c>
      <c r="B73">
        <v>3</v>
      </c>
      <c r="C73">
        <v>150</v>
      </c>
      <c r="D73">
        <v>2</v>
      </c>
      <c r="E73">
        <v>22</v>
      </c>
      <c r="F73">
        <v>24</v>
      </c>
      <c r="K73" s="5">
        <v>43766</v>
      </c>
      <c r="L73" s="5">
        <v>44747</v>
      </c>
      <c r="M73" s="5">
        <v>44773</v>
      </c>
      <c r="N73">
        <v>0</v>
      </c>
      <c r="O73" t="s">
        <v>10129</v>
      </c>
    </row>
    <row r="74" spans="1:15" x14ac:dyDescent="0.25">
      <c r="A74">
        <v>71</v>
      </c>
      <c r="B74">
        <v>2</v>
      </c>
      <c r="C74">
        <v>9</v>
      </c>
      <c r="D74">
        <v>1</v>
      </c>
      <c r="E74">
        <v>1</v>
      </c>
      <c r="F74">
        <v>1</v>
      </c>
      <c r="G74" t="s">
        <v>7574</v>
      </c>
      <c r="H74" t="s">
        <v>8995</v>
      </c>
      <c r="J74" t="s">
        <v>9020</v>
      </c>
      <c r="K74" s="5">
        <v>43770</v>
      </c>
      <c r="L74" s="5">
        <v>45565</v>
      </c>
      <c r="M74" s="5">
        <v>45565</v>
      </c>
      <c r="N74">
        <v>0</v>
      </c>
      <c r="O74" t="s">
        <v>10130</v>
      </c>
    </row>
    <row r="75" spans="1:15" x14ac:dyDescent="0.25">
      <c r="A75">
        <v>72</v>
      </c>
      <c r="B75">
        <v>4</v>
      </c>
      <c r="C75">
        <v>124</v>
      </c>
      <c r="D75">
        <v>1</v>
      </c>
      <c r="E75">
        <v>38</v>
      </c>
      <c r="F75">
        <v>49</v>
      </c>
      <c r="G75" t="s">
        <v>7575</v>
      </c>
      <c r="H75" t="s">
        <v>8996</v>
      </c>
      <c r="I75" t="s">
        <v>4349</v>
      </c>
      <c r="J75" t="s">
        <v>9020</v>
      </c>
      <c r="K75" s="5">
        <v>43773</v>
      </c>
      <c r="L75" s="5" t="s">
        <v>4312</v>
      </c>
      <c r="M75" s="5" t="s">
        <v>4312</v>
      </c>
      <c r="N75">
        <v>1</v>
      </c>
      <c r="O75" t="s">
        <v>10536</v>
      </c>
    </row>
    <row r="76" spans="1:15" x14ac:dyDescent="0.25">
      <c r="A76">
        <v>73</v>
      </c>
      <c r="B76">
        <v>1</v>
      </c>
      <c r="C76">
        <v>18</v>
      </c>
      <c r="D76">
        <v>1</v>
      </c>
      <c r="E76">
        <v>1</v>
      </c>
      <c r="F76">
        <v>1</v>
      </c>
      <c r="G76" t="s">
        <v>7576</v>
      </c>
      <c r="H76" t="s">
        <v>8996</v>
      </c>
      <c r="I76" t="s">
        <v>4349</v>
      </c>
      <c r="J76" t="s">
        <v>9020</v>
      </c>
      <c r="K76" s="5">
        <v>43775</v>
      </c>
      <c r="L76" s="5">
        <v>45853</v>
      </c>
      <c r="M76" s="5" t="s">
        <v>4312</v>
      </c>
      <c r="N76">
        <v>0</v>
      </c>
      <c r="O76" t="s">
        <v>10537</v>
      </c>
    </row>
    <row r="77" spans="1:15" x14ac:dyDescent="0.25">
      <c r="A77">
        <v>74</v>
      </c>
      <c r="B77">
        <v>4</v>
      </c>
      <c r="C77">
        <v>24</v>
      </c>
      <c r="D77">
        <v>1</v>
      </c>
      <c r="E77">
        <v>1</v>
      </c>
      <c r="F77">
        <v>1</v>
      </c>
      <c r="H77" t="s">
        <v>8995</v>
      </c>
      <c r="J77" t="s">
        <v>9020</v>
      </c>
      <c r="K77" s="5">
        <v>43777</v>
      </c>
      <c r="L77" s="5">
        <v>45535</v>
      </c>
      <c r="M77" s="5" t="s">
        <v>4312</v>
      </c>
      <c r="N77">
        <v>0</v>
      </c>
      <c r="O77" t="s">
        <v>10538</v>
      </c>
    </row>
    <row r="78" spans="1:15" x14ac:dyDescent="0.25">
      <c r="A78">
        <v>75</v>
      </c>
      <c r="B78">
        <v>2</v>
      </c>
      <c r="C78">
        <v>118</v>
      </c>
      <c r="D78">
        <v>1</v>
      </c>
      <c r="E78">
        <v>1</v>
      </c>
      <c r="F78">
        <v>1</v>
      </c>
      <c r="K78" s="5">
        <v>43787</v>
      </c>
      <c r="L78" s="5">
        <v>44907</v>
      </c>
      <c r="M78" s="5">
        <v>45107</v>
      </c>
      <c r="N78">
        <v>0</v>
      </c>
      <c r="O78" t="s">
        <v>10131</v>
      </c>
    </row>
    <row r="79" spans="1:15" x14ac:dyDescent="0.25">
      <c r="A79">
        <v>76</v>
      </c>
      <c r="B79">
        <v>1</v>
      </c>
      <c r="C79">
        <v>45</v>
      </c>
      <c r="D79">
        <v>1</v>
      </c>
      <c r="E79">
        <v>1</v>
      </c>
      <c r="F79">
        <v>1</v>
      </c>
      <c r="G79" t="s">
        <v>7577</v>
      </c>
      <c r="H79" t="s">
        <v>8995</v>
      </c>
      <c r="I79" t="s">
        <v>4348</v>
      </c>
      <c r="J79" t="s">
        <v>9020</v>
      </c>
      <c r="K79" s="5">
        <v>43847</v>
      </c>
      <c r="L79" s="5" t="s">
        <v>4312</v>
      </c>
      <c r="M79" s="5" t="s">
        <v>4312</v>
      </c>
      <c r="N79">
        <v>1</v>
      </c>
      <c r="O79" t="s">
        <v>10539</v>
      </c>
    </row>
    <row r="80" spans="1:15" x14ac:dyDescent="0.25">
      <c r="A80">
        <v>77</v>
      </c>
      <c r="B80">
        <v>3</v>
      </c>
      <c r="C80">
        <v>150</v>
      </c>
      <c r="D80">
        <v>2</v>
      </c>
      <c r="E80">
        <v>26</v>
      </c>
      <c r="F80">
        <v>27</v>
      </c>
      <c r="K80" s="5">
        <v>43871</v>
      </c>
      <c r="L80" s="5">
        <v>44764</v>
      </c>
      <c r="M80" s="5">
        <v>44773</v>
      </c>
      <c r="N80">
        <v>0</v>
      </c>
      <c r="O80" t="s">
        <v>10132</v>
      </c>
    </row>
    <row r="81" spans="1:15" x14ac:dyDescent="0.25">
      <c r="A81">
        <v>78</v>
      </c>
      <c r="B81">
        <v>1</v>
      </c>
      <c r="C81">
        <v>42</v>
      </c>
      <c r="D81">
        <v>1</v>
      </c>
      <c r="E81">
        <v>1</v>
      </c>
      <c r="F81">
        <v>1</v>
      </c>
      <c r="G81" t="s">
        <v>7578</v>
      </c>
      <c r="H81" t="s">
        <v>8995</v>
      </c>
      <c r="I81" t="s">
        <v>4348</v>
      </c>
      <c r="J81" t="s">
        <v>9020</v>
      </c>
      <c r="K81" s="5">
        <v>43881</v>
      </c>
      <c r="L81" s="5" t="s">
        <v>4312</v>
      </c>
      <c r="M81" s="5" t="s">
        <v>4312</v>
      </c>
      <c r="N81">
        <v>1</v>
      </c>
      <c r="O81" t="s">
        <v>10540</v>
      </c>
    </row>
    <row r="82" spans="1:15" x14ac:dyDescent="0.25">
      <c r="A82">
        <v>79</v>
      </c>
      <c r="B82">
        <v>1</v>
      </c>
      <c r="C82">
        <v>40</v>
      </c>
      <c r="D82">
        <v>1</v>
      </c>
      <c r="E82">
        <v>1</v>
      </c>
      <c r="F82">
        <v>1</v>
      </c>
      <c r="G82" t="s">
        <v>7579</v>
      </c>
      <c r="H82" t="s">
        <v>8995</v>
      </c>
      <c r="I82" t="s">
        <v>4348</v>
      </c>
      <c r="J82" t="s">
        <v>9020</v>
      </c>
      <c r="K82" s="5">
        <v>43892</v>
      </c>
      <c r="L82" s="5" t="s">
        <v>4312</v>
      </c>
      <c r="M82" s="5" t="s">
        <v>4312</v>
      </c>
      <c r="N82">
        <v>1</v>
      </c>
      <c r="O82" t="s">
        <v>10541</v>
      </c>
    </row>
    <row r="83" spans="1:15" x14ac:dyDescent="0.25">
      <c r="A83">
        <v>80</v>
      </c>
      <c r="B83">
        <v>2</v>
      </c>
      <c r="C83">
        <v>149</v>
      </c>
      <c r="D83">
        <v>1</v>
      </c>
      <c r="E83">
        <v>38</v>
      </c>
      <c r="F83">
        <v>49</v>
      </c>
      <c r="K83" s="5">
        <v>43892</v>
      </c>
      <c r="L83" s="5">
        <v>45199</v>
      </c>
      <c r="M83" s="5">
        <v>45260</v>
      </c>
      <c r="N83">
        <v>0</v>
      </c>
      <c r="O83" t="s">
        <v>10133</v>
      </c>
    </row>
    <row r="84" spans="1:15" x14ac:dyDescent="0.25">
      <c r="A84">
        <v>81</v>
      </c>
      <c r="B84">
        <v>1</v>
      </c>
      <c r="C84">
        <v>164</v>
      </c>
      <c r="D84">
        <v>4</v>
      </c>
      <c r="E84">
        <v>21</v>
      </c>
      <c r="F84">
        <v>11</v>
      </c>
      <c r="G84" t="s">
        <v>7580</v>
      </c>
      <c r="H84" t="s">
        <v>8996</v>
      </c>
      <c r="I84" t="s">
        <v>4349</v>
      </c>
      <c r="J84" t="s">
        <v>9023</v>
      </c>
      <c r="K84" s="5">
        <v>44018</v>
      </c>
      <c r="L84" s="5" t="s">
        <v>4312</v>
      </c>
      <c r="M84" s="5" t="s">
        <v>4312</v>
      </c>
      <c r="N84">
        <v>1</v>
      </c>
      <c r="O84" t="s">
        <v>10542</v>
      </c>
    </row>
    <row r="85" spans="1:15" x14ac:dyDescent="0.25">
      <c r="A85">
        <v>283</v>
      </c>
      <c r="B85">
        <v>4</v>
      </c>
      <c r="C85">
        <v>214</v>
      </c>
      <c r="D85">
        <v>1</v>
      </c>
      <c r="E85">
        <v>1</v>
      </c>
      <c r="F85">
        <v>1</v>
      </c>
      <c r="K85" s="5">
        <v>44019</v>
      </c>
      <c r="L85" s="5">
        <v>44773</v>
      </c>
      <c r="M85" s="5" t="s">
        <v>4312</v>
      </c>
      <c r="N85">
        <v>0</v>
      </c>
      <c r="O85" t="s">
        <v>10543</v>
      </c>
    </row>
    <row r="86" spans="1:15" x14ac:dyDescent="0.25">
      <c r="A86">
        <v>83</v>
      </c>
      <c r="B86">
        <v>4</v>
      </c>
      <c r="C86">
        <v>120</v>
      </c>
      <c r="D86">
        <v>1</v>
      </c>
      <c r="E86">
        <v>38</v>
      </c>
      <c r="F86">
        <v>49</v>
      </c>
      <c r="K86" s="5">
        <v>44026</v>
      </c>
      <c r="L86" s="5">
        <v>45169</v>
      </c>
      <c r="M86" s="5" t="s">
        <v>4312</v>
      </c>
      <c r="N86">
        <v>0</v>
      </c>
      <c r="O86" t="s">
        <v>10544</v>
      </c>
    </row>
    <row r="87" spans="1:15" x14ac:dyDescent="0.25">
      <c r="A87">
        <v>84</v>
      </c>
      <c r="B87">
        <v>3</v>
      </c>
      <c r="C87">
        <v>150</v>
      </c>
      <c r="D87">
        <v>1</v>
      </c>
      <c r="E87">
        <v>29</v>
      </c>
      <c r="F87">
        <v>31</v>
      </c>
      <c r="K87" s="5">
        <v>44042</v>
      </c>
      <c r="L87" s="5">
        <v>44773</v>
      </c>
      <c r="M87" s="5">
        <v>44773</v>
      </c>
      <c r="N87">
        <v>0</v>
      </c>
      <c r="O87" t="s">
        <v>10134</v>
      </c>
    </row>
    <row r="88" spans="1:15" x14ac:dyDescent="0.25">
      <c r="A88">
        <v>85</v>
      </c>
      <c r="B88">
        <v>2</v>
      </c>
      <c r="C88">
        <v>117</v>
      </c>
      <c r="D88">
        <v>1</v>
      </c>
      <c r="E88">
        <v>1</v>
      </c>
      <c r="F88">
        <v>1</v>
      </c>
      <c r="K88" s="5">
        <v>44056</v>
      </c>
      <c r="L88" s="5">
        <v>44926</v>
      </c>
      <c r="M88" s="5">
        <v>44926</v>
      </c>
      <c r="N88">
        <v>0</v>
      </c>
      <c r="O88" t="s">
        <v>10135</v>
      </c>
    </row>
    <row r="89" spans="1:15" x14ac:dyDescent="0.25">
      <c r="A89">
        <v>86</v>
      </c>
      <c r="B89">
        <v>1</v>
      </c>
      <c r="C89">
        <v>164</v>
      </c>
      <c r="D89">
        <v>4</v>
      </c>
      <c r="E89">
        <v>21</v>
      </c>
      <c r="F89">
        <v>11</v>
      </c>
      <c r="G89" t="s">
        <v>7581</v>
      </c>
      <c r="H89" t="s">
        <v>8996</v>
      </c>
      <c r="I89" t="s">
        <v>4349</v>
      </c>
      <c r="J89" t="s">
        <v>9023</v>
      </c>
      <c r="K89" s="5">
        <v>44064</v>
      </c>
      <c r="L89" s="5" t="s">
        <v>4312</v>
      </c>
      <c r="M89" s="5" t="s">
        <v>4312</v>
      </c>
      <c r="N89">
        <v>1</v>
      </c>
      <c r="O89" t="s">
        <v>10545</v>
      </c>
    </row>
    <row r="90" spans="1:15" x14ac:dyDescent="0.25">
      <c r="A90">
        <v>87</v>
      </c>
      <c r="B90">
        <v>2</v>
      </c>
      <c r="C90">
        <v>5</v>
      </c>
      <c r="D90">
        <v>4</v>
      </c>
      <c r="E90">
        <v>1</v>
      </c>
      <c r="F90">
        <v>1</v>
      </c>
      <c r="G90" t="s">
        <v>7582</v>
      </c>
      <c r="H90" t="s">
        <v>8995</v>
      </c>
      <c r="J90" t="s">
        <v>9020</v>
      </c>
      <c r="K90" s="5">
        <v>44067</v>
      </c>
      <c r="L90" s="5">
        <v>45545</v>
      </c>
      <c r="M90" s="5">
        <v>45838</v>
      </c>
      <c r="N90">
        <v>0</v>
      </c>
      <c r="O90" t="s">
        <v>10136</v>
      </c>
    </row>
    <row r="91" spans="1:15" x14ac:dyDescent="0.25">
      <c r="A91">
        <v>88</v>
      </c>
      <c r="B91">
        <v>2</v>
      </c>
      <c r="C91">
        <v>178</v>
      </c>
      <c r="D91">
        <v>5</v>
      </c>
      <c r="E91">
        <v>1</v>
      </c>
      <c r="F91">
        <v>1</v>
      </c>
      <c r="G91" t="s">
        <v>7583</v>
      </c>
      <c r="H91" t="s">
        <v>8996</v>
      </c>
      <c r="J91" t="s">
        <v>9020</v>
      </c>
      <c r="K91" s="5">
        <v>44102</v>
      </c>
      <c r="L91" s="5">
        <v>45422</v>
      </c>
      <c r="M91" s="5">
        <v>45504</v>
      </c>
      <c r="N91">
        <v>0</v>
      </c>
      <c r="O91" t="s">
        <v>10137</v>
      </c>
    </row>
    <row r="92" spans="1:15" x14ac:dyDescent="0.25">
      <c r="A92">
        <v>147</v>
      </c>
      <c r="B92">
        <v>3</v>
      </c>
      <c r="C92">
        <v>150</v>
      </c>
      <c r="D92">
        <v>3</v>
      </c>
      <c r="E92">
        <v>15</v>
      </c>
      <c r="F92">
        <v>19</v>
      </c>
      <c r="K92" s="5">
        <v>44104</v>
      </c>
      <c r="L92" s="5">
        <v>45149</v>
      </c>
      <c r="M92" s="5">
        <v>45169</v>
      </c>
      <c r="N92">
        <v>0</v>
      </c>
      <c r="O92" t="s">
        <v>10138</v>
      </c>
    </row>
    <row r="93" spans="1:15" x14ac:dyDescent="0.25">
      <c r="A93">
        <v>89</v>
      </c>
      <c r="B93">
        <v>1</v>
      </c>
      <c r="C93">
        <v>38</v>
      </c>
      <c r="D93">
        <v>1</v>
      </c>
      <c r="E93">
        <v>1</v>
      </c>
      <c r="F93">
        <v>1</v>
      </c>
      <c r="G93" t="s">
        <v>7584</v>
      </c>
      <c r="H93" t="s">
        <v>8995</v>
      </c>
      <c r="I93" t="s">
        <v>4348</v>
      </c>
      <c r="J93" t="s">
        <v>9020</v>
      </c>
      <c r="K93" s="5">
        <v>44116</v>
      </c>
      <c r="L93" s="5" t="s">
        <v>4312</v>
      </c>
      <c r="M93" s="5" t="s">
        <v>4312</v>
      </c>
      <c r="N93">
        <v>1</v>
      </c>
      <c r="O93" t="s">
        <v>10546</v>
      </c>
    </row>
    <row r="94" spans="1:15" x14ac:dyDescent="0.25">
      <c r="A94">
        <v>90</v>
      </c>
      <c r="B94">
        <v>3</v>
      </c>
      <c r="C94">
        <v>150</v>
      </c>
      <c r="D94">
        <v>3</v>
      </c>
      <c r="E94">
        <v>7</v>
      </c>
      <c r="F94">
        <v>10</v>
      </c>
      <c r="K94" s="5">
        <v>44130</v>
      </c>
      <c r="L94" s="5">
        <v>44742</v>
      </c>
      <c r="M94" s="5">
        <v>44742</v>
      </c>
      <c r="N94">
        <v>0</v>
      </c>
      <c r="O94" t="s">
        <v>10139</v>
      </c>
    </row>
    <row r="95" spans="1:15" x14ac:dyDescent="0.25">
      <c r="A95">
        <v>91</v>
      </c>
      <c r="B95">
        <v>2</v>
      </c>
      <c r="C95">
        <v>80</v>
      </c>
      <c r="D95">
        <v>1</v>
      </c>
      <c r="E95">
        <v>1</v>
      </c>
      <c r="F95">
        <v>1</v>
      </c>
      <c r="K95" s="5">
        <v>44138</v>
      </c>
      <c r="L95" s="5">
        <v>44712</v>
      </c>
      <c r="M95" s="5">
        <v>44712</v>
      </c>
      <c r="N95">
        <v>0</v>
      </c>
      <c r="O95" t="s">
        <v>10140</v>
      </c>
    </row>
    <row r="96" spans="1:15" x14ac:dyDescent="0.25">
      <c r="A96">
        <v>92</v>
      </c>
      <c r="B96">
        <v>3</v>
      </c>
      <c r="C96">
        <v>162</v>
      </c>
      <c r="D96">
        <v>2</v>
      </c>
      <c r="E96">
        <v>34</v>
      </c>
      <c r="F96">
        <v>35</v>
      </c>
      <c r="G96" t="s">
        <v>7585</v>
      </c>
      <c r="H96" t="s">
        <v>8996</v>
      </c>
      <c r="J96" t="s">
        <v>9026</v>
      </c>
      <c r="K96" s="5">
        <v>44158</v>
      </c>
      <c r="L96" s="5">
        <v>45657</v>
      </c>
      <c r="M96" s="5">
        <v>45657</v>
      </c>
      <c r="N96">
        <v>0</v>
      </c>
      <c r="O96" t="s">
        <v>10141</v>
      </c>
    </row>
    <row r="97" spans="1:15" x14ac:dyDescent="0.25">
      <c r="A97">
        <v>93</v>
      </c>
      <c r="B97">
        <v>4</v>
      </c>
      <c r="C97">
        <v>146</v>
      </c>
      <c r="D97">
        <v>2</v>
      </c>
      <c r="E97">
        <v>38</v>
      </c>
      <c r="F97">
        <v>49</v>
      </c>
      <c r="K97" s="5">
        <v>44159</v>
      </c>
      <c r="L97" s="5">
        <v>44708</v>
      </c>
      <c r="M97" s="5" t="s">
        <v>4312</v>
      </c>
      <c r="N97">
        <v>0</v>
      </c>
      <c r="O97" t="s">
        <v>10547</v>
      </c>
    </row>
    <row r="98" spans="1:15" x14ac:dyDescent="0.25">
      <c r="A98">
        <v>94</v>
      </c>
      <c r="B98">
        <v>2</v>
      </c>
      <c r="C98">
        <v>130</v>
      </c>
      <c r="D98">
        <v>2</v>
      </c>
      <c r="E98">
        <v>1</v>
      </c>
      <c r="F98">
        <v>1</v>
      </c>
      <c r="G98" t="s">
        <v>7586</v>
      </c>
      <c r="H98" t="s">
        <v>8995</v>
      </c>
      <c r="I98" t="s">
        <v>4348</v>
      </c>
      <c r="J98" t="s">
        <v>9020</v>
      </c>
      <c r="K98" s="5">
        <v>44166</v>
      </c>
      <c r="L98" s="5" t="s">
        <v>4312</v>
      </c>
      <c r="M98" s="5">
        <v>45991</v>
      </c>
      <c r="N98">
        <v>1</v>
      </c>
      <c r="O98" t="s">
        <v>10548</v>
      </c>
    </row>
    <row r="99" spans="1:15" x14ac:dyDescent="0.25">
      <c r="A99">
        <v>95</v>
      </c>
      <c r="B99">
        <v>3</v>
      </c>
      <c r="C99">
        <v>164</v>
      </c>
      <c r="D99">
        <v>1</v>
      </c>
      <c r="E99">
        <v>36</v>
      </c>
      <c r="F99">
        <v>21</v>
      </c>
      <c r="G99" t="s">
        <v>7587</v>
      </c>
      <c r="H99" t="s">
        <v>8996</v>
      </c>
      <c r="I99" t="s">
        <v>4349</v>
      </c>
      <c r="J99" t="s">
        <v>9021</v>
      </c>
      <c r="K99" s="5">
        <v>44168</v>
      </c>
      <c r="L99" s="5" t="s">
        <v>4312</v>
      </c>
      <c r="M99" s="5">
        <v>45991</v>
      </c>
      <c r="N99">
        <v>1</v>
      </c>
      <c r="O99" t="s">
        <v>10549</v>
      </c>
    </row>
    <row r="100" spans="1:15" x14ac:dyDescent="0.25">
      <c r="A100">
        <v>96</v>
      </c>
      <c r="B100">
        <v>3</v>
      </c>
      <c r="C100">
        <v>164</v>
      </c>
      <c r="D100">
        <v>4</v>
      </c>
      <c r="E100">
        <v>21</v>
      </c>
      <c r="F100">
        <v>11</v>
      </c>
      <c r="G100" t="s">
        <v>7588</v>
      </c>
      <c r="H100" t="s">
        <v>8996</v>
      </c>
      <c r="I100" t="s">
        <v>4349</v>
      </c>
      <c r="J100" t="s">
        <v>9023</v>
      </c>
      <c r="K100" s="5">
        <v>44168</v>
      </c>
      <c r="L100" s="5" t="s">
        <v>4312</v>
      </c>
      <c r="M100" s="5">
        <v>46022</v>
      </c>
      <c r="N100">
        <v>1</v>
      </c>
      <c r="O100" t="s">
        <v>10550</v>
      </c>
    </row>
    <row r="101" spans="1:15" x14ac:dyDescent="0.25">
      <c r="A101">
        <v>97</v>
      </c>
      <c r="B101">
        <v>3</v>
      </c>
      <c r="C101">
        <v>164</v>
      </c>
      <c r="D101">
        <v>1</v>
      </c>
      <c r="E101">
        <v>36</v>
      </c>
      <c r="F101">
        <v>21</v>
      </c>
      <c r="G101" t="s">
        <v>7589</v>
      </c>
      <c r="H101" t="s">
        <v>8996</v>
      </c>
      <c r="I101" t="s">
        <v>4349</v>
      </c>
      <c r="J101" t="s">
        <v>9021</v>
      </c>
      <c r="K101" s="5">
        <v>44186</v>
      </c>
      <c r="L101" s="5" t="s">
        <v>4312</v>
      </c>
      <c r="M101" s="5">
        <v>45991</v>
      </c>
      <c r="N101">
        <v>1</v>
      </c>
      <c r="O101" t="s">
        <v>10551</v>
      </c>
    </row>
    <row r="102" spans="1:15" x14ac:dyDescent="0.25">
      <c r="A102">
        <v>98</v>
      </c>
      <c r="B102">
        <v>3</v>
      </c>
      <c r="C102">
        <v>162</v>
      </c>
      <c r="D102">
        <v>1</v>
      </c>
      <c r="E102">
        <v>18</v>
      </c>
      <c r="F102">
        <v>22</v>
      </c>
      <c r="G102" t="s">
        <v>7590</v>
      </c>
      <c r="H102" t="s">
        <v>8996</v>
      </c>
      <c r="J102" t="s">
        <v>9026</v>
      </c>
      <c r="K102" s="5">
        <v>44187</v>
      </c>
      <c r="L102" s="5">
        <v>45518</v>
      </c>
      <c r="M102" s="5">
        <v>45626</v>
      </c>
      <c r="N102">
        <v>0</v>
      </c>
      <c r="O102" t="s">
        <v>10142</v>
      </c>
    </row>
    <row r="103" spans="1:15" x14ac:dyDescent="0.25">
      <c r="A103">
        <v>99</v>
      </c>
      <c r="B103">
        <v>2</v>
      </c>
      <c r="C103">
        <v>144</v>
      </c>
      <c r="D103">
        <v>1</v>
      </c>
      <c r="E103">
        <v>1</v>
      </c>
      <c r="F103">
        <v>1</v>
      </c>
      <c r="G103" t="s">
        <v>7591</v>
      </c>
      <c r="H103" t="s">
        <v>8996</v>
      </c>
      <c r="I103" t="s">
        <v>4348</v>
      </c>
      <c r="J103" t="s">
        <v>9020</v>
      </c>
      <c r="K103" s="5">
        <v>44203</v>
      </c>
      <c r="L103" s="5" t="s">
        <v>4312</v>
      </c>
      <c r="M103" s="5">
        <v>46022</v>
      </c>
      <c r="N103">
        <v>1</v>
      </c>
      <c r="O103" t="s">
        <v>10552</v>
      </c>
    </row>
    <row r="104" spans="1:15" x14ac:dyDescent="0.25">
      <c r="A104">
        <v>100</v>
      </c>
      <c r="B104">
        <v>2</v>
      </c>
      <c r="C104">
        <v>148</v>
      </c>
      <c r="D104">
        <v>2</v>
      </c>
      <c r="E104">
        <v>38</v>
      </c>
      <c r="F104">
        <v>49</v>
      </c>
      <c r="G104" t="s">
        <v>7592</v>
      </c>
      <c r="H104" t="s">
        <v>8996</v>
      </c>
      <c r="I104" t="s">
        <v>4349</v>
      </c>
      <c r="J104" t="s">
        <v>9020</v>
      </c>
      <c r="K104" s="5">
        <v>44203</v>
      </c>
      <c r="L104" s="5">
        <v>45429</v>
      </c>
      <c r="M104" s="5">
        <v>45565</v>
      </c>
      <c r="N104">
        <v>0</v>
      </c>
      <c r="O104" t="s">
        <v>10143</v>
      </c>
    </row>
    <row r="105" spans="1:15" x14ac:dyDescent="0.25">
      <c r="A105">
        <v>101</v>
      </c>
      <c r="B105">
        <v>2</v>
      </c>
      <c r="C105">
        <v>136</v>
      </c>
      <c r="D105">
        <v>1</v>
      </c>
      <c r="E105">
        <v>1</v>
      </c>
      <c r="F105">
        <v>1</v>
      </c>
      <c r="G105" t="s">
        <v>7593</v>
      </c>
      <c r="H105" t="s">
        <v>8996</v>
      </c>
      <c r="I105" t="s">
        <v>4349</v>
      </c>
      <c r="J105" t="s">
        <v>9020</v>
      </c>
      <c r="K105" s="5">
        <v>44213</v>
      </c>
      <c r="L105" s="5" t="s">
        <v>4312</v>
      </c>
      <c r="M105" s="5">
        <v>46022</v>
      </c>
      <c r="N105">
        <v>1</v>
      </c>
      <c r="O105" t="s">
        <v>10553</v>
      </c>
    </row>
    <row r="106" spans="1:15" x14ac:dyDescent="0.25">
      <c r="A106">
        <v>102</v>
      </c>
      <c r="B106">
        <v>3</v>
      </c>
      <c r="C106">
        <v>150</v>
      </c>
      <c r="D106">
        <v>4</v>
      </c>
      <c r="E106">
        <v>35</v>
      </c>
      <c r="F106">
        <v>23</v>
      </c>
      <c r="K106" s="5">
        <v>44221</v>
      </c>
      <c r="L106" s="5">
        <v>45023</v>
      </c>
      <c r="M106" s="5">
        <v>45046</v>
      </c>
      <c r="N106">
        <v>0</v>
      </c>
      <c r="O106" t="s">
        <v>10144</v>
      </c>
    </row>
    <row r="107" spans="1:15" x14ac:dyDescent="0.25">
      <c r="A107">
        <v>103</v>
      </c>
      <c r="B107">
        <v>2</v>
      </c>
      <c r="C107">
        <v>114</v>
      </c>
      <c r="D107">
        <v>1</v>
      </c>
      <c r="E107">
        <v>1</v>
      </c>
      <c r="F107">
        <v>1</v>
      </c>
      <c r="K107" s="5">
        <v>44221</v>
      </c>
      <c r="L107" s="5">
        <v>44742</v>
      </c>
      <c r="M107" s="5">
        <v>44865</v>
      </c>
      <c r="N107">
        <v>0</v>
      </c>
      <c r="O107" t="s">
        <v>10145</v>
      </c>
    </row>
    <row r="108" spans="1:15" x14ac:dyDescent="0.25">
      <c r="A108">
        <v>260</v>
      </c>
      <c r="B108">
        <v>5</v>
      </c>
      <c r="C108">
        <v>96</v>
      </c>
      <c r="D108">
        <v>1</v>
      </c>
      <c r="E108">
        <v>1</v>
      </c>
      <c r="F108">
        <v>1</v>
      </c>
      <c r="K108" s="5">
        <v>44221</v>
      </c>
      <c r="L108" s="5">
        <v>44804</v>
      </c>
      <c r="M108" s="5">
        <v>44834</v>
      </c>
      <c r="N108">
        <v>0</v>
      </c>
      <c r="O108" t="s">
        <v>10146</v>
      </c>
    </row>
    <row r="109" spans="1:15" x14ac:dyDescent="0.25">
      <c r="A109">
        <v>105</v>
      </c>
      <c r="B109">
        <v>2</v>
      </c>
      <c r="C109">
        <v>29</v>
      </c>
      <c r="D109">
        <v>1</v>
      </c>
      <c r="E109">
        <v>1</v>
      </c>
      <c r="F109">
        <v>1</v>
      </c>
      <c r="G109" t="s">
        <v>7594</v>
      </c>
      <c r="H109" t="s">
        <v>8996</v>
      </c>
      <c r="I109" t="s">
        <v>4349</v>
      </c>
      <c r="J109" t="s">
        <v>9020</v>
      </c>
      <c r="K109" s="5">
        <v>44666</v>
      </c>
      <c r="L109" s="5" t="s">
        <v>4312</v>
      </c>
      <c r="M109" s="5">
        <v>46053</v>
      </c>
      <c r="N109">
        <v>1</v>
      </c>
      <c r="O109" t="s">
        <v>10554</v>
      </c>
    </row>
    <row r="110" spans="1:15" x14ac:dyDescent="0.25">
      <c r="A110">
        <v>106</v>
      </c>
      <c r="B110">
        <v>2</v>
      </c>
      <c r="C110">
        <v>134</v>
      </c>
      <c r="D110">
        <v>3</v>
      </c>
      <c r="E110">
        <v>1</v>
      </c>
      <c r="F110">
        <v>1</v>
      </c>
      <c r="G110" t="s">
        <v>8998</v>
      </c>
      <c r="H110" t="s">
        <v>8996</v>
      </c>
      <c r="I110" t="s">
        <v>4349</v>
      </c>
      <c r="J110" t="s">
        <v>9020</v>
      </c>
      <c r="K110" s="5">
        <v>44228</v>
      </c>
      <c r="L110" s="5">
        <v>45695</v>
      </c>
      <c r="M110" s="5">
        <v>45777</v>
      </c>
      <c r="N110">
        <v>0</v>
      </c>
      <c r="O110" t="s">
        <v>10147</v>
      </c>
    </row>
    <row r="111" spans="1:15" x14ac:dyDescent="0.25">
      <c r="A111">
        <v>107</v>
      </c>
      <c r="B111">
        <v>2</v>
      </c>
      <c r="C111">
        <v>35</v>
      </c>
      <c r="D111">
        <v>1</v>
      </c>
      <c r="E111">
        <v>1</v>
      </c>
      <c r="F111">
        <v>1</v>
      </c>
      <c r="G111" t="s">
        <v>7595</v>
      </c>
      <c r="H111" t="s">
        <v>8995</v>
      </c>
      <c r="I111" t="s">
        <v>4348</v>
      </c>
      <c r="J111" t="s">
        <v>9020</v>
      </c>
      <c r="K111" s="5">
        <v>44256</v>
      </c>
      <c r="L111" s="5" t="s">
        <v>4312</v>
      </c>
      <c r="M111" s="5">
        <v>46053</v>
      </c>
      <c r="N111">
        <v>1</v>
      </c>
      <c r="O111" t="s">
        <v>10555</v>
      </c>
    </row>
    <row r="112" spans="1:15" x14ac:dyDescent="0.25">
      <c r="A112">
        <v>157</v>
      </c>
      <c r="B112">
        <v>3</v>
      </c>
      <c r="C112">
        <v>150</v>
      </c>
      <c r="D112">
        <v>3</v>
      </c>
      <c r="E112">
        <v>4</v>
      </c>
      <c r="F112">
        <v>4</v>
      </c>
      <c r="K112" s="5">
        <v>44256</v>
      </c>
      <c r="L112" s="5">
        <v>44773</v>
      </c>
      <c r="M112" s="5">
        <v>44804</v>
      </c>
      <c r="N112">
        <v>0</v>
      </c>
      <c r="O112" t="s">
        <v>10148</v>
      </c>
    </row>
    <row r="113" spans="1:15" x14ac:dyDescent="0.25">
      <c r="A113">
        <v>108</v>
      </c>
      <c r="B113">
        <v>3</v>
      </c>
      <c r="C113">
        <v>164</v>
      </c>
      <c r="D113">
        <v>1</v>
      </c>
      <c r="E113">
        <v>36</v>
      </c>
      <c r="F113">
        <v>21</v>
      </c>
      <c r="G113" t="s">
        <v>7596</v>
      </c>
      <c r="H113" t="s">
        <v>8996</v>
      </c>
      <c r="I113" t="s">
        <v>4349</v>
      </c>
      <c r="J113" t="s">
        <v>9021</v>
      </c>
      <c r="K113" s="5">
        <v>44259</v>
      </c>
      <c r="L113" s="5" t="s">
        <v>4312</v>
      </c>
      <c r="M113" s="5">
        <v>45991</v>
      </c>
      <c r="N113">
        <v>1</v>
      </c>
      <c r="O113" t="s">
        <v>10556</v>
      </c>
    </row>
    <row r="114" spans="1:15" x14ac:dyDescent="0.25">
      <c r="A114">
        <v>109</v>
      </c>
      <c r="B114">
        <v>3</v>
      </c>
      <c r="C114">
        <v>157</v>
      </c>
      <c r="D114">
        <v>2</v>
      </c>
      <c r="E114">
        <v>32</v>
      </c>
      <c r="F114">
        <v>34</v>
      </c>
      <c r="G114" t="s">
        <v>7597</v>
      </c>
      <c r="H114" t="s">
        <v>8996</v>
      </c>
      <c r="I114" t="s">
        <v>4349</v>
      </c>
      <c r="J114" t="s">
        <v>9027</v>
      </c>
      <c r="K114" s="5">
        <v>44263</v>
      </c>
      <c r="L114" s="5" t="s">
        <v>4312</v>
      </c>
      <c r="M114" s="5">
        <v>46022</v>
      </c>
      <c r="N114">
        <v>1</v>
      </c>
      <c r="O114" t="s">
        <v>10557</v>
      </c>
    </row>
    <row r="115" spans="1:15" x14ac:dyDescent="0.25">
      <c r="A115">
        <v>110</v>
      </c>
      <c r="B115">
        <v>3</v>
      </c>
      <c r="C115">
        <v>150</v>
      </c>
      <c r="D115">
        <v>1</v>
      </c>
      <c r="E115">
        <v>36</v>
      </c>
      <c r="F115">
        <v>21</v>
      </c>
      <c r="K115" s="5">
        <v>44293</v>
      </c>
      <c r="L115" s="5">
        <v>45090</v>
      </c>
      <c r="M115" s="5">
        <v>45107</v>
      </c>
      <c r="N115">
        <v>0</v>
      </c>
      <c r="O115" t="s">
        <v>10149</v>
      </c>
    </row>
    <row r="116" spans="1:15" x14ac:dyDescent="0.25">
      <c r="A116">
        <v>111</v>
      </c>
      <c r="B116">
        <v>4</v>
      </c>
      <c r="C116">
        <v>65</v>
      </c>
      <c r="D116">
        <v>1</v>
      </c>
      <c r="E116">
        <v>1</v>
      </c>
      <c r="F116">
        <v>1</v>
      </c>
      <c r="G116" t="s">
        <v>7598</v>
      </c>
      <c r="H116" t="s">
        <v>8996</v>
      </c>
      <c r="I116" t="s">
        <v>4349</v>
      </c>
      <c r="J116" t="s">
        <v>9020</v>
      </c>
      <c r="K116" s="5">
        <v>44293</v>
      </c>
      <c r="L116" s="5">
        <v>45747</v>
      </c>
      <c r="M116" s="5" t="s">
        <v>4312</v>
      </c>
      <c r="N116">
        <v>0</v>
      </c>
      <c r="O116" t="s">
        <v>10558</v>
      </c>
    </row>
    <row r="117" spans="1:15" x14ac:dyDescent="0.25">
      <c r="A117">
        <v>112</v>
      </c>
      <c r="B117">
        <v>4</v>
      </c>
      <c r="C117">
        <v>250</v>
      </c>
      <c r="D117">
        <v>1</v>
      </c>
      <c r="E117">
        <v>1</v>
      </c>
      <c r="F117">
        <v>1</v>
      </c>
      <c r="K117" s="5">
        <v>44298</v>
      </c>
      <c r="L117" s="5">
        <v>44687</v>
      </c>
      <c r="M117" s="5" t="s">
        <v>4312</v>
      </c>
      <c r="N117">
        <v>0</v>
      </c>
      <c r="O117" t="s">
        <v>10559</v>
      </c>
    </row>
    <row r="118" spans="1:15" x14ac:dyDescent="0.25">
      <c r="A118">
        <v>113</v>
      </c>
      <c r="B118">
        <v>6</v>
      </c>
      <c r="C118">
        <v>79</v>
      </c>
      <c r="D118">
        <v>1</v>
      </c>
      <c r="E118">
        <v>1</v>
      </c>
      <c r="F118">
        <v>1</v>
      </c>
      <c r="K118" s="5">
        <v>44300</v>
      </c>
      <c r="L118" s="5">
        <v>44757</v>
      </c>
      <c r="M118" s="5">
        <v>44757</v>
      </c>
      <c r="N118">
        <v>0</v>
      </c>
      <c r="O118" t="s">
        <v>10150</v>
      </c>
    </row>
    <row r="119" spans="1:15" x14ac:dyDescent="0.25">
      <c r="A119">
        <v>114</v>
      </c>
      <c r="B119">
        <v>3</v>
      </c>
      <c r="C119">
        <v>150</v>
      </c>
      <c r="D119">
        <v>2</v>
      </c>
      <c r="E119">
        <v>12</v>
      </c>
      <c r="F119">
        <v>16</v>
      </c>
      <c r="G119" t="s">
        <v>7599</v>
      </c>
      <c r="H119" t="s">
        <v>8996</v>
      </c>
      <c r="J119" t="s">
        <v>9026</v>
      </c>
      <c r="K119" s="5">
        <v>44313</v>
      </c>
      <c r="L119" s="5">
        <v>45291</v>
      </c>
      <c r="M119" s="5">
        <v>45291</v>
      </c>
      <c r="N119">
        <v>0</v>
      </c>
      <c r="O119" t="s">
        <v>10151</v>
      </c>
    </row>
    <row r="120" spans="1:15" x14ac:dyDescent="0.25">
      <c r="A120">
        <v>115</v>
      </c>
      <c r="B120">
        <v>2</v>
      </c>
      <c r="C120">
        <v>174</v>
      </c>
      <c r="D120">
        <v>1</v>
      </c>
      <c r="E120">
        <v>1</v>
      </c>
      <c r="F120">
        <v>1</v>
      </c>
      <c r="G120" t="s">
        <v>7600</v>
      </c>
      <c r="H120" t="s">
        <v>8996</v>
      </c>
      <c r="I120" t="s">
        <v>4348</v>
      </c>
      <c r="J120" t="s">
        <v>9020</v>
      </c>
      <c r="K120" s="5">
        <v>44319</v>
      </c>
      <c r="L120" s="5" t="s">
        <v>4312</v>
      </c>
      <c r="M120" s="5">
        <v>46142</v>
      </c>
      <c r="N120">
        <v>1</v>
      </c>
      <c r="O120" t="s">
        <v>10560</v>
      </c>
    </row>
    <row r="121" spans="1:15" x14ac:dyDescent="0.25">
      <c r="A121">
        <v>116</v>
      </c>
      <c r="B121">
        <v>4</v>
      </c>
      <c r="C121">
        <v>146</v>
      </c>
      <c r="D121">
        <v>1</v>
      </c>
      <c r="E121">
        <v>38</v>
      </c>
      <c r="F121">
        <v>49</v>
      </c>
      <c r="K121" s="5">
        <v>44320</v>
      </c>
      <c r="L121" s="5">
        <v>44675</v>
      </c>
      <c r="M121" s="5" t="s">
        <v>4312</v>
      </c>
      <c r="N121">
        <v>0</v>
      </c>
      <c r="O121" t="s">
        <v>10561</v>
      </c>
    </row>
    <row r="122" spans="1:15" x14ac:dyDescent="0.25">
      <c r="A122">
        <v>117</v>
      </c>
      <c r="B122">
        <v>4</v>
      </c>
      <c r="C122">
        <v>249</v>
      </c>
      <c r="D122">
        <v>1</v>
      </c>
      <c r="E122">
        <v>38</v>
      </c>
      <c r="F122">
        <v>49</v>
      </c>
      <c r="K122" s="5">
        <v>44320</v>
      </c>
      <c r="L122" s="5">
        <v>44985</v>
      </c>
      <c r="M122" s="5" t="s">
        <v>4312</v>
      </c>
      <c r="N122">
        <v>0</v>
      </c>
      <c r="O122" t="s">
        <v>10562</v>
      </c>
    </row>
    <row r="123" spans="1:15" x14ac:dyDescent="0.25">
      <c r="A123">
        <v>118</v>
      </c>
      <c r="B123">
        <v>4</v>
      </c>
      <c r="C123">
        <v>123</v>
      </c>
      <c r="D123">
        <v>1</v>
      </c>
      <c r="E123">
        <v>38</v>
      </c>
      <c r="F123">
        <v>49</v>
      </c>
      <c r="G123" t="s">
        <v>7601</v>
      </c>
      <c r="H123" t="s">
        <v>8996</v>
      </c>
      <c r="J123" t="s">
        <v>9020</v>
      </c>
      <c r="K123" s="5">
        <v>44321</v>
      </c>
      <c r="L123" s="5">
        <v>45596</v>
      </c>
      <c r="M123" s="5" t="s">
        <v>4312</v>
      </c>
      <c r="N123">
        <v>0</v>
      </c>
      <c r="O123" t="s">
        <v>10563</v>
      </c>
    </row>
    <row r="124" spans="1:15" x14ac:dyDescent="0.25">
      <c r="A124">
        <v>119</v>
      </c>
      <c r="B124">
        <v>2</v>
      </c>
      <c r="C124">
        <v>168</v>
      </c>
      <c r="D124">
        <v>1</v>
      </c>
      <c r="E124">
        <v>38</v>
      </c>
      <c r="F124">
        <v>49</v>
      </c>
      <c r="G124" t="s">
        <v>7602</v>
      </c>
      <c r="H124" t="s">
        <v>8996</v>
      </c>
      <c r="I124" t="s">
        <v>4349</v>
      </c>
      <c r="J124" t="s">
        <v>9020</v>
      </c>
      <c r="K124" s="5">
        <v>44327</v>
      </c>
      <c r="L124" s="5">
        <v>45672</v>
      </c>
      <c r="M124" s="5">
        <v>45688</v>
      </c>
      <c r="N124">
        <v>0</v>
      </c>
      <c r="O124" t="s">
        <v>10152</v>
      </c>
    </row>
    <row r="125" spans="1:15" x14ac:dyDescent="0.25">
      <c r="A125">
        <v>120</v>
      </c>
      <c r="B125">
        <v>3</v>
      </c>
      <c r="C125">
        <v>162</v>
      </c>
      <c r="D125">
        <v>3</v>
      </c>
      <c r="E125">
        <v>34</v>
      </c>
      <c r="F125">
        <v>35</v>
      </c>
      <c r="G125" t="s">
        <v>7603</v>
      </c>
      <c r="H125" t="s">
        <v>8996</v>
      </c>
      <c r="I125" t="s">
        <v>4349</v>
      </c>
      <c r="J125" t="s">
        <v>9026</v>
      </c>
      <c r="K125" s="5">
        <v>44333</v>
      </c>
      <c r="L125" s="5">
        <v>45869</v>
      </c>
      <c r="M125" s="5">
        <v>45869</v>
      </c>
      <c r="N125">
        <v>0</v>
      </c>
      <c r="O125" t="s">
        <v>10153</v>
      </c>
    </row>
    <row r="126" spans="1:15" x14ac:dyDescent="0.25">
      <c r="A126">
        <v>121</v>
      </c>
      <c r="B126">
        <v>4</v>
      </c>
      <c r="C126">
        <v>248</v>
      </c>
      <c r="D126">
        <v>4</v>
      </c>
      <c r="E126">
        <v>38</v>
      </c>
      <c r="F126">
        <v>49</v>
      </c>
      <c r="K126" s="5">
        <v>44333</v>
      </c>
      <c r="L126" s="5">
        <v>45000</v>
      </c>
      <c r="M126" s="5" t="s">
        <v>4312</v>
      </c>
      <c r="N126">
        <v>0</v>
      </c>
      <c r="O126" t="s">
        <v>10564</v>
      </c>
    </row>
    <row r="127" spans="1:15" x14ac:dyDescent="0.25">
      <c r="A127">
        <v>122</v>
      </c>
      <c r="B127">
        <v>4</v>
      </c>
      <c r="C127">
        <v>143</v>
      </c>
      <c r="D127">
        <v>1</v>
      </c>
      <c r="E127">
        <v>38</v>
      </c>
      <c r="F127">
        <v>49</v>
      </c>
      <c r="K127" s="5">
        <v>44363</v>
      </c>
      <c r="L127" s="5">
        <v>44742</v>
      </c>
      <c r="M127" s="5" t="s">
        <v>4312</v>
      </c>
      <c r="N127">
        <v>0</v>
      </c>
      <c r="O127" t="s">
        <v>10565</v>
      </c>
    </row>
    <row r="128" spans="1:15" x14ac:dyDescent="0.25">
      <c r="A128">
        <v>123</v>
      </c>
      <c r="B128">
        <v>3</v>
      </c>
      <c r="C128">
        <v>150</v>
      </c>
      <c r="D128">
        <v>4</v>
      </c>
      <c r="E128">
        <v>20</v>
      </c>
      <c r="F128">
        <v>11</v>
      </c>
      <c r="G128" t="s">
        <v>7604</v>
      </c>
      <c r="H128" t="s">
        <v>8996</v>
      </c>
      <c r="J128" t="s">
        <v>9026</v>
      </c>
      <c r="K128" s="5">
        <v>44363</v>
      </c>
      <c r="L128" s="5">
        <v>45260</v>
      </c>
      <c r="M128" s="5">
        <v>45291</v>
      </c>
      <c r="N128">
        <v>0</v>
      </c>
      <c r="O128" t="s">
        <v>10154</v>
      </c>
    </row>
    <row r="129" spans="1:15" x14ac:dyDescent="0.25">
      <c r="A129">
        <v>193</v>
      </c>
      <c r="B129">
        <v>3</v>
      </c>
      <c r="C129">
        <v>150</v>
      </c>
      <c r="D129">
        <v>1</v>
      </c>
      <c r="E129">
        <v>11</v>
      </c>
      <c r="F129">
        <v>15</v>
      </c>
      <c r="G129" t="s">
        <v>8999</v>
      </c>
      <c r="H129" t="s">
        <v>8996</v>
      </c>
      <c r="I129" t="s">
        <v>4349</v>
      </c>
      <c r="J129" t="s">
        <v>9026</v>
      </c>
      <c r="K129" s="5">
        <v>44379</v>
      </c>
      <c r="L129" s="5">
        <v>45291</v>
      </c>
      <c r="M129" s="5">
        <v>45291</v>
      </c>
      <c r="N129">
        <v>0</v>
      </c>
      <c r="O129" t="s">
        <v>10155</v>
      </c>
    </row>
    <row r="130" spans="1:15" x14ac:dyDescent="0.25">
      <c r="A130">
        <v>125</v>
      </c>
      <c r="B130">
        <v>3</v>
      </c>
      <c r="C130">
        <v>157</v>
      </c>
      <c r="D130">
        <v>1</v>
      </c>
      <c r="E130">
        <v>10</v>
      </c>
      <c r="F130">
        <v>14</v>
      </c>
      <c r="G130" t="s">
        <v>7605</v>
      </c>
      <c r="H130" t="s">
        <v>8996</v>
      </c>
      <c r="I130" t="s">
        <v>4349</v>
      </c>
      <c r="J130" t="s">
        <v>9024</v>
      </c>
      <c r="K130" s="5">
        <v>44385</v>
      </c>
      <c r="L130" s="5" t="s">
        <v>4312</v>
      </c>
      <c r="M130" s="5">
        <v>45991</v>
      </c>
      <c r="N130">
        <v>1</v>
      </c>
      <c r="O130" t="s">
        <v>10566</v>
      </c>
    </row>
    <row r="131" spans="1:15" x14ac:dyDescent="0.25">
      <c r="A131">
        <v>126</v>
      </c>
      <c r="B131">
        <v>2</v>
      </c>
      <c r="C131">
        <v>188</v>
      </c>
      <c r="D131">
        <v>1</v>
      </c>
      <c r="E131">
        <v>1</v>
      </c>
      <c r="F131">
        <v>1</v>
      </c>
      <c r="K131" s="5">
        <v>44389</v>
      </c>
      <c r="L131" s="5">
        <v>45079</v>
      </c>
      <c r="M131" s="5">
        <v>45138</v>
      </c>
      <c r="N131">
        <v>0</v>
      </c>
      <c r="O131" t="s">
        <v>10156</v>
      </c>
    </row>
    <row r="132" spans="1:15" x14ac:dyDescent="0.25">
      <c r="A132">
        <v>127</v>
      </c>
      <c r="B132">
        <v>4</v>
      </c>
      <c r="C132">
        <v>249</v>
      </c>
      <c r="D132">
        <v>1</v>
      </c>
      <c r="E132">
        <v>38</v>
      </c>
      <c r="F132">
        <v>49</v>
      </c>
      <c r="K132" s="5">
        <v>44400</v>
      </c>
      <c r="L132" s="5">
        <v>45169</v>
      </c>
      <c r="M132" s="5" t="s">
        <v>4312</v>
      </c>
      <c r="N132">
        <v>0</v>
      </c>
      <c r="O132" t="s">
        <v>10567</v>
      </c>
    </row>
    <row r="133" spans="1:15" x14ac:dyDescent="0.25">
      <c r="A133">
        <v>128</v>
      </c>
      <c r="B133">
        <v>3</v>
      </c>
      <c r="C133">
        <v>164</v>
      </c>
      <c r="D133">
        <v>2</v>
      </c>
      <c r="E133">
        <v>34</v>
      </c>
      <c r="F133">
        <v>39</v>
      </c>
      <c r="G133" t="s">
        <v>7606</v>
      </c>
      <c r="H133" t="s">
        <v>8996</v>
      </c>
      <c r="I133" t="s">
        <v>4349</v>
      </c>
      <c r="J133" t="s">
        <v>9025</v>
      </c>
      <c r="K133" s="5">
        <v>44403</v>
      </c>
      <c r="L133" s="5" t="s">
        <v>4312</v>
      </c>
      <c r="M133" s="5">
        <v>45991</v>
      </c>
      <c r="N133">
        <v>1</v>
      </c>
      <c r="O133" t="s">
        <v>10568</v>
      </c>
    </row>
    <row r="134" spans="1:15" x14ac:dyDescent="0.25">
      <c r="A134">
        <v>129</v>
      </c>
      <c r="B134">
        <v>4</v>
      </c>
      <c r="C134">
        <v>122</v>
      </c>
      <c r="D134">
        <v>1</v>
      </c>
      <c r="E134">
        <v>38</v>
      </c>
      <c r="F134">
        <v>49</v>
      </c>
      <c r="G134" t="s">
        <v>7607</v>
      </c>
      <c r="H134" t="s">
        <v>8996</v>
      </c>
      <c r="I134" t="s">
        <v>4349</v>
      </c>
      <c r="J134" t="s">
        <v>9020</v>
      </c>
      <c r="K134" s="5">
        <v>44407</v>
      </c>
      <c r="L134" s="5">
        <v>45688</v>
      </c>
      <c r="M134" s="5" t="s">
        <v>4312</v>
      </c>
      <c r="N134">
        <v>0</v>
      </c>
      <c r="O134" t="s">
        <v>10569</v>
      </c>
    </row>
    <row r="135" spans="1:15" x14ac:dyDescent="0.25">
      <c r="A135">
        <v>130</v>
      </c>
      <c r="B135">
        <v>3</v>
      </c>
      <c r="C135">
        <v>164</v>
      </c>
      <c r="D135">
        <v>3</v>
      </c>
      <c r="E135">
        <v>9</v>
      </c>
      <c r="F135">
        <v>13</v>
      </c>
      <c r="G135" t="s">
        <v>7608</v>
      </c>
      <c r="H135" t="s">
        <v>8996</v>
      </c>
      <c r="I135" t="s">
        <v>4349</v>
      </c>
      <c r="J135" t="s">
        <v>9025</v>
      </c>
      <c r="K135" s="5">
        <v>44411</v>
      </c>
      <c r="L135" s="5" t="s">
        <v>4312</v>
      </c>
      <c r="M135" s="5">
        <v>46022</v>
      </c>
      <c r="N135">
        <v>1</v>
      </c>
      <c r="O135" t="s">
        <v>10570</v>
      </c>
    </row>
    <row r="136" spans="1:15" x14ac:dyDescent="0.25">
      <c r="A136">
        <v>131</v>
      </c>
      <c r="B136">
        <v>2</v>
      </c>
      <c r="C136">
        <v>53</v>
      </c>
      <c r="D136">
        <v>1</v>
      </c>
      <c r="E136">
        <v>1</v>
      </c>
      <c r="F136">
        <v>1</v>
      </c>
      <c r="G136" t="s">
        <v>7609</v>
      </c>
      <c r="H136" t="s">
        <v>8996</v>
      </c>
      <c r="I136" t="s">
        <v>4348</v>
      </c>
      <c r="J136" t="s">
        <v>9020</v>
      </c>
      <c r="K136" s="5">
        <v>44417</v>
      </c>
      <c r="L136" s="5" t="s">
        <v>4312</v>
      </c>
      <c r="M136" s="5">
        <v>45991</v>
      </c>
      <c r="N136">
        <v>1</v>
      </c>
      <c r="O136" t="s">
        <v>10571</v>
      </c>
    </row>
    <row r="137" spans="1:15" x14ac:dyDescent="0.25">
      <c r="A137">
        <v>239</v>
      </c>
      <c r="B137">
        <v>6</v>
      </c>
      <c r="C137">
        <v>103</v>
      </c>
      <c r="D137">
        <v>1</v>
      </c>
      <c r="E137">
        <v>1</v>
      </c>
      <c r="F137">
        <v>1</v>
      </c>
      <c r="K137" s="5">
        <v>44417</v>
      </c>
      <c r="L137" s="5">
        <v>44926</v>
      </c>
      <c r="M137" s="5">
        <v>44865</v>
      </c>
      <c r="N137">
        <v>0</v>
      </c>
      <c r="O137" t="s">
        <v>10157</v>
      </c>
    </row>
    <row r="138" spans="1:15" x14ac:dyDescent="0.25">
      <c r="A138">
        <v>132</v>
      </c>
      <c r="B138">
        <v>2</v>
      </c>
      <c r="C138">
        <v>185</v>
      </c>
      <c r="D138">
        <v>1</v>
      </c>
      <c r="E138">
        <v>1</v>
      </c>
      <c r="F138">
        <v>1</v>
      </c>
      <c r="K138" s="5">
        <v>44417</v>
      </c>
      <c r="L138" s="5">
        <v>44773</v>
      </c>
      <c r="M138" s="5">
        <v>44804</v>
      </c>
      <c r="N138">
        <v>0</v>
      </c>
      <c r="O138" t="s">
        <v>10158</v>
      </c>
    </row>
    <row r="139" spans="1:15" x14ac:dyDescent="0.25">
      <c r="A139">
        <v>133</v>
      </c>
      <c r="B139">
        <v>4</v>
      </c>
      <c r="C139">
        <v>146</v>
      </c>
      <c r="D139">
        <v>4</v>
      </c>
      <c r="E139">
        <v>38</v>
      </c>
      <c r="F139">
        <v>49</v>
      </c>
      <c r="K139" s="5">
        <v>44417</v>
      </c>
      <c r="L139" s="5">
        <v>45107</v>
      </c>
      <c r="M139" s="5" t="s">
        <v>4312</v>
      </c>
      <c r="N139">
        <v>0</v>
      </c>
      <c r="O139" t="s">
        <v>10572</v>
      </c>
    </row>
    <row r="140" spans="1:15" x14ac:dyDescent="0.25">
      <c r="A140">
        <v>134</v>
      </c>
      <c r="B140">
        <v>2</v>
      </c>
      <c r="C140">
        <v>221</v>
      </c>
      <c r="D140">
        <v>2</v>
      </c>
      <c r="E140">
        <v>1</v>
      </c>
      <c r="F140">
        <v>1</v>
      </c>
      <c r="K140" s="5">
        <v>44426</v>
      </c>
      <c r="L140" s="5">
        <v>44773</v>
      </c>
      <c r="M140" s="5">
        <v>44773</v>
      </c>
      <c r="N140">
        <v>0</v>
      </c>
      <c r="O140" t="s">
        <v>10159</v>
      </c>
    </row>
    <row r="141" spans="1:15" x14ac:dyDescent="0.25">
      <c r="A141">
        <v>135</v>
      </c>
      <c r="B141">
        <v>3</v>
      </c>
      <c r="C141">
        <v>164</v>
      </c>
      <c r="D141">
        <v>1</v>
      </c>
      <c r="E141">
        <v>24</v>
      </c>
      <c r="F141">
        <v>25</v>
      </c>
      <c r="G141" t="s">
        <v>7610</v>
      </c>
      <c r="H141" t="s">
        <v>8996</v>
      </c>
      <c r="I141" t="s">
        <v>4349</v>
      </c>
      <c r="J141" t="s">
        <v>9024</v>
      </c>
      <c r="K141" s="5">
        <v>44433</v>
      </c>
      <c r="L141" s="5" t="s">
        <v>4312</v>
      </c>
      <c r="M141" s="5">
        <v>46112</v>
      </c>
      <c r="N141">
        <v>1</v>
      </c>
      <c r="O141" t="s">
        <v>10573</v>
      </c>
    </row>
    <row r="142" spans="1:15" x14ac:dyDescent="0.25">
      <c r="A142">
        <v>136</v>
      </c>
      <c r="B142">
        <v>2</v>
      </c>
      <c r="C142">
        <v>125</v>
      </c>
      <c r="D142">
        <v>1</v>
      </c>
      <c r="E142">
        <v>38</v>
      </c>
      <c r="F142">
        <v>49</v>
      </c>
      <c r="G142" t="s">
        <v>7611</v>
      </c>
      <c r="H142" t="s">
        <v>8996</v>
      </c>
      <c r="I142" t="s">
        <v>4349</v>
      </c>
      <c r="J142" t="s">
        <v>9020</v>
      </c>
      <c r="K142" s="5">
        <v>44440</v>
      </c>
      <c r="L142" s="5" t="s">
        <v>4312</v>
      </c>
      <c r="M142" s="5">
        <v>46022</v>
      </c>
      <c r="N142">
        <v>1</v>
      </c>
      <c r="O142" t="s">
        <v>10574</v>
      </c>
    </row>
    <row r="143" spans="1:15" x14ac:dyDescent="0.25">
      <c r="A143">
        <v>137</v>
      </c>
      <c r="B143">
        <v>2</v>
      </c>
      <c r="C143">
        <v>187</v>
      </c>
      <c r="D143">
        <v>1</v>
      </c>
      <c r="E143">
        <v>1</v>
      </c>
      <c r="F143">
        <v>1</v>
      </c>
      <c r="K143" s="5">
        <v>44440</v>
      </c>
      <c r="L143" s="5">
        <v>45162</v>
      </c>
      <c r="M143" s="5">
        <v>45169</v>
      </c>
      <c r="N143">
        <v>0</v>
      </c>
      <c r="O143" t="s">
        <v>10160</v>
      </c>
    </row>
    <row r="144" spans="1:15" x14ac:dyDescent="0.25">
      <c r="A144">
        <v>679</v>
      </c>
      <c r="B144">
        <v>5</v>
      </c>
      <c r="C144">
        <v>99</v>
      </c>
      <c r="D144">
        <v>1</v>
      </c>
      <c r="E144">
        <v>1</v>
      </c>
      <c r="F144">
        <v>1</v>
      </c>
      <c r="K144" s="5">
        <v>44441</v>
      </c>
      <c r="L144" s="5">
        <v>44804</v>
      </c>
      <c r="M144" s="5">
        <v>44804</v>
      </c>
      <c r="N144">
        <v>0</v>
      </c>
      <c r="O144" t="s">
        <v>10161</v>
      </c>
    </row>
    <row r="145" spans="1:15" x14ac:dyDescent="0.25">
      <c r="A145">
        <v>139</v>
      </c>
      <c r="B145">
        <v>1</v>
      </c>
      <c r="C145">
        <v>33</v>
      </c>
      <c r="D145">
        <v>1</v>
      </c>
      <c r="E145">
        <v>1</v>
      </c>
      <c r="F145">
        <v>1</v>
      </c>
      <c r="G145" t="s">
        <v>7612</v>
      </c>
      <c r="H145" t="s">
        <v>8995</v>
      </c>
      <c r="I145" t="s">
        <v>4348</v>
      </c>
      <c r="J145" t="s">
        <v>9020</v>
      </c>
      <c r="K145" s="5">
        <v>44447</v>
      </c>
      <c r="L145" s="5" t="s">
        <v>4312</v>
      </c>
      <c r="M145" s="5" t="s">
        <v>4312</v>
      </c>
      <c r="N145">
        <v>1</v>
      </c>
      <c r="O145" t="s">
        <v>10575</v>
      </c>
    </row>
    <row r="146" spans="1:15" x14ac:dyDescent="0.25">
      <c r="A146">
        <v>140</v>
      </c>
      <c r="B146">
        <v>4</v>
      </c>
      <c r="C146">
        <v>249</v>
      </c>
      <c r="D146">
        <v>4</v>
      </c>
      <c r="E146">
        <v>38</v>
      </c>
      <c r="F146">
        <v>49</v>
      </c>
      <c r="K146" s="5">
        <v>44463</v>
      </c>
      <c r="L146" s="5">
        <v>45199</v>
      </c>
      <c r="M146" s="5" t="s">
        <v>4312</v>
      </c>
      <c r="N146">
        <v>0</v>
      </c>
      <c r="O146" t="s">
        <v>10576</v>
      </c>
    </row>
    <row r="147" spans="1:15" x14ac:dyDescent="0.25">
      <c r="A147">
        <v>141</v>
      </c>
      <c r="B147">
        <v>2</v>
      </c>
      <c r="C147">
        <v>216</v>
      </c>
      <c r="D147">
        <v>1</v>
      </c>
      <c r="E147">
        <v>1</v>
      </c>
      <c r="F147">
        <v>1</v>
      </c>
      <c r="K147" s="5">
        <v>44470</v>
      </c>
      <c r="L147" s="5">
        <v>45107</v>
      </c>
      <c r="M147" s="5">
        <v>45199</v>
      </c>
      <c r="N147">
        <v>0</v>
      </c>
      <c r="O147" t="s">
        <v>10162</v>
      </c>
    </row>
    <row r="148" spans="1:15" x14ac:dyDescent="0.25">
      <c r="A148">
        <v>142</v>
      </c>
      <c r="B148">
        <v>4</v>
      </c>
      <c r="C148">
        <v>236</v>
      </c>
      <c r="D148">
        <v>2</v>
      </c>
      <c r="E148">
        <v>1</v>
      </c>
      <c r="F148">
        <v>1</v>
      </c>
      <c r="K148" s="5">
        <v>44470</v>
      </c>
      <c r="L148" s="5">
        <v>44742</v>
      </c>
      <c r="M148" s="5" t="s">
        <v>4312</v>
      </c>
      <c r="N148">
        <v>0</v>
      </c>
      <c r="O148" t="s">
        <v>10577</v>
      </c>
    </row>
    <row r="149" spans="1:15" x14ac:dyDescent="0.25">
      <c r="A149">
        <v>143</v>
      </c>
      <c r="B149">
        <v>2</v>
      </c>
      <c r="C149">
        <v>47</v>
      </c>
      <c r="D149">
        <v>1</v>
      </c>
      <c r="E149">
        <v>1</v>
      </c>
      <c r="F149">
        <v>1</v>
      </c>
      <c r="G149" t="s">
        <v>7613</v>
      </c>
      <c r="H149" t="s">
        <v>8995</v>
      </c>
      <c r="I149" t="s">
        <v>4348</v>
      </c>
      <c r="J149" t="s">
        <v>9020</v>
      </c>
      <c r="K149" s="5">
        <v>44480</v>
      </c>
      <c r="L149" s="5">
        <v>45832</v>
      </c>
      <c r="M149" s="5">
        <v>45961</v>
      </c>
      <c r="N149">
        <v>0</v>
      </c>
      <c r="O149" t="s">
        <v>10163</v>
      </c>
    </row>
    <row r="150" spans="1:15" x14ac:dyDescent="0.25">
      <c r="A150">
        <v>144</v>
      </c>
      <c r="B150">
        <v>2</v>
      </c>
      <c r="C150">
        <v>236</v>
      </c>
      <c r="D150">
        <v>2</v>
      </c>
      <c r="E150">
        <v>1</v>
      </c>
      <c r="F150">
        <v>1</v>
      </c>
      <c r="K150" s="5">
        <v>44480</v>
      </c>
      <c r="L150" s="5">
        <v>44905</v>
      </c>
      <c r="M150" s="5">
        <v>44865</v>
      </c>
      <c r="N150">
        <v>0</v>
      </c>
      <c r="O150" t="s">
        <v>10164</v>
      </c>
    </row>
    <row r="151" spans="1:15" x14ac:dyDescent="0.25">
      <c r="A151">
        <v>145</v>
      </c>
      <c r="B151">
        <v>3</v>
      </c>
      <c r="C151">
        <v>150</v>
      </c>
      <c r="D151">
        <v>1</v>
      </c>
      <c r="E151">
        <v>16</v>
      </c>
      <c r="F151">
        <v>20</v>
      </c>
      <c r="K151" s="5">
        <v>44480</v>
      </c>
      <c r="L151" s="5">
        <v>44858</v>
      </c>
      <c r="M151" s="5">
        <v>44895</v>
      </c>
      <c r="N151">
        <v>0</v>
      </c>
      <c r="O151" t="s">
        <v>10165</v>
      </c>
    </row>
    <row r="152" spans="1:15" x14ac:dyDescent="0.25">
      <c r="A152">
        <v>124</v>
      </c>
      <c r="B152">
        <v>4</v>
      </c>
      <c r="C152">
        <v>146</v>
      </c>
      <c r="D152">
        <v>4</v>
      </c>
      <c r="E152">
        <v>38</v>
      </c>
      <c r="F152">
        <v>49</v>
      </c>
      <c r="K152" s="5">
        <v>44481</v>
      </c>
      <c r="L152" s="5">
        <v>44834</v>
      </c>
      <c r="M152" s="5" t="s">
        <v>4312</v>
      </c>
      <c r="N152">
        <v>0</v>
      </c>
      <c r="O152" t="s">
        <v>10578</v>
      </c>
    </row>
    <row r="153" spans="1:15" x14ac:dyDescent="0.25">
      <c r="A153">
        <v>146</v>
      </c>
      <c r="B153">
        <v>4</v>
      </c>
      <c r="C153">
        <v>257</v>
      </c>
      <c r="D153">
        <v>1</v>
      </c>
      <c r="E153">
        <v>1</v>
      </c>
      <c r="F153">
        <v>1</v>
      </c>
      <c r="G153" t="s">
        <v>7614</v>
      </c>
      <c r="H153" t="s">
        <v>8996</v>
      </c>
      <c r="I153" t="s">
        <v>4349</v>
      </c>
      <c r="J153" t="s">
        <v>9022</v>
      </c>
      <c r="K153" s="5">
        <v>44484</v>
      </c>
      <c r="L153" s="5" t="s">
        <v>4312</v>
      </c>
      <c r="M153" s="5" t="s">
        <v>4312</v>
      </c>
      <c r="N153">
        <v>1</v>
      </c>
      <c r="O153" t="s">
        <v>10579</v>
      </c>
    </row>
    <row r="154" spans="1:15" x14ac:dyDescent="0.25">
      <c r="A154">
        <v>357</v>
      </c>
      <c r="B154">
        <v>4</v>
      </c>
      <c r="C154">
        <v>249</v>
      </c>
      <c r="D154">
        <v>2</v>
      </c>
      <c r="E154">
        <v>38</v>
      </c>
      <c r="F154">
        <v>49</v>
      </c>
      <c r="K154" s="5">
        <v>44494</v>
      </c>
      <c r="L154" s="5">
        <v>44753</v>
      </c>
      <c r="M154" s="5" t="s">
        <v>4312</v>
      </c>
      <c r="N154">
        <v>0</v>
      </c>
      <c r="O154" t="s">
        <v>10580</v>
      </c>
    </row>
    <row r="155" spans="1:15" x14ac:dyDescent="0.25">
      <c r="A155">
        <v>148</v>
      </c>
      <c r="B155">
        <v>4</v>
      </c>
      <c r="C155">
        <v>148</v>
      </c>
      <c r="D155">
        <v>4</v>
      </c>
      <c r="E155">
        <v>38</v>
      </c>
      <c r="F155">
        <v>49</v>
      </c>
      <c r="K155" s="5">
        <v>44497</v>
      </c>
      <c r="L155" s="5">
        <v>45019</v>
      </c>
      <c r="M155" s="5" t="s">
        <v>4312</v>
      </c>
      <c r="N155">
        <v>0</v>
      </c>
      <c r="O155" t="s">
        <v>10581</v>
      </c>
    </row>
    <row r="156" spans="1:15" x14ac:dyDescent="0.25">
      <c r="A156">
        <v>149</v>
      </c>
      <c r="B156">
        <v>4</v>
      </c>
      <c r="C156">
        <v>249</v>
      </c>
      <c r="D156">
        <v>1</v>
      </c>
      <c r="E156">
        <v>38</v>
      </c>
      <c r="F156">
        <v>49</v>
      </c>
      <c r="K156" s="5">
        <v>44502</v>
      </c>
      <c r="L156" s="5">
        <v>45093</v>
      </c>
      <c r="M156" s="5" t="s">
        <v>4312</v>
      </c>
      <c r="N156">
        <v>0</v>
      </c>
      <c r="O156" t="s">
        <v>10582</v>
      </c>
    </row>
    <row r="157" spans="1:15" x14ac:dyDescent="0.25">
      <c r="A157">
        <v>150</v>
      </c>
      <c r="B157">
        <v>4</v>
      </c>
      <c r="C157">
        <v>249</v>
      </c>
      <c r="D157">
        <v>1</v>
      </c>
      <c r="E157">
        <v>38</v>
      </c>
      <c r="F157">
        <v>49</v>
      </c>
      <c r="K157" s="5">
        <v>44502</v>
      </c>
      <c r="L157" s="5">
        <v>45199</v>
      </c>
      <c r="M157" s="5" t="s">
        <v>4312</v>
      </c>
      <c r="N157">
        <v>0</v>
      </c>
      <c r="O157" t="s">
        <v>10583</v>
      </c>
    </row>
    <row r="158" spans="1:15" x14ac:dyDescent="0.25">
      <c r="A158">
        <v>151</v>
      </c>
      <c r="B158">
        <v>4</v>
      </c>
      <c r="C158">
        <v>249</v>
      </c>
      <c r="D158">
        <v>4</v>
      </c>
      <c r="E158">
        <v>38</v>
      </c>
      <c r="F158">
        <v>49</v>
      </c>
      <c r="K158" s="5">
        <v>44515</v>
      </c>
      <c r="L158" s="5">
        <v>44764</v>
      </c>
      <c r="M158" s="5" t="s">
        <v>4312</v>
      </c>
      <c r="N158">
        <v>0</v>
      </c>
      <c r="O158" t="s">
        <v>10584</v>
      </c>
    </row>
    <row r="159" spans="1:15" x14ac:dyDescent="0.25">
      <c r="A159">
        <v>152</v>
      </c>
      <c r="B159">
        <v>3</v>
      </c>
      <c r="C159">
        <v>156</v>
      </c>
      <c r="D159">
        <v>1</v>
      </c>
      <c r="E159">
        <v>10</v>
      </c>
      <c r="F159">
        <v>14</v>
      </c>
      <c r="G159" t="s">
        <v>7615</v>
      </c>
      <c r="H159" t="s">
        <v>8996</v>
      </c>
      <c r="I159" t="s">
        <v>4349</v>
      </c>
      <c r="J159" t="s">
        <v>9024</v>
      </c>
      <c r="K159" s="5">
        <v>44515</v>
      </c>
      <c r="L159" s="5" t="s">
        <v>4312</v>
      </c>
      <c r="M159" s="5">
        <v>46112</v>
      </c>
      <c r="N159">
        <v>1</v>
      </c>
      <c r="O159" t="s">
        <v>10585</v>
      </c>
    </row>
    <row r="160" spans="1:15" x14ac:dyDescent="0.25">
      <c r="A160">
        <v>153</v>
      </c>
      <c r="B160">
        <v>4</v>
      </c>
      <c r="C160">
        <v>249</v>
      </c>
      <c r="D160">
        <v>1</v>
      </c>
      <c r="E160">
        <v>38</v>
      </c>
      <c r="F160">
        <v>49</v>
      </c>
      <c r="K160" s="5">
        <v>44518</v>
      </c>
      <c r="L160" s="5">
        <v>45077</v>
      </c>
      <c r="M160" s="5" t="s">
        <v>4312</v>
      </c>
      <c r="N160">
        <v>0</v>
      </c>
      <c r="O160" t="s">
        <v>10586</v>
      </c>
    </row>
    <row r="161" spans="1:15" x14ac:dyDescent="0.25">
      <c r="A161">
        <v>154</v>
      </c>
      <c r="B161">
        <v>3</v>
      </c>
      <c r="C161">
        <v>157</v>
      </c>
      <c r="D161">
        <v>4</v>
      </c>
      <c r="E161">
        <v>21</v>
      </c>
      <c r="F161">
        <v>11</v>
      </c>
      <c r="G161" t="s">
        <v>7616</v>
      </c>
      <c r="H161" t="s">
        <v>8996</v>
      </c>
      <c r="I161" t="s">
        <v>4349</v>
      </c>
      <c r="J161" t="s">
        <v>9023</v>
      </c>
      <c r="K161" s="5">
        <v>44522</v>
      </c>
      <c r="L161" s="5" t="s">
        <v>4312</v>
      </c>
      <c r="M161" s="5">
        <v>46053</v>
      </c>
      <c r="N161">
        <v>1</v>
      </c>
      <c r="O161" t="s">
        <v>10587</v>
      </c>
    </row>
    <row r="162" spans="1:15" x14ac:dyDescent="0.25">
      <c r="A162">
        <v>155</v>
      </c>
      <c r="B162">
        <v>4</v>
      </c>
      <c r="C162">
        <v>249</v>
      </c>
      <c r="D162">
        <v>3</v>
      </c>
      <c r="E162">
        <v>38</v>
      </c>
      <c r="F162">
        <v>49</v>
      </c>
      <c r="K162" s="5">
        <v>44531</v>
      </c>
      <c r="L162" s="5">
        <v>45204</v>
      </c>
      <c r="M162" s="5" t="s">
        <v>4312</v>
      </c>
      <c r="N162">
        <v>0</v>
      </c>
      <c r="O162" t="s">
        <v>10588</v>
      </c>
    </row>
    <row r="163" spans="1:15" x14ac:dyDescent="0.25">
      <c r="A163">
        <v>261</v>
      </c>
      <c r="B163">
        <v>4</v>
      </c>
      <c r="C163">
        <v>176</v>
      </c>
      <c r="D163">
        <v>1</v>
      </c>
      <c r="E163">
        <v>1</v>
      </c>
      <c r="F163">
        <v>1</v>
      </c>
      <c r="K163" s="5">
        <v>44531</v>
      </c>
      <c r="L163" s="5">
        <v>44773</v>
      </c>
      <c r="M163" s="5" t="s">
        <v>4312</v>
      </c>
      <c r="N163">
        <v>0</v>
      </c>
      <c r="O163" t="s">
        <v>10589</v>
      </c>
    </row>
    <row r="164" spans="1:15" x14ac:dyDescent="0.25">
      <c r="A164">
        <v>156</v>
      </c>
      <c r="B164">
        <v>4</v>
      </c>
      <c r="C164">
        <v>249</v>
      </c>
      <c r="D164">
        <v>3</v>
      </c>
      <c r="E164">
        <v>38</v>
      </c>
      <c r="F164">
        <v>49</v>
      </c>
      <c r="K164" s="5">
        <v>44531</v>
      </c>
      <c r="L164" s="5">
        <v>44742</v>
      </c>
      <c r="M164" s="5" t="s">
        <v>4312</v>
      </c>
      <c r="N164">
        <v>0</v>
      </c>
      <c r="O164" t="s">
        <v>10590</v>
      </c>
    </row>
    <row r="165" spans="1:15" x14ac:dyDescent="0.25">
      <c r="A165">
        <v>232</v>
      </c>
      <c r="B165">
        <v>4</v>
      </c>
      <c r="C165">
        <v>193</v>
      </c>
      <c r="D165">
        <v>1</v>
      </c>
      <c r="E165">
        <v>1</v>
      </c>
      <c r="F165">
        <v>1</v>
      </c>
      <c r="K165" s="5">
        <v>44536</v>
      </c>
      <c r="L165" s="5">
        <v>44883</v>
      </c>
      <c r="M165" s="5" t="s">
        <v>4312</v>
      </c>
      <c r="N165">
        <v>0</v>
      </c>
      <c r="O165" t="s">
        <v>10591</v>
      </c>
    </row>
    <row r="166" spans="1:15" x14ac:dyDescent="0.25">
      <c r="A166">
        <v>158</v>
      </c>
      <c r="B166">
        <v>2</v>
      </c>
      <c r="C166">
        <v>221</v>
      </c>
      <c r="D166">
        <v>1</v>
      </c>
      <c r="E166">
        <v>1</v>
      </c>
      <c r="F166">
        <v>1</v>
      </c>
      <c r="G166" t="s">
        <v>7617</v>
      </c>
      <c r="K166" s="5">
        <v>44543</v>
      </c>
      <c r="L166" s="5">
        <v>45212</v>
      </c>
      <c r="M166" s="5">
        <v>45382</v>
      </c>
      <c r="N166">
        <v>0</v>
      </c>
      <c r="O166" t="s">
        <v>10166</v>
      </c>
    </row>
    <row r="167" spans="1:15" x14ac:dyDescent="0.25">
      <c r="A167">
        <v>159</v>
      </c>
      <c r="B167">
        <v>4</v>
      </c>
      <c r="C167">
        <v>246</v>
      </c>
      <c r="D167">
        <v>1</v>
      </c>
      <c r="E167">
        <v>1</v>
      </c>
      <c r="F167">
        <v>1</v>
      </c>
      <c r="H167" t="s">
        <v>8996</v>
      </c>
      <c r="J167" t="s">
        <v>9022</v>
      </c>
      <c r="K167" s="5">
        <v>44558</v>
      </c>
      <c r="L167" s="5">
        <v>45434</v>
      </c>
      <c r="M167" s="5" t="s">
        <v>4312</v>
      </c>
      <c r="N167">
        <v>0</v>
      </c>
      <c r="O167" t="s">
        <v>10592</v>
      </c>
    </row>
    <row r="168" spans="1:15" x14ac:dyDescent="0.25">
      <c r="A168">
        <v>160</v>
      </c>
      <c r="B168">
        <v>2</v>
      </c>
      <c r="C168">
        <v>12</v>
      </c>
      <c r="D168">
        <v>1</v>
      </c>
      <c r="E168">
        <v>1</v>
      </c>
      <c r="F168">
        <v>1</v>
      </c>
      <c r="G168" t="s">
        <v>7618</v>
      </c>
      <c r="H168" t="s">
        <v>8996</v>
      </c>
      <c r="I168" t="s">
        <v>4349</v>
      </c>
      <c r="J168" t="s">
        <v>9020</v>
      </c>
      <c r="K168" s="5">
        <v>44562</v>
      </c>
      <c r="L168" s="5" t="s">
        <v>4312</v>
      </c>
      <c r="M168" s="5">
        <v>46022</v>
      </c>
      <c r="N168">
        <v>1</v>
      </c>
      <c r="O168" t="s">
        <v>10593</v>
      </c>
    </row>
    <row r="169" spans="1:15" x14ac:dyDescent="0.25">
      <c r="A169">
        <v>161</v>
      </c>
      <c r="B169">
        <v>2</v>
      </c>
      <c r="C169">
        <v>190</v>
      </c>
      <c r="D169">
        <v>1</v>
      </c>
      <c r="E169">
        <v>1</v>
      </c>
      <c r="F169">
        <v>1</v>
      </c>
      <c r="G169" t="s">
        <v>7619</v>
      </c>
      <c r="H169" t="s">
        <v>8996</v>
      </c>
      <c r="I169" t="s">
        <v>4349</v>
      </c>
      <c r="J169" t="s">
        <v>9022</v>
      </c>
      <c r="K169" s="5">
        <v>44562</v>
      </c>
      <c r="L169" s="5" t="s">
        <v>4312</v>
      </c>
      <c r="M169" s="5">
        <v>46022</v>
      </c>
      <c r="N169">
        <v>1</v>
      </c>
      <c r="O169" t="s">
        <v>10594</v>
      </c>
    </row>
    <row r="170" spans="1:15" x14ac:dyDescent="0.25">
      <c r="A170">
        <v>162</v>
      </c>
      <c r="B170">
        <v>5</v>
      </c>
      <c r="C170">
        <v>70</v>
      </c>
      <c r="D170">
        <v>1</v>
      </c>
      <c r="E170">
        <v>1</v>
      </c>
      <c r="F170">
        <v>1</v>
      </c>
      <c r="K170" s="5">
        <v>44564</v>
      </c>
      <c r="L170" s="5">
        <v>44834</v>
      </c>
      <c r="M170" s="5">
        <v>44834</v>
      </c>
      <c r="N170">
        <v>0</v>
      </c>
      <c r="O170" t="s">
        <v>10167</v>
      </c>
    </row>
    <row r="171" spans="1:15" x14ac:dyDescent="0.25">
      <c r="A171">
        <v>163</v>
      </c>
      <c r="B171">
        <v>4</v>
      </c>
      <c r="C171">
        <v>236</v>
      </c>
      <c r="D171">
        <v>3</v>
      </c>
      <c r="E171">
        <v>1</v>
      </c>
      <c r="F171">
        <v>1</v>
      </c>
      <c r="H171" t="s">
        <v>8996</v>
      </c>
      <c r="J171" t="s">
        <v>9022</v>
      </c>
      <c r="K171" s="5">
        <v>44564</v>
      </c>
      <c r="L171" s="5">
        <v>45412</v>
      </c>
      <c r="M171" s="5" t="s">
        <v>4312</v>
      </c>
      <c r="N171">
        <v>0</v>
      </c>
      <c r="O171" t="s">
        <v>10595</v>
      </c>
    </row>
    <row r="172" spans="1:15" x14ac:dyDescent="0.25">
      <c r="A172">
        <v>164</v>
      </c>
      <c r="B172">
        <v>2</v>
      </c>
      <c r="C172">
        <v>225</v>
      </c>
      <c r="D172">
        <v>1</v>
      </c>
      <c r="E172">
        <v>1</v>
      </c>
      <c r="F172">
        <v>1</v>
      </c>
      <c r="G172" t="s">
        <v>7620</v>
      </c>
      <c r="H172" t="s">
        <v>8996</v>
      </c>
      <c r="J172" t="s">
        <v>9020</v>
      </c>
      <c r="K172" s="5">
        <v>44571</v>
      </c>
      <c r="L172" s="5">
        <v>45322</v>
      </c>
      <c r="M172" s="5">
        <v>45322</v>
      </c>
      <c r="N172">
        <v>0</v>
      </c>
      <c r="O172" t="s">
        <v>10168</v>
      </c>
    </row>
    <row r="173" spans="1:15" x14ac:dyDescent="0.25">
      <c r="A173">
        <v>165</v>
      </c>
      <c r="B173">
        <v>4</v>
      </c>
      <c r="C173">
        <v>249</v>
      </c>
      <c r="D173">
        <v>4</v>
      </c>
      <c r="E173">
        <v>38</v>
      </c>
      <c r="F173">
        <v>49</v>
      </c>
      <c r="K173" s="5">
        <v>44571</v>
      </c>
      <c r="L173" s="5">
        <v>44895</v>
      </c>
      <c r="M173" s="5" t="s">
        <v>4312</v>
      </c>
      <c r="N173">
        <v>0</v>
      </c>
      <c r="O173" t="s">
        <v>10596</v>
      </c>
    </row>
    <row r="174" spans="1:15" x14ac:dyDescent="0.25">
      <c r="A174">
        <v>166</v>
      </c>
      <c r="B174">
        <v>4</v>
      </c>
      <c r="C174">
        <v>249</v>
      </c>
      <c r="D174">
        <v>4</v>
      </c>
      <c r="E174">
        <v>38</v>
      </c>
      <c r="F174">
        <v>49</v>
      </c>
      <c r="H174" t="s">
        <v>8996</v>
      </c>
      <c r="J174" t="s">
        <v>9020</v>
      </c>
      <c r="K174" s="5">
        <v>44571</v>
      </c>
      <c r="L174" s="5">
        <v>45240</v>
      </c>
      <c r="M174" s="5" t="s">
        <v>4312</v>
      </c>
      <c r="N174">
        <v>0</v>
      </c>
      <c r="O174" t="s">
        <v>10597</v>
      </c>
    </row>
    <row r="175" spans="1:15" x14ac:dyDescent="0.25">
      <c r="A175">
        <v>167</v>
      </c>
      <c r="B175">
        <v>6</v>
      </c>
      <c r="C175">
        <v>81</v>
      </c>
      <c r="D175">
        <v>1</v>
      </c>
      <c r="E175">
        <v>1</v>
      </c>
      <c r="F175">
        <v>1</v>
      </c>
      <c r="K175" s="5">
        <v>44578</v>
      </c>
      <c r="L175" s="5">
        <v>44758</v>
      </c>
      <c r="M175" s="5">
        <v>44773</v>
      </c>
      <c r="N175">
        <v>0</v>
      </c>
      <c r="O175" t="s">
        <v>10169</v>
      </c>
    </row>
    <row r="176" spans="1:15" x14ac:dyDescent="0.25">
      <c r="A176">
        <v>168</v>
      </c>
      <c r="B176">
        <v>2</v>
      </c>
      <c r="C176">
        <v>236</v>
      </c>
      <c r="D176">
        <v>1</v>
      </c>
      <c r="E176">
        <v>1</v>
      </c>
      <c r="F176">
        <v>1</v>
      </c>
      <c r="K176" s="5">
        <v>44593</v>
      </c>
      <c r="L176" s="5">
        <v>44844</v>
      </c>
      <c r="M176" s="5">
        <v>44957</v>
      </c>
      <c r="N176">
        <v>0</v>
      </c>
      <c r="O176" t="s">
        <v>10170</v>
      </c>
    </row>
    <row r="177" spans="1:15" x14ac:dyDescent="0.25">
      <c r="A177">
        <v>169</v>
      </c>
      <c r="B177">
        <v>2</v>
      </c>
      <c r="C177">
        <v>251</v>
      </c>
      <c r="D177">
        <v>1</v>
      </c>
      <c r="E177">
        <v>1</v>
      </c>
      <c r="F177">
        <v>1</v>
      </c>
      <c r="G177" t="s">
        <v>7621</v>
      </c>
      <c r="H177" t="s">
        <v>8996</v>
      </c>
      <c r="J177" t="s">
        <v>9022</v>
      </c>
      <c r="K177" s="5">
        <v>44599</v>
      </c>
      <c r="L177" s="5">
        <v>45443</v>
      </c>
      <c r="M177" s="5">
        <v>45443</v>
      </c>
      <c r="N177">
        <v>0</v>
      </c>
      <c r="O177" t="s">
        <v>10171</v>
      </c>
    </row>
    <row r="178" spans="1:15" x14ac:dyDescent="0.25">
      <c r="A178">
        <v>170</v>
      </c>
      <c r="B178">
        <v>2</v>
      </c>
      <c r="C178">
        <v>175</v>
      </c>
      <c r="D178">
        <v>4</v>
      </c>
      <c r="E178">
        <v>1</v>
      </c>
      <c r="F178">
        <v>1</v>
      </c>
      <c r="K178" s="5">
        <v>44601</v>
      </c>
      <c r="L178" s="5">
        <v>44865</v>
      </c>
      <c r="M178" s="5">
        <v>44895</v>
      </c>
      <c r="N178">
        <v>0</v>
      </c>
      <c r="O178" t="s">
        <v>10172</v>
      </c>
    </row>
    <row r="179" spans="1:15" x14ac:dyDescent="0.25">
      <c r="A179">
        <v>171</v>
      </c>
      <c r="B179">
        <v>3</v>
      </c>
      <c r="C179">
        <v>164</v>
      </c>
      <c r="D179">
        <v>3</v>
      </c>
      <c r="E179">
        <v>4</v>
      </c>
      <c r="F179">
        <v>4</v>
      </c>
      <c r="G179" t="s">
        <v>7622</v>
      </c>
      <c r="H179" t="s">
        <v>8996</v>
      </c>
      <c r="I179" t="s">
        <v>4349</v>
      </c>
      <c r="J179" t="s">
        <v>9023</v>
      </c>
      <c r="K179" s="5">
        <v>44602</v>
      </c>
      <c r="L179" s="5" t="s">
        <v>4312</v>
      </c>
      <c r="M179" s="5">
        <v>46022</v>
      </c>
      <c r="N179">
        <v>1</v>
      </c>
      <c r="O179" t="s">
        <v>10598</v>
      </c>
    </row>
    <row r="180" spans="1:15" x14ac:dyDescent="0.25">
      <c r="A180">
        <v>172</v>
      </c>
      <c r="B180">
        <v>2</v>
      </c>
      <c r="C180">
        <v>178</v>
      </c>
      <c r="D180">
        <v>4</v>
      </c>
      <c r="E180">
        <v>1</v>
      </c>
      <c r="F180">
        <v>1</v>
      </c>
      <c r="G180" t="s">
        <v>7623</v>
      </c>
      <c r="H180" t="s">
        <v>8996</v>
      </c>
      <c r="I180" t="s">
        <v>4349</v>
      </c>
      <c r="J180" t="s">
        <v>9020</v>
      </c>
      <c r="K180" s="5">
        <v>44603</v>
      </c>
      <c r="L180" s="5">
        <v>45758</v>
      </c>
      <c r="M180" s="5">
        <v>45758</v>
      </c>
      <c r="N180">
        <v>0</v>
      </c>
      <c r="O180" t="s">
        <v>10173</v>
      </c>
    </row>
    <row r="181" spans="1:15" x14ac:dyDescent="0.25">
      <c r="A181">
        <v>173</v>
      </c>
      <c r="B181">
        <v>4</v>
      </c>
      <c r="C181">
        <v>249</v>
      </c>
      <c r="D181">
        <v>2</v>
      </c>
      <c r="E181">
        <v>38</v>
      </c>
      <c r="F181">
        <v>49</v>
      </c>
      <c r="K181" s="5">
        <v>44613</v>
      </c>
      <c r="L181" s="5">
        <v>45166</v>
      </c>
      <c r="M181" s="5" t="s">
        <v>4312</v>
      </c>
      <c r="N181">
        <v>0</v>
      </c>
      <c r="O181" t="s">
        <v>10599</v>
      </c>
    </row>
    <row r="182" spans="1:15" x14ac:dyDescent="0.25">
      <c r="A182">
        <v>174</v>
      </c>
      <c r="B182">
        <v>4</v>
      </c>
      <c r="C182">
        <v>168</v>
      </c>
      <c r="D182">
        <v>1</v>
      </c>
      <c r="E182">
        <v>38</v>
      </c>
      <c r="F182">
        <v>49</v>
      </c>
      <c r="G182" t="s">
        <v>7624</v>
      </c>
      <c r="H182" t="s">
        <v>8996</v>
      </c>
      <c r="I182" t="s">
        <v>4349</v>
      </c>
      <c r="J182" t="s">
        <v>9020</v>
      </c>
      <c r="K182" s="5">
        <v>44613</v>
      </c>
      <c r="L182" s="5">
        <v>45688</v>
      </c>
      <c r="M182" s="5" t="s">
        <v>4312</v>
      </c>
      <c r="N182">
        <v>0</v>
      </c>
      <c r="O182" t="s">
        <v>10600</v>
      </c>
    </row>
    <row r="183" spans="1:15" x14ac:dyDescent="0.25">
      <c r="A183">
        <v>48</v>
      </c>
      <c r="B183">
        <v>4</v>
      </c>
      <c r="C183">
        <v>168</v>
      </c>
      <c r="D183">
        <v>1</v>
      </c>
      <c r="E183">
        <v>38</v>
      </c>
      <c r="F183">
        <v>49</v>
      </c>
      <c r="G183" t="s">
        <v>7625</v>
      </c>
      <c r="H183" t="s">
        <v>8996</v>
      </c>
      <c r="I183" t="s">
        <v>4349</v>
      </c>
      <c r="J183" t="s">
        <v>9020</v>
      </c>
      <c r="K183" s="5">
        <v>44615</v>
      </c>
      <c r="L183" s="5">
        <v>45688</v>
      </c>
      <c r="M183" s="5" t="s">
        <v>4312</v>
      </c>
      <c r="N183">
        <v>0</v>
      </c>
      <c r="O183" t="s">
        <v>10601</v>
      </c>
    </row>
    <row r="184" spans="1:15" x14ac:dyDescent="0.25">
      <c r="A184">
        <v>175</v>
      </c>
      <c r="B184">
        <v>2</v>
      </c>
      <c r="C184">
        <v>46</v>
      </c>
      <c r="D184">
        <v>1</v>
      </c>
      <c r="E184">
        <v>1</v>
      </c>
      <c r="F184">
        <v>1</v>
      </c>
      <c r="G184" t="s">
        <v>7626</v>
      </c>
      <c r="H184" t="s">
        <v>8995</v>
      </c>
      <c r="I184" t="s">
        <v>4348</v>
      </c>
      <c r="J184" t="s">
        <v>9020</v>
      </c>
      <c r="K184" s="5">
        <v>44617</v>
      </c>
      <c r="L184" s="5" t="s">
        <v>4312</v>
      </c>
      <c r="M184" s="5">
        <v>46081</v>
      </c>
      <c r="N184">
        <v>1</v>
      </c>
      <c r="O184" t="s">
        <v>10602</v>
      </c>
    </row>
    <row r="185" spans="1:15" x14ac:dyDescent="0.25">
      <c r="A185">
        <v>176</v>
      </c>
      <c r="B185">
        <v>4</v>
      </c>
      <c r="C185">
        <v>146</v>
      </c>
      <c r="D185">
        <v>1</v>
      </c>
      <c r="E185">
        <v>38</v>
      </c>
      <c r="F185">
        <v>49</v>
      </c>
      <c r="K185" s="5">
        <v>44617</v>
      </c>
      <c r="L185" s="5">
        <v>44675</v>
      </c>
      <c r="M185" s="5" t="s">
        <v>4312</v>
      </c>
      <c r="N185">
        <v>0</v>
      </c>
      <c r="O185" t="s">
        <v>10603</v>
      </c>
    </row>
    <row r="186" spans="1:15" x14ac:dyDescent="0.25">
      <c r="A186">
        <v>177</v>
      </c>
      <c r="B186">
        <v>4</v>
      </c>
      <c r="C186">
        <v>249</v>
      </c>
      <c r="D186">
        <v>1</v>
      </c>
      <c r="E186">
        <v>38</v>
      </c>
      <c r="F186">
        <v>49</v>
      </c>
      <c r="K186" s="5">
        <v>44621</v>
      </c>
      <c r="L186" s="5">
        <v>45199</v>
      </c>
      <c r="M186" s="5" t="s">
        <v>4312</v>
      </c>
      <c r="N186">
        <v>0</v>
      </c>
      <c r="O186" t="s">
        <v>10604</v>
      </c>
    </row>
    <row r="187" spans="1:15" x14ac:dyDescent="0.25">
      <c r="A187">
        <v>178</v>
      </c>
      <c r="B187">
        <v>4</v>
      </c>
      <c r="C187">
        <v>246</v>
      </c>
      <c r="D187">
        <v>1</v>
      </c>
      <c r="E187">
        <v>1</v>
      </c>
      <c r="F187">
        <v>1</v>
      </c>
      <c r="K187" s="5">
        <v>44624</v>
      </c>
      <c r="L187" s="5">
        <v>44668</v>
      </c>
      <c r="M187" s="5" t="s">
        <v>4312</v>
      </c>
      <c r="N187">
        <v>0</v>
      </c>
      <c r="O187" t="s">
        <v>10605</v>
      </c>
    </row>
    <row r="188" spans="1:15" x14ac:dyDescent="0.25">
      <c r="A188">
        <v>179</v>
      </c>
      <c r="B188">
        <v>4</v>
      </c>
      <c r="C188">
        <v>246</v>
      </c>
      <c r="D188">
        <v>4</v>
      </c>
      <c r="E188">
        <v>1</v>
      </c>
      <c r="F188">
        <v>1</v>
      </c>
      <c r="K188" s="5">
        <v>44624</v>
      </c>
      <c r="L188" s="5">
        <v>45169</v>
      </c>
      <c r="M188" s="5" t="s">
        <v>4312</v>
      </c>
      <c r="N188">
        <v>0</v>
      </c>
      <c r="O188" t="s">
        <v>10606</v>
      </c>
    </row>
    <row r="189" spans="1:15" x14ac:dyDescent="0.25">
      <c r="A189">
        <v>180</v>
      </c>
      <c r="B189">
        <v>5</v>
      </c>
      <c r="C189">
        <v>88</v>
      </c>
      <c r="D189">
        <v>1</v>
      </c>
      <c r="E189">
        <v>1</v>
      </c>
      <c r="F189">
        <v>1</v>
      </c>
      <c r="K189" s="5">
        <v>44629</v>
      </c>
      <c r="L189" s="5">
        <v>44806</v>
      </c>
      <c r="M189" s="5">
        <v>44834</v>
      </c>
      <c r="N189">
        <v>0</v>
      </c>
      <c r="O189" t="s">
        <v>10174</v>
      </c>
    </row>
    <row r="190" spans="1:15" x14ac:dyDescent="0.25">
      <c r="A190">
        <v>181</v>
      </c>
      <c r="B190">
        <v>5</v>
      </c>
      <c r="C190">
        <v>97</v>
      </c>
      <c r="D190">
        <v>2</v>
      </c>
      <c r="E190">
        <v>1</v>
      </c>
      <c r="F190">
        <v>1</v>
      </c>
      <c r="K190" s="5">
        <v>44630</v>
      </c>
      <c r="L190" s="5">
        <v>44749</v>
      </c>
      <c r="M190" s="5">
        <v>44804</v>
      </c>
      <c r="N190">
        <v>0</v>
      </c>
      <c r="O190" t="s">
        <v>10175</v>
      </c>
    </row>
    <row r="191" spans="1:15" x14ac:dyDescent="0.25">
      <c r="A191">
        <v>182</v>
      </c>
      <c r="B191">
        <v>3</v>
      </c>
      <c r="C191">
        <v>150</v>
      </c>
      <c r="D191">
        <v>4</v>
      </c>
      <c r="E191">
        <v>35</v>
      </c>
      <c r="F191">
        <v>23</v>
      </c>
      <c r="K191" s="5">
        <v>44630</v>
      </c>
      <c r="L191" s="5">
        <v>45046</v>
      </c>
      <c r="M191" s="5">
        <v>45046</v>
      </c>
      <c r="N191">
        <v>0</v>
      </c>
      <c r="O191" t="s">
        <v>10176</v>
      </c>
    </row>
    <row r="192" spans="1:15" x14ac:dyDescent="0.25">
      <c r="A192">
        <v>183</v>
      </c>
      <c r="B192">
        <v>2</v>
      </c>
      <c r="C192">
        <v>244</v>
      </c>
      <c r="D192">
        <v>4</v>
      </c>
      <c r="E192">
        <v>1</v>
      </c>
      <c r="F192">
        <v>1</v>
      </c>
      <c r="G192" t="s">
        <v>7627</v>
      </c>
      <c r="H192" t="s">
        <v>8996</v>
      </c>
      <c r="J192" t="s">
        <v>9020</v>
      </c>
      <c r="K192" s="5">
        <v>44635</v>
      </c>
      <c r="L192" s="5">
        <v>45393</v>
      </c>
      <c r="M192" s="5">
        <v>45688</v>
      </c>
      <c r="N192">
        <v>0</v>
      </c>
      <c r="O192" t="s">
        <v>10177</v>
      </c>
    </row>
    <row r="193" spans="1:15" x14ac:dyDescent="0.25">
      <c r="A193">
        <v>184</v>
      </c>
      <c r="B193">
        <v>2</v>
      </c>
      <c r="C193">
        <v>108</v>
      </c>
      <c r="D193">
        <v>1</v>
      </c>
      <c r="E193">
        <v>1</v>
      </c>
      <c r="F193">
        <v>1</v>
      </c>
      <c r="K193" s="5">
        <v>44635</v>
      </c>
      <c r="L193" s="5">
        <v>45169</v>
      </c>
      <c r="M193" s="5">
        <v>45169</v>
      </c>
      <c r="N193">
        <v>0</v>
      </c>
      <c r="O193" t="s">
        <v>10178</v>
      </c>
    </row>
    <row r="194" spans="1:15" x14ac:dyDescent="0.25">
      <c r="A194">
        <v>217</v>
      </c>
      <c r="B194">
        <v>4</v>
      </c>
      <c r="C194">
        <v>149</v>
      </c>
      <c r="D194">
        <v>1</v>
      </c>
      <c r="E194">
        <v>38</v>
      </c>
      <c r="F194">
        <v>49</v>
      </c>
      <c r="K194" s="5">
        <v>44641</v>
      </c>
      <c r="L194" s="5">
        <v>44773</v>
      </c>
      <c r="M194" s="5" t="s">
        <v>4312</v>
      </c>
      <c r="N194">
        <v>0</v>
      </c>
      <c r="O194" t="s">
        <v>10607</v>
      </c>
    </row>
    <row r="195" spans="1:15" x14ac:dyDescent="0.25">
      <c r="A195">
        <v>185</v>
      </c>
      <c r="B195">
        <v>4</v>
      </c>
      <c r="C195">
        <v>249</v>
      </c>
      <c r="D195">
        <v>1</v>
      </c>
      <c r="E195">
        <v>38</v>
      </c>
      <c r="F195">
        <v>49</v>
      </c>
      <c r="K195" s="5">
        <v>44655</v>
      </c>
      <c r="L195" s="5">
        <v>44785</v>
      </c>
      <c r="M195" s="5" t="s">
        <v>4312</v>
      </c>
      <c r="N195">
        <v>0</v>
      </c>
      <c r="O195" t="s">
        <v>10608</v>
      </c>
    </row>
    <row r="196" spans="1:15" x14ac:dyDescent="0.25">
      <c r="A196">
        <v>186</v>
      </c>
      <c r="B196">
        <v>4</v>
      </c>
      <c r="C196">
        <v>148</v>
      </c>
      <c r="D196">
        <v>1</v>
      </c>
      <c r="E196">
        <v>38</v>
      </c>
      <c r="F196">
        <v>49</v>
      </c>
      <c r="K196" s="5">
        <v>44655</v>
      </c>
      <c r="L196" s="5">
        <v>44895</v>
      </c>
      <c r="M196" s="5" t="s">
        <v>4312</v>
      </c>
      <c r="N196">
        <v>0</v>
      </c>
      <c r="O196" t="s">
        <v>10609</v>
      </c>
    </row>
    <row r="197" spans="1:15" x14ac:dyDescent="0.25">
      <c r="A197">
        <v>187</v>
      </c>
      <c r="B197">
        <v>3</v>
      </c>
      <c r="C197">
        <v>192</v>
      </c>
      <c r="D197">
        <v>1</v>
      </c>
      <c r="E197">
        <v>36</v>
      </c>
      <c r="F197">
        <v>21</v>
      </c>
      <c r="G197" t="s">
        <v>7628</v>
      </c>
      <c r="H197" t="s">
        <v>8996</v>
      </c>
      <c r="I197" t="s">
        <v>4349</v>
      </c>
      <c r="J197" t="s">
        <v>9021</v>
      </c>
      <c r="K197" s="5">
        <v>45621</v>
      </c>
      <c r="L197" s="5" t="s">
        <v>4312</v>
      </c>
      <c r="M197" s="5">
        <v>45991</v>
      </c>
      <c r="N197">
        <v>1</v>
      </c>
      <c r="O197" t="s">
        <v>10610</v>
      </c>
    </row>
    <row r="198" spans="1:15" x14ac:dyDescent="0.25">
      <c r="A198">
        <v>188</v>
      </c>
      <c r="B198">
        <v>2</v>
      </c>
      <c r="C198">
        <v>236</v>
      </c>
      <c r="D198">
        <v>1</v>
      </c>
      <c r="E198">
        <v>1</v>
      </c>
      <c r="F198">
        <v>1</v>
      </c>
      <c r="K198" s="5">
        <v>44667</v>
      </c>
      <c r="L198" s="5">
        <v>44921</v>
      </c>
      <c r="M198" s="5">
        <v>44957</v>
      </c>
      <c r="N198">
        <v>0</v>
      </c>
      <c r="O198" t="s">
        <v>10179</v>
      </c>
    </row>
    <row r="199" spans="1:15" x14ac:dyDescent="0.25">
      <c r="A199">
        <v>189</v>
      </c>
      <c r="B199">
        <v>5</v>
      </c>
      <c r="C199">
        <v>86</v>
      </c>
      <c r="D199">
        <v>1</v>
      </c>
      <c r="E199">
        <v>1</v>
      </c>
      <c r="F199">
        <v>1</v>
      </c>
      <c r="K199" s="5">
        <v>44669</v>
      </c>
      <c r="L199" s="5">
        <v>44764</v>
      </c>
      <c r="M199" s="5">
        <v>44773</v>
      </c>
      <c r="N199">
        <v>0</v>
      </c>
      <c r="O199" t="s">
        <v>10180</v>
      </c>
    </row>
    <row r="200" spans="1:15" x14ac:dyDescent="0.25">
      <c r="A200">
        <v>190</v>
      </c>
      <c r="B200">
        <v>4</v>
      </c>
      <c r="C200">
        <v>246</v>
      </c>
      <c r="D200">
        <v>1</v>
      </c>
      <c r="E200">
        <v>1</v>
      </c>
      <c r="F200">
        <v>1</v>
      </c>
      <c r="K200" s="5">
        <v>44671</v>
      </c>
      <c r="L200" s="5">
        <v>44980</v>
      </c>
      <c r="M200" s="5" t="s">
        <v>4312</v>
      </c>
      <c r="N200">
        <v>0</v>
      </c>
      <c r="O200" t="s">
        <v>10611</v>
      </c>
    </row>
    <row r="201" spans="1:15" x14ac:dyDescent="0.25">
      <c r="A201">
        <v>191</v>
      </c>
      <c r="B201">
        <v>3</v>
      </c>
      <c r="C201">
        <v>150</v>
      </c>
      <c r="D201">
        <v>3</v>
      </c>
      <c r="E201">
        <v>34</v>
      </c>
      <c r="F201">
        <v>35</v>
      </c>
      <c r="G201" t="s">
        <v>7629</v>
      </c>
      <c r="H201" t="s">
        <v>8996</v>
      </c>
      <c r="J201" t="s">
        <v>9026</v>
      </c>
      <c r="K201" s="5">
        <v>44673</v>
      </c>
      <c r="L201" s="5">
        <v>45443</v>
      </c>
      <c r="M201" s="5">
        <v>45473</v>
      </c>
      <c r="N201">
        <v>0</v>
      </c>
      <c r="O201" t="s">
        <v>10181</v>
      </c>
    </row>
    <row r="202" spans="1:15" x14ac:dyDescent="0.25">
      <c r="A202">
        <v>192</v>
      </c>
      <c r="B202">
        <v>3</v>
      </c>
      <c r="C202">
        <v>157</v>
      </c>
      <c r="D202">
        <v>2</v>
      </c>
      <c r="E202">
        <v>34</v>
      </c>
      <c r="F202">
        <v>35</v>
      </c>
      <c r="G202" t="s">
        <v>7630</v>
      </c>
      <c r="H202" t="s">
        <v>8996</v>
      </c>
      <c r="I202" t="s">
        <v>4349</v>
      </c>
      <c r="J202" t="s">
        <v>9025</v>
      </c>
      <c r="K202" s="5">
        <v>44676</v>
      </c>
      <c r="L202" s="5" t="s">
        <v>4312</v>
      </c>
      <c r="M202" s="5">
        <v>46053</v>
      </c>
      <c r="N202">
        <v>1</v>
      </c>
      <c r="O202" t="s">
        <v>10612</v>
      </c>
    </row>
    <row r="203" spans="1:15" x14ac:dyDescent="0.25">
      <c r="A203">
        <v>249</v>
      </c>
      <c r="B203">
        <v>5</v>
      </c>
      <c r="C203">
        <v>74</v>
      </c>
      <c r="D203">
        <v>1</v>
      </c>
      <c r="E203">
        <v>1</v>
      </c>
      <c r="F203">
        <v>1</v>
      </c>
      <c r="K203" s="5">
        <v>44677</v>
      </c>
      <c r="L203" s="5">
        <v>44896</v>
      </c>
      <c r="M203" s="5">
        <v>44957</v>
      </c>
      <c r="N203">
        <v>0</v>
      </c>
      <c r="O203" t="s">
        <v>10182</v>
      </c>
    </row>
    <row r="204" spans="1:15" x14ac:dyDescent="0.25">
      <c r="A204">
        <v>194</v>
      </c>
      <c r="B204">
        <v>5</v>
      </c>
      <c r="C204">
        <v>100</v>
      </c>
      <c r="D204">
        <v>2</v>
      </c>
      <c r="E204">
        <v>1</v>
      </c>
      <c r="F204">
        <v>1</v>
      </c>
      <c r="K204" s="5">
        <v>44678</v>
      </c>
      <c r="L204" s="5">
        <v>44773</v>
      </c>
      <c r="M204" s="5">
        <v>44773</v>
      </c>
      <c r="N204">
        <v>0</v>
      </c>
      <c r="O204" t="s">
        <v>10183</v>
      </c>
    </row>
    <row r="205" spans="1:15" x14ac:dyDescent="0.25">
      <c r="A205">
        <v>195</v>
      </c>
      <c r="B205">
        <v>3</v>
      </c>
      <c r="C205">
        <v>157</v>
      </c>
      <c r="D205">
        <v>1</v>
      </c>
      <c r="E205">
        <v>36</v>
      </c>
      <c r="F205">
        <v>21</v>
      </c>
      <c r="G205" t="s">
        <v>7631</v>
      </c>
      <c r="H205" t="s">
        <v>8996</v>
      </c>
      <c r="I205" t="s">
        <v>4349</v>
      </c>
      <c r="J205" t="s">
        <v>9021</v>
      </c>
      <c r="K205" s="5">
        <v>44682</v>
      </c>
      <c r="L205" s="5" t="s">
        <v>4312</v>
      </c>
      <c r="M205" s="5">
        <v>46022</v>
      </c>
      <c r="N205">
        <v>1</v>
      </c>
      <c r="O205" t="s">
        <v>10613</v>
      </c>
    </row>
    <row r="206" spans="1:15" x14ac:dyDescent="0.25">
      <c r="A206">
        <v>196</v>
      </c>
      <c r="B206">
        <v>2</v>
      </c>
      <c r="C206">
        <v>55</v>
      </c>
      <c r="D206">
        <v>1</v>
      </c>
      <c r="E206">
        <v>1</v>
      </c>
      <c r="F206">
        <v>1</v>
      </c>
      <c r="G206" t="s">
        <v>7632</v>
      </c>
      <c r="H206" t="s">
        <v>8996</v>
      </c>
      <c r="J206" t="s">
        <v>9020</v>
      </c>
      <c r="K206" s="5">
        <v>44682</v>
      </c>
      <c r="L206" s="5">
        <v>45245</v>
      </c>
      <c r="M206" s="5">
        <v>45322</v>
      </c>
      <c r="N206">
        <v>0</v>
      </c>
      <c r="O206" t="s">
        <v>10184</v>
      </c>
    </row>
    <row r="207" spans="1:15" x14ac:dyDescent="0.25">
      <c r="A207">
        <v>197</v>
      </c>
      <c r="B207">
        <v>3</v>
      </c>
      <c r="C207">
        <v>164</v>
      </c>
      <c r="D207">
        <v>1</v>
      </c>
      <c r="E207">
        <v>36</v>
      </c>
      <c r="F207">
        <v>21</v>
      </c>
      <c r="G207" t="s">
        <v>7633</v>
      </c>
      <c r="H207" t="s">
        <v>8996</v>
      </c>
      <c r="I207" t="s">
        <v>4349</v>
      </c>
      <c r="J207" t="s">
        <v>9021</v>
      </c>
      <c r="K207" s="5">
        <v>44683</v>
      </c>
      <c r="L207" s="5" t="s">
        <v>4312</v>
      </c>
      <c r="M207" s="5">
        <v>45991</v>
      </c>
      <c r="N207">
        <v>1</v>
      </c>
      <c r="O207" t="s">
        <v>10614</v>
      </c>
    </row>
    <row r="208" spans="1:15" x14ac:dyDescent="0.25">
      <c r="A208">
        <v>198</v>
      </c>
      <c r="B208">
        <v>2</v>
      </c>
      <c r="C208">
        <v>203</v>
      </c>
      <c r="D208">
        <v>3</v>
      </c>
      <c r="E208">
        <v>1</v>
      </c>
      <c r="F208">
        <v>1</v>
      </c>
      <c r="G208" t="s">
        <v>7634</v>
      </c>
      <c r="H208" t="s">
        <v>8996</v>
      </c>
      <c r="J208" t="s">
        <v>9020</v>
      </c>
      <c r="K208" s="5">
        <v>44686</v>
      </c>
      <c r="L208" s="5">
        <v>45504</v>
      </c>
      <c r="M208" s="5">
        <v>45504</v>
      </c>
      <c r="N208">
        <v>0</v>
      </c>
      <c r="O208" t="s">
        <v>10185</v>
      </c>
    </row>
    <row r="209" spans="1:15" x14ac:dyDescent="0.25">
      <c r="A209">
        <v>199</v>
      </c>
      <c r="B209">
        <v>2</v>
      </c>
      <c r="C209">
        <v>150</v>
      </c>
      <c r="D209">
        <v>3</v>
      </c>
      <c r="E209">
        <v>38</v>
      </c>
      <c r="F209">
        <v>49</v>
      </c>
      <c r="K209" s="5">
        <v>44687</v>
      </c>
      <c r="L209" s="5">
        <v>45155</v>
      </c>
      <c r="M209" s="5">
        <v>45169</v>
      </c>
      <c r="N209">
        <v>0</v>
      </c>
      <c r="O209" t="s">
        <v>10186</v>
      </c>
    </row>
    <row r="210" spans="1:15" x14ac:dyDescent="0.25">
      <c r="A210">
        <v>200</v>
      </c>
      <c r="B210">
        <v>7</v>
      </c>
      <c r="C210">
        <v>175</v>
      </c>
      <c r="D210">
        <v>4</v>
      </c>
      <c r="E210">
        <v>1</v>
      </c>
      <c r="F210">
        <v>1</v>
      </c>
      <c r="G210" t="s">
        <v>7635</v>
      </c>
      <c r="H210" t="s">
        <v>8995</v>
      </c>
      <c r="I210" t="s">
        <v>4349</v>
      </c>
      <c r="J210" t="s">
        <v>9020</v>
      </c>
      <c r="K210" s="5">
        <v>44691</v>
      </c>
      <c r="L210" s="5" t="s">
        <v>4312</v>
      </c>
      <c r="M210" s="5">
        <v>45991</v>
      </c>
      <c r="N210">
        <v>1</v>
      </c>
      <c r="O210" t="s">
        <v>10615</v>
      </c>
    </row>
    <row r="211" spans="1:15" x14ac:dyDescent="0.25">
      <c r="A211">
        <v>201</v>
      </c>
      <c r="B211">
        <v>4</v>
      </c>
      <c r="C211">
        <v>246</v>
      </c>
      <c r="D211">
        <v>1</v>
      </c>
      <c r="E211">
        <v>1</v>
      </c>
      <c r="F211">
        <v>1</v>
      </c>
      <c r="H211" t="s">
        <v>8996</v>
      </c>
      <c r="J211" t="s">
        <v>9022</v>
      </c>
      <c r="K211" s="5">
        <v>44693</v>
      </c>
      <c r="L211" s="5">
        <v>45335</v>
      </c>
      <c r="M211" s="5" t="s">
        <v>4312</v>
      </c>
      <c r="N211">
        <v>0</v>
      </c>
      <c r="O211" t="s">
        <v>10616</v>
      </c>
    </row>
    <row r="212" spans="1:15" x14ac:dyDescent="0.25">
      <c r="A212">
        <v>202</v>
      </c>
      <c r="B212">
        <v>4</v>
      </c>
      <c r="C212">
        <v>217</v>
      </c>
      <c r="D212">
        <v>1</v>
      </c>
      <c r="E212">
        <v>1</v>
      </c>
      <c r="F212">
        <v>1</v>
      </c>
      <c r="K212" s="5">
        <v>44697</v>
      </c>
      <c r="L212" s="5">
        <v>44865</v>
      </c>
      <c r="M212" s="5" t="s">
        <v>4312</v>
      </c>
      <c r="N212">
        <v>0</v>
      </c>
      <c r="O212" t="s">
        <v>10617</v>
      </c>
    </row>
    <row r="213" spans="1:15" x14ac:dyDescent="0.25">
      <c r="A213">
        <v>203</v>
      </c>
      <c r="B213">
        <v>4</v>
      </c>
      <c r="C213">
        <v>120</v>
      </c>
      <c r="D213">
        <v>1</v>
      </c>
      <c r="E213">
        <v>38</v>
      </c>
      <c r="F213">
        <v>49</v>
      </c>
      <c r="K213" s="5">
        <v>44698</v>
      </c>
      <c r="L213" s="5">
        <v>44757</v>
      </c>
      <c r="M213" s="5" t="s">
        <v>4312</v>
      </c>
      <c r="N213">
        <v>0</v>
      </c>
      <c r="O213" t="s">
        <v>10618</v>
      </c>
    </row>
    <row r="214" spans="1:15" x14ac:dyDescent="0.25">
      <c r="A214">
        <v>204</v>
      </c>
      <c r="B214">
        <v>2</v>
      </c>
      <c r="C214">
        <v>146</v>
      </c>
      <c r="D214">
        <v>2</v>
      </c>
      <c r="E214">
        <v>38</v>
      </c>
      <c r="F214">
        <v>49</v>
      </c>
      <c r="G214" t="s">
        <v>7636</v>
      </c>
      <c r="H214" t="s">
        <v>8996</v>
      </c>
      <c r="J214" t="s">
        <v>9020</v>
      </c>
      <c r="K214" s="5">
        <v>44698</v>
      </c>
      <c r="L214" s="5">
        <v>45260</v>
      </c>
      <c r="M214" s="5">
        <v>45322</v>
      </c>
      <c r="N214">
        <v>0</v>
      </c>
      <c r="O214" t="s">
        <v>10187</v>
      </c>
    </row>
    <row r="215" spans="1:15" x14ac:dyDescent="0.25">
      <c r="A215">
        <v>205</v>
      </c>
      <c r="B215">
        <v>3</v>
      </c>
      <c r="C215">
        <v>154</v>
      </c>
      <c r="D215">
        <v>2</v>
      </c>
      <c r="E215">
        <v>25</v>
      </c>
      <c r="F215">
        <v>26</v>
      </c>
      <c r="G215" t="s">
        <v>7637</v>
      </c>
      <c r="H215" t="s">
        <v>8996</v>
      </c>
      <c r="I215" t="s">
        <v>4349</v>
      </c>
      <c r="J215" t="s">
        <v>9026</v>
      </c>
      <c r="K215" s="5">
        <v>44700</v>
      </c>
      <c r="L215" s="5">
        <v>45808</v>
      </c>
      <c r="M215" s="5">
        <v>45808</v>
      </c>
      <c r="N215">
        <v>0</v>
      </c>
      <c r="O215" t="s">
        <v>10188</v>
      </c>
    </row>
    <row r="216" spans="1:15" x14ac:dyDescent="0.25">
      <c r="A216">
        <v>206</v>
      </c>
      <c r="B216">
        <v>5</v>
      </c>
      <c r="C216">
        <v>100</v>
      </c>
      <c r="D216">
        <v>4</v>
      </c>
      <c r="E216">
        <v>1</v>
      </c>
      <c r="F216">
        <v>1</v>
      </c>
      <c r="K216" s="5">
        <v>44705</v>
      </c>
      <c r="L216" s="5">
        <v>44804</v>
      </c>
      <c r="M216" s="5">
        <v>44804</v>
      </c>
      <c r="N216">
        <v>0</v>
      </c>
      <c r="O216" t="s">
        <v>10189</v>
      </c>
    </row>
    <row r="217" spans="1:15" x14ac:dyDescent="0.25">
      <c r="A217">
        <v>207</v>
      </c>
      <c r="B217">
        <v>3</v>
      </c>
      <c r="C217">
        <v>157</v>
      </c>
      <c r="D217">
        <v>2</v>
      </c>
      <c r="E217">
        <v>23</v>
      </c>
      <c r="F217">
        <v>24</v>
      </c>
      <c r="G217" t="s">
        <v>7638</v>
      </c>
      <c r="H217" t="s">
        <v>8996</v>
      </c>
      <c r="I217" t="s">
        <v>4349</v>
      </c>
      <c r="J217" t="s">
        <v>9027</v>
      </c>
      <c r="K217" s="5">
        <v>44713</v>
      </c>
      <c r="L217" s="5" t="s">
        <v>4312</v>
      </c>
      <c r="M217" s="5">
        <v>45991</v>
      </c>
      <c r="N217">
        <v>1</v>
      </c>
      <c r="O217" t="s">
        <v>10619</v>
      </c>
    </row>
    <row r="218" spans="1:15" x14ac:dyDescent="0.25">
      <c r="A218">
        <v>208</v>
      </c>
      <c r="B218">
        <v>3</v>
      </c>
      <c r="C218">
        <v>157</v>
      </c>
      <c r="D218">
        <v>2</v>
      </c>
      <c r="E218">
        <v>34</v>
      </c>
      <c r="F218">
        <v>40</v>
      </c>
      <c r="G218" t="s">
        <v>7639</v>
      </c>
      <c r="H218" t="s">
        <v>8996</v>
      </c>
      <c r="I218" t="s">
        <v>4349</v>
      </c>
      <c r="J218" t="s">
        <v>9027</v>
      </c>
      <c r="K218" s="5">
        <v>44713</v>
      </c>
      <c r="L218" s="5" t="s">
        <v>4312</v>
      </c>
      <c r="M218" s="5">
        <v>45991</v>
      </c>
      <c r="N218">
        <v>1</v>
      </c>
      <c r="O218" t="s">
        <v>10620</v>
      </c>
    </row>
    <row r="219" spans="1:15" x14ac:dyDescent="0.25">
      <c r="A219">
        <v>209</v>
      </c>
      <c r="B219">
        <v>2</v>
      </c>
      <c r="C219">
        <v>80</v>
      </c>
      <c r="D219">
        <v>1</v>
      </c>
      <c r="E219">
        <v>1</v>
      </c>
      <c r="F219">
        <v>1</v>
      </c>
      <c r="K219" s="5">
        <v>44715</v>
      </c>
      <c r="L219" s="5">
        <v>44773</v>
      </c>
      <c r="M219" s="5">
        <v>44926</v>
      </c>
      <c r="N219">
        <v>0</v>
      </c>
      <c r="O219" t="s">
        <v>10190</v>
      </c>
    </row>
    <row r="220" spans="1:15" x14ac:dyDescent="0.25">
      <c r="A220">
        <v>210</v>
      </c>
      <c r="B220">
        <v>2</v>
      </c>
      <c r="C220">
        <v>5</v>
      </c>
      <c r="D220">
        <v>1</v>
      </c>
      <c r="E220">
        <v>1</v>
      </c>
      <c r="F220">
        <v>1</v>
      </c>
      <c r="K220" s="5">
        <v>44718</v>
      </c>
      <c r="L220" s="5">
        <v>44806</v>
      </c>
      <c r="M220" s="5">
        <v>44926</v>
      </c>
      <c r="N220">
        <v>0</v>
      </c>
      <c r="O220" t="s">
        <v>10191</v>
      </c>
    </row>
    <row r="221" spans="1:15" x14ac:dyDescent="0.25">
      <c r="A221">
        <v>211</v>
      </c>
      <c r="B221">
        <v>5</v>
      </c>
      <c r="C221">
        <v>71</v>
      </c>
      <c r="D221">
        <v>4</v>
      </c>
      <c r="E221">
        <v>1</v>
      </c>
      <c r="F221">
        <v>1</v>
      </c>
      <c r="K221" s="5">
        <v>44718</v>
      </c>
      <c r="L221" s="5">
        <v>44804</v>
      </c>
      <c r="M221" s="5">
        <v>44804</v>
      </c>
      <c r="N221">
        <v>0</v>
      </c>
      <c r="O221" t="s">
        <v>10192</v>
      </c>
    </row>
    <row r="222" spans="1:15" x14ac:dyDescent="0.25">
      <c r="A222">
        <v>212</v>
      </c>
      <c r="B222">
        <v>2</v>
      </c>
      <c r="C222">
        <v>193</v>
      </c>
      <c r="D222">
        <v>1</v>
      </c>
      <c r="E222">
        <v>1</v>
      </c>
      <c r="F222">
        <v>1</v>
      </c>
      <c r="G222" t="s">
        <v>7640</v>
      </c>
      <c r="H222" t="s">
        <v>8996</v>
      </c>
      <c r="I222" t="s">
        <v>4349</v>
      </c>
      <c r="J222" t="s">
        <v>9020</v>
      </c>
      <c r="K222" s="5">
        <v>45943</v>
      </c>
      <c r="L222" s="5" t="s">
        <v>4312</v>
      </c>
      <c r="M222" s="5">
        <v>46053</v>
      </c>
      <c r="N222">
        <v>1</v>
      </c>
      <c r="O222" t="s">
        <v>10621</v>
      </c>
    </row>
    <row r="223" spans="1:15" x14ac:dyDescent="0.25">
      <c r="A223">
        <v>213</v>
      </c>
      <c r="B223">
        <v>2</v>
      </c>
      <c r="C223">
        <v>2</v>
      </c>
      <c r="D223">
        <v>1</v>
      </c>
      <c r="E223">
        <v>1</v>
      </c>
      <c r="F223">
        <v>1</v>
      </c>
      <c r="G223" t="s">
        <v>7641</v>
      </c>
      <c r="H223" t="s">
        <v>8996</v>
      </c>
      <c r="I223" t="s">
        <v>4348</v>
      </c>
      <c r="J223" t="s">
        <v>9022</v>
      </c>
      <c r="K223" s="5">
        <v>44727</v>
      </c>
      <c r="L223" s="5" t="s">
        <v>4312</v>
      </c>
      <c r="M223" s="5">
        <v>46203</v>
      </c>
      <c r="N223">
        <v>1</v>
      </c>
      <c r="O223" t="s">
        <v>10622</v>
      </c>
    </row>
    <row r="224" spans="1:15" x14ac:dyDescent="0.25">
      <c r="A224">
        <v>214</v>
      </c>
      <c r="B224">
        <v>2</v>
      </c>
      <c r="C224">
        <v>115</v>
      </c>
      <c r="D224">
        <v>1</v>
      </c>
      <c r="E224">
        <v>1</v>
      </c>
      <c r="F224">
        <v>1</v>
      </c>
      <c r="G224" t="s">
        <v>7642</v>
      </c>
      <c r="H224" t="s">
        <v>8996</v>
      </c>
      <c r="I224" t="s">
        <v>4349</v>
      </c>
      <c r="J224" t="s">
        <v>9020</v>
      </c>
      <c r="K224" s="5">
        <v>44727</v>
      </c>
      <c r="L224" s="5">
        <v>45907</v>
      </c>
      <c r="M224" s="5">
        <v>45930</v>
      </c>
      <c r="N224">
        <v>0</v>
      </c>
      <c r="O224" t="s">
        <v>10193</v>
      </c>
    </row>
    <row r="225" spans="1:15" x14ac:dyDescent="0.25">
      <c r="A225">
        <v>215</v>
      </c>
      <c r="B225">
        <v>3</v>
      </c>
      <c r="C225">
        <v>139</v>
      </c>
      <c r="D225">
        <v>1</v>
      </c>
      <c r="E225">
        <v>18</v>
      </c>
      <c r="F225">
        <v>21</v>
      </c>
      <c r="K225" s="5">
        <v>44739</v>
      </c>
      <c r="L225" s="5">
        <v>44896</v>
      </c>
      <c r="M225" s="5">
        <v>44926</v>
      </c>
      <c r="N225">
        <v>0</v>
      </c>
      <c r="O225" t="s">
        <v>10194</v>
      </c>
    </row>
    <row r="226" spans="1:15" x14ac:dyDescent="0.25">
      <c r="A226">
        <v>216</v>
      </c>
      <c r="B226">
        <v>3</v>
      </c>
      <c r="C226">
        <v>156</v>
      </c>
      <c r="D226">
        <v>2</v>
      </c>
      <c r="E226">
        <v>32</v>
      </c>
      <c r="F226">
        <v>34</v>
      </c>
      <c r="G226" t="s">
        <v>7643</v>
      </c>
      <c r="H226" t="s">
        <v>8996</v>
      </c>
      <c r="I226" t="s">
        <v>4349</v>
      </c>
      <c r="J226" t="s">
        <v>9027</v>
      </c>
      <c r="K226" s="5">
        <v>44743</v>
      </c>
      <c r="L226" s="5" t="s">
        <v>4312</v>
      </c>
      <c r="M226" s="5">
        <v>46022</v>
      </c>
      <c r="N226">
        <v>1</v>
      </c>
      <c r="O226" t="s">
        <v>10623</v>
      </c>
    </row>
    <row r="227" spans="1:15" x14ac:dyDescent="0.25">
      <c r="A227">
        <v>680</v>
      </c>
      <c r="B227">
        <v>6</v>
      </c>
      <c r="C227">
        <v>98</v>
      </c>
      <c r="D227">
        <v>2</v>
      </c>
      <c r="E227">
        <v>1</v>
      </c>
      <c r="F227">
        <v>1</v>
      </c>
      <c r="K227" s="5">
        <v>44747</v>
      </c>
      <c r="L227" s="5">
        <v>44926</v>
      </c>
      <c r="M227" s="5">
        <v>44926</v>
      </c>
      <c r="N227">
        <v>0</v>
      </c>
      <c r="O227" t="s">
        <v>10195</v>
      </c>
    </row>
    <row r="228" spans="1:15" x14ac:dyDescent="0.25">
      <c r="A228">
        <v>521</v>
      </c>
      <c r="B228">
        <v>5</v>
      </c>
      <c r="C228">
        <v>83</v>
      </c>
      <c r="D228">
        <v>1</v>
      </c>
      <c r="E228">
        <v>1</v>
      </c>
      <c r="F228">
        <v>1</v>
      </c>
      <c r="K228" s="5">
        <v>44748</v>
      </c>
      <c r="L228" s="5">
        <v>44942</v>
      </c>
      <c r="M228" s="5">
        <v>44957</v>
      </c>
      <c r="N228">
        <v>0</v>
      </c>
      <c r="O228" t="s">
        <v>10196</v>
      </c>
    </row>
    <row r="229" spans="1:15" x14ac:dyDescent="0.25">
      <c r="A229">
        <v>218</v>
      </c>
      <c r="B229">
        <v>2</v>
      </c>
      <c r="C229">
        <v>221</v>
      </c>
      <c r="D229">
        <v>2</v>
      </c>
      <c r="E229">
        <v>1</v>
      </c>
      <c r="F229">
        <v>1</v>
      </c>
      <c r="K229" s="5">
        <v>44749</v>
      </c>
      <c r="L229" s="5">
        <v>45077</v>
      </c>
      <c r="M229" s="5">
        <v>45077</v>
      </c>
      <c r="N229">
        <v>0</v>
      </c>
      <c r="O229" t="s">
        <v>10197</v>
      </c>
    </row>
    <row r="230" spans="1:15" x14ac:dyDescent="0.25">
      <c r="A230">
        <v>219</v>
      </c>
      <c r="B230">
        <v>4</v>
      </c>
      <c r="C230">
        <v>249</v>
      </c>
      <c r="D230">
        <v>3</v>
      </c>
      <c r="E230">
        <v>38</v>
      </c>
      <c r="F230">
        <v>49</v>
      </c>
      <c r="K230" s="5">
        <v>44749</v>
      </c>
      <c r="L230" s="5">
        <v>45051</v>
      </c>
      <c r="M230" s="5" t="s">
        <v>4312</v>
      </c>
      <c r="N230">
        <v>0</v>
      </c>
      <c r="O230" t="s">
        <v>10624</v>
      </c>
    </row>
    <row r="231" spans="1:15" x14ac:dyDescent="0.25">
      <c r="A231">
        <v>357</v>
      </c>
      <c r="B231">
        <v>3</v>
      </c>
      <c r="C231">
        <v>157</v>
      </c>
      <c r="D231">
        <v>2</v>
      </c>
      <c r="E231">
        <v>32</v>
      </c>
      <c r="F231">
        <v>35</v>
      </c>
      <c r="G231" t="s">
        <v>7644</v>
      </c>
      <c r="H231" t="s">
        <v>8996</v>
      </c>
      <c r="I231" t="s">
        <v>4349</v>
      </c>
      <c r="J231" t="s">
        <v>9027</v>
      </c>
      <c r="K231" s="5">
        <v>44754</v>
      </c>
      <c r="L231" s="5" t="s">
        <v>4312</v>
      </c>
      <c r="M231" s="5">
        <v>46142</v>
      </c>
      <c r="N231">
        <v>1</v>
      </c>
      <c r="O231" t="s">
        <v>10625</v>
      </c>
    </row>
    <row r="232" spans="1:15" x14ac:dyDescent="0.25">
      <c r="A232">
        <v>220</v>
      </c>
      <c r="B232">
        <v>3</v>
      </c>
      <c r="C232">
        <v>150</v>
      </c>
      <c r="D232">
        <v>4</v>
      </c>
      <c r="E232">
        <v>35</v>
      </c>
      <c r="F232">
        <v>23</v>
      </c>
      <c r="K232" s="5">
        <v>44754</v>
      </c>
      <c r="L232" s="5">
        <v>45016</v>
      </c>
      <c r="M232" s="5">
        <v>45016</v>
      </c>
      <c r="N232">
        <v>0</v>
      </c>
      <c r="O232" t="s">
        <v>10198</v>
      </c>
    </row>
    <row r="233" spans="1:15" x14ac:dyDescent="0.25">
      <c r="A233">
        <v>221</v>
      </c>
      <c r="B233">
        <v>3</v>
      </c>
      <c r="C233">
        <v>162</v>
      </c>
      <c r="D233">
        <v>1</v>
      </c>
      <c r="E233">
        <v>4</v>
      </c>
      <c r="F233">
        <v>5</v>
      </c>
      <c r="G233" t="s">
        <v>7645</v>
      </c>
      <c r="H233" t="s">
        <v>8996</v>
      </c>
      <c r="I233" t="s">
        <v>4349</v>
      </c>
      <c r="J233" t="s">
        <v>9026</v>
      </c>
      <c r="K233" s="5">
        <v>44754</v>
      </c>
      <c r="L233" s="5">
        <v>45722</v>
      </c>
      <c r="M233" s="5">
        <v>45747</v>
      </c>
      <c r="N233">
        <v>0</v>
      </c>
      <c r="O233" t="s">
        <v>10199</v>
      </c>
    </row>
    <row r="234" spans="1:15" x14ac:dyDescent="0.25">
      <c r="A234">
        <v>222</v>
      </c>
      <c r="B234">
        <v>4</v>
      </c>
      <c r="C234">
        <v>168</v>
      </c>
      <c r="D234">
        <v>2</v>
      </c>
      <c r="E234">
        <v>38</v>
      </c>
      <c r="F234">
        <v>49</v>
      </c>
      <c r="G234" t="s">
        <v>7646</v>
      </c>
      <c r="H234" t="s">
        <v>8996</v>
      </c>
      <c r="J234" t="s">
        <v>9020</v>
      </c>
      <c r="K234" s="5">
        <v>44755</v>
      </c>
      <c r="L234" s="5">
        <v>45504</v>
      </c>
      <c r="M234" s="5" t="s">
        <v>4312</v>
      </c>
      <c r="N234">
        <v>0</v>
      </c>
      <c r="O234" t="s">
        <v>10626</v>
      </c>
    </row>
    <row r="235" spans="1:15" x14ac:dyDescent="0.25">
      <c r="A235">
        <v>223</v>
      </c>
      <c r="B235">
        <v>6</v>
      </c>
      <c r="C235">
        <v>72</v>
      </c>
      <c r="D235">
        <v>1</v>
      </c>
      <c r="E235">
        <v>1</v>
      </c>
      <c r="F235">
        <v>1</v>
      </c>
      <c r="G235" t="s">
        <v>7647</v>
      </c>
      <c r="H235" t="s">
        <v>8996</v>
      </c>
      <c r="J235" t="s">
        <v>9020</v>
      </c>
      <c r="K235" s="5">
        <v>44762</v>
      </c>
      <c r="L235" s="5">
        <v>45291</v>
      </c>
      <c r="M235" s="5">
        <v>45291</v>
      </c>
      <c r="N235">
        <v>0</v>
      </c>
      <c r="O235" t="s">
        <v>10200</v>
      </c>
    </row>
    <row r="236" spans="1:15" x14ac:dyDescent="0.25">
      <c r="A236">
        <v>104</v>
      </c>
      <c r="B236">
        <v>3</v>
      </c>
      <c r="C236">
        <v>150</v>
      </c>
      <c r="D236">
        <v>2</v>
      </c>
      <c r="E236">
        <v>26</v>
      </c>
      <c r="F236">
        <v>27</v>
      </c>
      <c r="K236" s="5">
        <v>44764</v>
      </c>
      <c r="L236" s="5">
        <v>44926</v>
      </c>
      <c r="M236" s="5">
        <v>44926</v>
      </c>
      <c r="N236">
        <v>0</v>
      </c>
      <c r="O236" t="s">
        <v>10201</v>
      </c>
    </row>
    <row r="237" spans="1:15" x14ac:dyDescent="0.25">
      <c r="A237">
        <v>217</v>
      </c>
      <c r="B237">
        <v>3</v>
      </c>
      <c r="C237">
        <v>150</v>
      </c>
      <c r="D237">
        <v>1</v>
      </c>
      <c r="E237">
        <v>11</v>
      </c>
      <c r="F237">
        <v>15</v>
      </c>
      <c r="K237" s="5">
        <v>44774</v>
      </c>
      <c r="L237" s="5">
        <v>44989</v>
      </c>
      <c r="M237" s="5">
        <v>45046</v>
      </c>
      <c r="N237">
        <v>0</v>
      </c>
      <c r="O237" t="s">
        <v>10202</v>
      </c>
    </row>
    <row r="238" spans="1:15" x14ac:dyDescent="0.25">
      <c r="A238">
        <v>283</v>
      </c>
      <c r="B238">
        <v>2</v>
      </c>
      <c r="C238">
        <v>214</v>
      </c>
      <c r="D238">
        <v>1</v>
      </c>
      <c r="E238">
        <v>30</v>
      </c>
      <c r="F238">
        <v>32</v>
      </c>
      <c r="K238" s="5">
        <v>44774</v>
      </c>
      <c r="L238" s="5">
        <v>45199</v>
      </c>
      <c r="M238" s="5">
        <v>45322</v>
      </c>
      <c r="N238">
        <v>0</v>
      </c>
      <c r="O238" t="s">
        <v>10203</v>
      </c>
    </row>
    <row r="239" spans="1:15" x14ac:dyDescent="0.25">
      <c r="A239">
        <v>226</v>
      </c>
      <c r="B239">
        <v>3</v>
      </c>
      <c r="C239">
        <v>150</v>
      </c>
      <c r="D239">
        <v>1</v>
      </c>
      <c r="E239">
        <v>28</v>
      </c>
      <c r="F239">
        <v>30</v>
      </c>
      <c r="G239" t="s">
        <v>9000</v>
      </c>
      <c r="H239" t="s">
        <v>8996</v>
      </c>
      <c r="J239" t="s">
        <v>9026</v>
      </c>
      <c r="K239" s="5">
        <v>44774</v>
      </c>
      <c r="L239" s="5">
        <v>45334</v>
      </c>
      <c r="M239" s="5">
        <v>45382</v>
      </c>
      <c r="N239">
        <v>0</v>
      </c>
      <c r="O239" t="s">
        <v>10204</v>
      </c>
    </row>
    <row r="240" spans="1:15" x14ac:dyDescent="0.25">
      <c r="A240">
        <v>227</v>
      </c>
      <c r="B240">
        <v>4</v>
      </c>
      <c r="C240">
        <v>249</v>
      </c>
      <c r="D240">
        <v>4</v>
      </c>
      <c r="E240">
        <v>30</v>
      </c>
      <c r="F240">
        <v>32</v>
      </c>
      <c r="K240" s="5">
        <v>44774</v>
      </c>
      <c r="L240" s="5">
        <v>45201</v>
      </c>
      <c r="M240" s="5" t="s">
        <v>4312</v>
      </c>
      <c r="N240">
        <v>0</v>
      </c>
      <c r="O240" t="s">
        <v>10627</v>
      </c>
    </row>
    <row r="241" spans="1:15" x14ac:dyDescent="0.25">
      <c r="A241">
        <v>261</v>
      </c>
      <c r="B241">
        <v>2</v>
      </c>
      <c r="C241">
        <v>105</v>
      </c>
      <c r="D241">
        <v>1</v>
      </c>
      <c r="E241">
        <v>30</v>
      </c>
      <c r="F241">
        <v>32</v>
      </c>
      <c r="K241" s="5">
        <v>44774</v>
      </c>
      <c r="L241" s="5">
        <v>45121</v>
      </c>
      <c r="M241" s="5">
        <v>45230</v>
      </c>
      <c r="N241">
        <v>0</v>
      </c>
      <c r="O241" t="s">
        <v>10205</v>
      </c>
    </row>
    <row r="242" spans="1:15" x14ac:dyDescent="0.25">
      <c r="A242">
        <v>5</v>
      </c>
      <c r="B242">
        <v>5</v>
      </c>
      <c r="C242">
        <v>82</v>
      </c>
      <c r="D242">
        <v>1</v>
      </c>
      <c r="E242">
        <v>1</v>
      </c>
      <c r="F242">
        <v>1</v>
      </c>
      <c r="K242" s="5">
        <v>44788</v>
      </c>
      <c r="L242" s="5">
        <v>44997</v>
      </c>
      <c r="M242" s="5">
        <v>45153</v>
      </c>
      <c r="N242">
        <v>0</v>
      </c>
      <c r="O242" t="s">
        <v>10206</v>
      </c>
    </row>
    <row r="243" spans="1:15" x14ac:dyDescent="0.25">
      <c r="A243">
        <v>228</v>
      </c>
      <c r="B243">
        <v>5</v>
      </c>
      <c r="C243">
        <v>84</v>
      </c>
      <c r="D243">
        <v>1</v>
      </c>
      <c r="E243">
        <v>1</v>
      </c>
      <c r="F243">
        <v>1</v>
      </c>
      <c r="K243" s="5">
        <v>44788</v>
      </c>
      <c r="L243" s="5">
        <v>45061</v>
      </c>
      <c r="M243" s="5">
        <v>45061</v>
      </c>
      <c r="N243">
        <v>0</v>
      </c>
      <c r="O243" t="s">
        <v>10207</v>
      </c>
    </row>
    <row r="244" spans="1:15" x14ac:dyDescent="0.25">
      <c r="A244">
        <v>229</v>
      </c>
      <c r="B244">
        <v>5</v>
      </c>
      <c r="C244">
        <v>81</v>
      </c>
      <c r="D244">
        <v>1</v>
      </c>
      <c r="E244">
        <v>1</v>
      </c>
      <c r="F244">
        <v>1</v>
      </c>
      <c r="K244" s="5">
        <v>44791</v>
      </c>
      <c r="L244" s="5">
        <v>44985</v>
      </c>
      <c r="M244" s="5">
        <v>45077</v>
      </c>
      <c r="N244">
        <v>0</v>
      </c>
      <c r="O244" t="s">
        <v>10208</v>
      </c>
    </row>
    <row r="245" spans="1:15" x14ac:dyDescent="0.25">
      <c r="A245">
        <v>230</v>
      </c>
      <c r="B245">
        <v>4</v>
      </c>
      <c r="C245">
        <v>249</v>
      </c>
      <c r="D245">
        <v>1</v>
      </c>
      <c r="E245">
        <v>38</v>
      </c>
      <c r="F245">
        <v>49</v>
      </c>
      <c r="K245" s="5">
        <v>44792</v>
      </c>
      <c r="L245" s="5">
        <v>44839</v>
      </c>
      <c r="M245" s="5" t="s">
        <v>4312</v>
      </c>
      <c r="N245">
        <v>0</v>
      </c>
      <c r="O245" t="s">
        <v>10628</v>
      </c>
    </row>
    <row r="246" spans="1:15" x14ac:dyDescent="0.25">
      <c r="A246">
        <v>231</v>
      </c>
      <c r="B246">
        <v>4</v>
      </c>
      <c r="C246">
        <v>54</v>
      </c>
      <c r="D246">
        <v>1</v>
      </c>
      <c r="E246">
        <v>38</v>
      </c>
      <c r="F246">
        <v>49</v>
      </c>
      <c r="K246" s="5">
        <v>44796</v>
      </c>
      <c r="L246" s="5">
        <v>44825</v>
      </c>
      <c r="M246" s="5" t="s">
        <v>4312</v>
      </c>
      <c r="N246">
        <v>0</v>
      </c>
      <c r="O246" t="s">
        <v>10629</v>
      </c>
    </row>
    <row r="247" spans="1:15" x14ac:dyDescent="0.25">
      <c r="A247">
        <v>224</v>
      </c>
      <c r="B247">
        <v>4</v>
      </c>
      <c r="C247">
        <v>69</v>
      </c>
      <c r="D247">
        <v>1</v>
      </c>
      <c r="E247">
        <v>38</v>
      </c>
      <c r="F247">
        <v>49</v>
      </c>
      <c r="K247" s="5">
        <v>44804</v>
      </c>
      <c r="L247" s="5">
        <v>44804</v>
      </c>
      <c r="M247" s="5" t="s">
        <v>4312</v>
      </c>
      <c r="N247">
        <v>0</v>
      </c>
      <c r="O247" t="s">
        <v>10630</v>
      </c>
    </row>
    <row r="248" spans="1:15" x14ac:dyDescent="0.25">
      <c r="A248">
        <v>59</v>
      </c>
      <c r="B248">
        <v>4</v>
      </c>
      <c r="C248">
        <v>246</v>
      </c>
      <c r="D248">
        <v>1</v>
      </c>
      <c r="E248">
        <v>1</v>
      </c>
      <c r="F248">
        <v>1</v>
      </c>
      <c r="K248" s="5">
        <v>44804</v>
      </c>
      <c r="L248" s="5">
        <v>44804</v>
      </c>
      <c r="M248" s="5" t="s">
        <v>4312</v>
      </c>
      <c r="N248">
        <v>0</v>
      </c>
      <c r="O248" t="s">
        <v>10631</v>
      </c>
    </row>
    <row r="249" spans="1:15" x14ac:dyDescent="0.25">
      <c r="A249">
        <v>542</v>
      </c>
      <c r="B249">
        <v>4</v>
      </c>
      <c r="C249">
        <v>248</v>
      </c>
      <c r="D249">
        <v>1</v>
      </c>
      <c r="E249">
        <v>38</v>
      </c>
      <c r="F249">
        <v>49</v>
      </c>
      <c r="K249" s="5">
        <v>44804</v>
      </c>
      <c r="L249" s="5">
        <v>44804</v>
      </c>
      <c r="M249" s="5" t="s">
        <v>4312</v>
      </c>
      <c r="N249">
        <v>0</v>
      </c>
      <c r="O249" t="s">
        <v>10632</v>
      </c>
    </row>
    <row r="250" spans="1:15" x14ac:dyDescent="0.25">
      <c r="A250">
        <v>66</v>
      </c>
      <c r="B250">
        <v>2</v>
      </c>
      <c r="C250">
        <v>62</v>
      </c>
      <c r="D250">
        <v>1</v>
      </c>
      <c r="E250">
        <v>38</v>
      </c>
      <c r="F250">
        <v>49</v>
      </c>
      <c r="G250" t="s">
        <v>7648</v>
      </c>
      <c r="H250" t="s">
        <v>8996</v>
      </c>
      <c r="I250" t="s">
        <v>4349</v>
      </c>
      <c r="J250" t="s">
        <v>9020</v>
      </c>
      <c r="K250" s="5">
        <v>44805</v>
      </c>
      <c r="L250" s="5">
        <v>45991</v>
      </c>
      <c r="M250" s="5">
        <v>45991</v>
      </c>
      <c r="N250">
        <v>0</v>
      </c>
      <c r="O250" t="s">
        <v>10209</v>
      </c>
    </row>
    <row r="251" spans="1:15" x14ac:dyDescent="0.25">
      <c r="A251">
        <v>225</v>
      </c>
      <c r="B251">
        <v>2</v>
      </c>
      <c r="C251">
        <v>63</v>
      </c>
      <c r="D251">
        <v>1</v>
      </c>
      <c r="E251">
        <v>38</v>
      </c>
      <c r="F251">
        <v>49</v>
      </c>
      <c r="G251" t="s">
        <v>7649</v>
      </c>
      <c r="H251" t="s">
        <v>8996</v>
      </c>
      <c r="I251" t="s">
        <v>4349</v>
      </c>
      <c r="J251" t="s">
        <v>9020</v>
      </c>
      <c r="K251" s="5">
        <v>44805</v>
      </c>
      <c r="L251" s="5" t="s">
        <v>4312</v>
      </c>
      <c r="M251" s="5">
        <v>46022</v>
      </c>
      <c r="N251">
        <v>1</v>
      </c>
      <c r="O251" t="s">
        <v>10633</v>
      </c>
    </row>
    <row r="252" spans="1:15" x14ac:dyDescent="0.25">
      <c r="A252">
        <v>235</v>
      </c>
      <c r="B252">
        <v>3</v>
      </c>
      <c r="C252">
        <v>150</v>
      </c>
      <c r="D252">
        <v>2</v>
      </c>
      <c r="E252">
        <v>34</v>
      </c>
      <c r="F252">
        <v>35</v>
      </c>
      <c r="K252" s="5">
        <v>44805</v>
      </c>
      <c r="L252" s="5">
        <v>44985</v>
      </c>
      <c r="M252" s="5">
        <v>44985</v>
      </c>
      <c r="N252">
        <v>0</v>
      </c>
      <c r="O252" t="s">
        <v>10210</v>
      </c>
    </row>
    <row r="253" spans="1:15" x14ac:dyDescent="0.25">
      <c r="A253">
        <v>224</v>
      </c>
      <c r="B253">
        <v>2</v>
      </c>
      <c r="C253">
        <v>63</v>
      </c>
      <c r="D253">
        <v>1</v>
      </c>
      <c r="E253">
        <v>38</v>
      </c>
      <c r="F253">
        <v>49</v>
      </c>
      <c r="G253" t="s">
        <v>7650</v>
      </c>
      <c r="H253" t="s">
        <v>8996</v>
      </c>
      <c r="I253" t="s">
        <v>4349</v>
      </c>
      <c r="J253" t="s">
        <v>9020</v>
      </c>
      <c r="K253" s="5">
        <v>44805</v>
      </c>
      <c r="L253" s="5">
        <v>45669</v>
      </c>
      <c r="M253" s="5">
        <v>45716</v>
      </c>
      <c r="N253">
        <v>0</v>
      </c>
      <c r="O253" t="s">
        <v>10211</v>
      </c>
    </row>
    <row r="254" spans="1:15" x14ac:dyDescent="0.25">
      <c r="A254">
        <v>679</v>
      </c>
      <c r="B254">
        <v>2</v>
      </c>
      <c r="C254">
        <v>222</v>
      </c>
      <c r="D254">
        <v>1</v>
      </c>
      <c r="E254">
        <v>1</v>
      </c>
      <c r="F254">
        <v>1</v>
      </c>
      <c r="K254" s="5">
        <v>44805</v>
      </c>
      <c r="L254" s="5">
        <v>45046</v>
      </c>
      <c r="M254" s="5">
        <v>45077</v>
      </c>
      <c r="N254">
        <v>0</v>
      </c>
      <c r="O254" t="s">
        <v>10212</v>
      </c>
    </row>
    <row r="255" spans="1:15" x14ac:dyDescent="0.25">
      <c r="A255">
        <v>236</v>
      </c>
      <c r="B255">
        <v>4</v>
      </c>
      <c r="C255">
        <v>149</v>
      </c>
      <c r="D255">
        <v>1</v>
      </c>
      <c r="E255">
        <v>38</v>
      </c>
      <c r="F255">
        <v>49</v>
      </c>
      <c r="K255" s="5">
        <v>44805</v>
      </c>
      <c r="L255" s="5">
        <v>44862</v>
      </c>
      <c r="M255" s="5" t="s">
        <v>4312</v>
      </c>
      <c r="N255">
        <v>0</v>
      </c>
      <c r="O255" t="s">
        <v>10634</v>
      </c>
    </row>
    <row r="256" spans="1:15" x14ac:dyDescent="0.25">
      <c r="A256">
        <v>237</v>
      </c>
      <c r="B256">
        <v>2</v>
      </c>
      <c r="C256">
        <v>216</v>
      </c>
      <c r="D256">
        <v>1</v>
      </c>
      <c r="E256">
        <v>1</v>
      </c>
      <c r="F256">
        <v>1</v>
      </c>
      <c r="K256" s="5">
        <v>44805</v>
      </c>
      <c r="L256" s="5">
        <v>45121</v>
      </c>
      <c r="M256" s="5">
        <v>45169</v>
      </c>
      <c r="N256">
        <v>0</v>
      </c>
      <c r="O256" t="s">
        <v>10213</v>
      </c>
    </row>
    <row r="257" spans="1:15" x14ac:dyDescent="0.25">
      <c r="A257">
        <v>59</v>
      </c>
      <c r="B257">
        <v>7</v>
      </c>
      <c r="C257">
        <v>198</v>
      </c>
      <c r="D257">
        <v>1</v>
      </c>
      <c r="E257">
        <v>1</v>
      </c>
      <c r="F257">
        <v>1</v>
      </c>
      <c r="K257" s="5">
        <v>44805</v>
      </c>
      <c r="L257" s="5">
        <v>44985</v>
      </c>
      <c r="M257" s="5">
        <v>44985</v>
      </c>
      <c r="N257">
        <v>0</v>
      </c>
      <c r="O257" t="s">
        <v>10214</v>
      </c>
    </row>
    <row r="258" spans="1:15" x14ac:dyDescent="0.25">
      <c r="A258">
        <v>542</v>
      </c>
      <c r="B258">
        <v>2</v>
      </c>
      <c r="C258">
        <v>120</v>
      </c>
      <c r="D258">
        <v>1</v>
      </c>
      <c r="E258">
        <v>38</v>
      </c>
      <c r="F258">
        <v>49</v>
      </c>
      <c r="G258" t="s">
        <v>7651</v>
      </c>
      <c r="H258" t="s">
        <v>8996</v>
      </c>
      <c r="J258" t="s">
        <v>9020</v>
      </c>
      <c r="K258" s="5">
        <v>44805</v>
      </c>
      <c r="L258" s="5">
        <v>45443</v>
      </c>
      <c r="M258" s="5">
        <v>45443</v>
      </c>
      <c r="N258">
        <v>0</v>
      </c>
      <c r="O258" t="s">
        <v>10215</v>
      </c>
    </row>
    <row r="259" spans="1:15" x14ac:dyDescent="0.25">
      <c r="A259">
        <v>260</v>
      </c>
      <c r="B259">
        <v>2</v>
      </c>
      <c r="C259">
        <v>235</v>
      </c>
      <c r="D259">
        <v>1</v>
      </c>
      <c r="E259">
        <v>1</v>
      </c>
      <c r="F259">
        <v>1</v>
      </c>
      <c r="G259" t="s">
        <v>7652</v>
      </c>
      <c r="H259" t="s">
        <v>8996</v>
      </c>
      <c r="J259" t="s">
        <v>9020</v>
      </c>
      <c r="K259" s="5">
        <v>44805</v>
      </c>
      <c r="L259" s="5">
        <v>45240</v>
      </c>
      <c r="M259" s="5">
        <v>45535</v>
      </c>
      <c r="N259">
        <v>0</v>
      </c>
      <c r="O259" t="s">
        <v>10216</v>
      </c>
    </row>
    <row r="260" spans="1:15" x14ac:dyDescent="0.25">
      <c r="A260">
        <v>233</v>
      </c>
      <c r="B260">
        <v>2</v>
      </c>
      <c r="C260">
        <v>118</v>
      </c>
      <c r="D260">
        <v>1</v>
      </c>
      <c r="E260">
        <v>1</v>
      </c>
      <c r="F260">
        <v>1</v>
      </c>
      <c r="K260" s="5">
        <v>44805</v>
      </c>
      <c r="L260" s="5">
        <v>44992</v>
      </c>
      <c r="M260" s="5">
        <v>45169</v>
      </c>
      <c r="N260">
        <v>0</v>
      </c>
      <c r="O260" t="s">
        <v>10217</v>
      </c>
    </row>
    <row r="261" spans="1:15" x14ac:dyDescent="0.25">
      <c r="A261">
        <v>240</v>
      </c>
      <c r="B261">
        <v>2</v>
      </c>
      <c r="C261">
        <v>7</v>
      </c>
      <c r="D261">
        <v>2</v>
      </c>
      <c r="E261">
        <v>1</v>
      </c>
      <c r="F261">
        <v>1</v>
      </c>
      <c r="G261" t="s">
        <v>7653</v>
      </c>
      <c r="H261" t="s">
        <v>8996</v>
      </c>
      <c r="I261" t="s">
        <v>4349</v>
      </c>
      <c r="J261" t="s">
        <v>9020</v>
      </c>
      <c r="K261" s="5">
        <v>44809</v>
      </c>
      <c r="L261" s="5">
        <v>45744</v>
      </c>
      <c r="M261" s="5">
        <v>45900</v>
      </c>
      <c r="N261">
        <v>0</v>
      </c>
      <c r="O261" t="s">
        <v>10218</v>
      </c>
    </row>
    <row r="262" spans="1:15" x14ac:dyDescent="0.25">
      <c r="A262">
        <v>241</v>
      </c>
      <c r="B262">
        <v>4</v>
      </c>
      <c r="C262">
        <v>160</v>
      </c>
      <c r="D262">
        <v>1</v>
      </c>
      <c r="E262">
        <v>38</v>
      </c>
      <c r="F262">
        <v>49</v>
      </c>
      <c r="G262" t="s">
        <v>7654</v>
      </c>
      <c r="H262" t="s">
        <v>8996</v>
      </c>
      <c r="I262" t="s">
        <v>4349</v>
      </c>
      <c r="J262" t="s">
        <v>9020</v>
      </c>
      <c r="K262" s="5">
        <v>44809</v>
      </c>
      <c r="L262" s="5">
        <v>45688</v>
      </c>
      <c r="M262" s="5" t="s">
        <v>4312</v>
      </c>
      <c r="N262">
        <v>0</v>
      </c>
      <c r="O262" t="s">
        <v>10635</v>
      </c>
    </row>
    <row r="263" spans="1:15" x14ac:dyDescent="0.25">
      <c r="A263">
        <v>242</v>
      </c>
      <c r="B263">
        <v>4</v>
      </c>
      <c r="C263">
        <v>125</v>
      </c>
      <c r="D263">
        <v>1</v>
      </c>
      <c r="E263">
        <v>38</v>
      </c>
      <c r="F263">
        <v>49</v>
      </c>
      <c r="G263" t="s">
        <v>7655</v>
      </c>
      <c r="H263" t="s">
        <v>8996</v>
      </c>
      <c r="J263" t="s">
        <v>9020</v>
      </c>
      <c r="K263" s="5">
        <v>44809</v>
      </c>
      <c r="L263" s="5">
        <v>45535</v>
      </c>
      <c r="M263" s="5" t="s">
        <v>4312</v>
      </c>
      <c r="N263">
        <v>0</v>
      </c>
      <c r="O263" t="s">
        <v>10636</v>
      </c>
    </row>
    <row r="264" spans="1:15" x14ac:dyDescent="0.25">
      <c r="A264">
        <v>243</v>
      </c>
      <c r="B264">
        <v>4</v>
      </c>
      <c r="C264">
        <v>176</v>
      </c>
      <c r="D264">
        <v>1</v>
      </c>
      <c r="E264">
        <v>1</v>
      </c>
      <c r="F264">
        <v>1</v>
      </c>
      <c r="K264" s="5">
        <v>44811</v>
      </c>
      <c r="L264" s="5">
        <v>44926</v>
      </c>
      <c r="M264" s="5" t="s">
        <v>4312</v>
      </c>
      <c r="N264">
        <v>0</v>
      </c>
      <c r="O264" t="s">
        <v>10637</v>
      </c>
    </row>
    <row r="265" spans="1:15" x14ac:dyDescent="0.25">
      <c r="A265">
        <v>244</v>
      </c>
      <c r="B265">
        <v>2</v>
      </c>
      <c r="C265">
        <v>142</v>
      </c>
      <c r="D265">
        <v>1</v>
      </c>
      <c r="E265">
        <v>1</v>
      </c>
      <c r="F265">
        <v>1</v>
      </c>
      <c r="G265" t="s">
        <v>7656</v>
      </c>
      <c r="H265" t="s">
        <v>8995</v>
      </c>
      <c r="I265" t="s">
        <v>4348</v>
      </c>
      <c r="J265" t="s">
        <v>9020</v>
      </c>
      <c r="K265" s="5">
        <v>44812</v>
      </c>
      <c r="L265" s="5" t="s">
        <v>4312</v>
      </c>
      <c r="M265" s="5">
        <v>46112</v>
      </c>
      <c r="N265">
        <v>1</v>
      </c>
      <c r="O265" t="s">
        <v>10638</v>
      </c>
    </row>
    <row r="266" spans="1:15" x14ac:dyDescent="0.25">
      <c r="A266">
        <v>245</v>
      </c>
      <c r="B266">
        <v>4</v>
      </c>
      <c r="C266">
        <v>249</v>
      </c>
      <c r="D266">
        <v>3</v>
      </c>
      <c r="E266">
        <v>38</v>
      </c>
      <c r="F266">
        <v>49</v>
      </c>
      <c r="H266" t="s">
        <v>8996</v>
      </c>
      <c r="J266" t="s">
        <v>9020</v>
      </c>
      <c r="K266" s="5">
        <v>44818</v>
      </c>
      <c r="L266" s="5">
        <v>45333</v>
      </c>
      <c r="M266" s="5" t="s">
        <v>4312</v>
      </c>
      <c r="N266">
        <v>0</v>
      </c>
      <c r="O266" t="s">
        <v>10639</v>
      </c>
    </row>
    <row r="267" spans="1:15" x14ac:dyDescent="0.25">
      <c r="A267">
        <v>246</v>
      </c>
      <c r="B267">
        <v>2</v>
      </c>
      <c r="C267">
        <v>148</v>
      </c>
      <c r="D267">
        <v>2</v>
      </c>
      <c r="E267">
        <v>38</v>
      </c>
      <c r="F267">
        <v>49</v>
      </c>
      <c r="K267" s="5">
        <v>44818</v>
      </c>
      <c r="L267" s="5">
        <v>44926</v>
      </c>
      <c r="M267" s="5">
        <v>44926</v>
      </c>
      <c r="N267">
        <v>0</v>
      </c>
      <c r="O267" t="s">
        <v>10219</v>
      </c>
    </row>
    <row r="268" spans="1:15" x14ac:dyDescent="0.25">
      <c r="A268">
        <v>247</v>
      </c>
      <c r="B268">
        <v>6</v>
      </c>
      <c r="C268">
        <v>78</v>
      </c>
      <c r="D268">
        <v>1</v>
      </c>
      <c r="E268">
        <v>1</v>
      </c>
      <c r="F268">
        <v>1</v>
      </c>
      <c r="K268" s="5">
        <v>44818</v>
      </c>
      <c r="L268" s="5">
        <v>45199</v>
      </c>
      <c r="M268" s="5">
        <v>45199</v>
      </c>
      <c r="N268">
        <v>0</v>
      </c>
      <c r="O268" t="s">
        <v>10220</v>
      </c>
    </row>
    <row r="269" spans="1:15" x14ac:dyDescent="0.25">
      <c r="A269">
        <v>248</v>
      </c>
      <c r="B269">
        <v>5</v>
      </c>
      <c r="C269">
        <v>88</v>
      </c>
      <c r="D269">
        <v>1</v>
      </c>
      <c r="E269">
        <v>1</v>
      </c>
      <c r="F269">
        <v>1</v>
      </c>
      <c r="K269" s="5">
        <v>44819</v>
      </c>
      <c r="L269" s="5">
        <v>45000</v>
      </c>
      <c r="M269" s="5">
        <v>45077</v>
      </c>
      <c r="N269">
        <v>0</v>
      </c>
      <c r="O269" t="s">
        <v>10221</v>
      </c>
    </row>
    <row r="270" spans="1:15" x14ac:dyDescent="0.25">
      <c r="A270">
        <v>284</v>
      </c>
      <c r="B270">
        <v>5</v>
      </c>
      <c r="C270">
        <v>70</v>
      </c>
      <c r="D270">
        <v>1</v>
      </c>
      <c r="E270">
        <v>1</v>
      </c>
      <c r="F270">
        <v>1</v>
      </c>
      <c r="K270" s="5">
        <v>44824</v>
      </c>
      <c r="L270" s="5">
        <v>44942</v>
      </c>
      <c r="M270" s="5">
        <v>45412</v>
      </c>
      <c r="N270">
        <v>0</v>
      </c>
      <c r="O270" t="s">
        <v>10222</v>
      </c>
    </row>
    <row r="271" spans="1:15" x14ac:dyDescent="0.25">
      <c r="A271">
        <v>250</v>
      </c>
      <c r="B271">
        <v>4</v>
      </c>
      <c r="C271">
        <v>127</v>
      </c>
      <c r="D271">
        <v>4</v>
      </c>
      <c r="E271">
        <v>38</v>
      </c>
      <c r="F271">
        <v>49</v>
      </c>
      <c r="G271" t="s">
        <v>7657</v>
      </c>
      <c r="H271" t="s">
        <v>8996</v>
      </c>
      <c r="I271" t="s">
        <v>4349</v>
      </c>
      <c r="J271" t="s">
        <v>9020</v>
      </c>
      <c r="K271" s="5">
        <v>44826</v>
      </c>
      <c r="L271" s="5">
        <v>45808</v>
      </c>
      <c r="M271" s="5" t="s">
        <v>4312</v>
      </c>
      <c r="N271">
        <v>0</v>
      </c>
      <c r="O271" t="s">
        <v>10640</v>
      </c>
    </row>
    <row r="272" spans="1:15" x14ac:dyDescent="0.25">
      <c r="A272">
        <v>251</v>
      </c>
      <c r="B272">
        <v>5</v>
      </c>
      <c r="C272">
        <v>71</v>
      </c>
      <c r="D272">
        <v>1</v>
      </c>
      <c r="E272">
        <v>1</v>
      </c>
      <c r="F272">
        <v>1</v>
      </c>
      <c r="K272" s="5">
        <v>44827</v>
      </c>
      <c r="L272" s="5">
        <v>45077</v>
      </c>
      <c r="M272" s="5">
        <v>45107</v>
      </c>
      <c r="N272">
        <v>0</v>
      </c>
      <c r="O272" t="s">
        <v>10223</v>
      </c>
    </row>
    <row r="273" spans="1:15" x14ac:dyDescent="0.25">
      <c r="A273">
        <v>252</v>
      </c>
      <c r="B273">
        <v>2</v>
      </c>
      <c r="C273">
        <v>154</v>
      </c>
      <c r="D273">
        <v>3</v>
      </c>
      <c r="E273">
        <v>29</v>
      </c>
      <c r="F273">
        <v>8</v>
      </c>
      <c r="G273" t="s">
        <v>7658</v>
      </c>
      <c r="H273" t="s">
        <v>8996</v>
      </c>
      <c r="J273" t="s">
        <v>9026</v>
      </c>
      <c r="K273" s="5">
        <v>44830</v>
      </c>
      <c r="L273" s="5">
        <v>45565</v>
      </c>
      <c r="M273" s="5">
        <v>45565</v>
      </c>
      <c r="N273">
        <v>0</v>
      </c>
      <c r="O273" t="s">
        <v>10224</v>
      </c>
    </row>
    <row r="274" spans="1:15" x14ac:dyDescent="0.25">
      <c r="A274">
        <v>253</v>
      </c>
      <c r="B274">
        <v>2</v>
      </c>
      <c r="C274">
        <v>236</v>
      </c>
      <c r="D274">
        <v>4</v>
      </c>
      <c r="E274">
        <v>1</v>
      </c>
      <c r="F274">
        <v>1</v>
      </c>
      <c r="K274" s="5">
        <v>44832</v>
      </c>
      <c r="L274" s="5">
        <v>45093</v>
      </c>
      <c r="M274" s="5">
        <v>45199</v>
      </c>
      <c r="N274">
        <v>0</v>
      </c>
      <c r="O274" t="s">
        <v>10225</v>
      </c>
    </row>
    <row r="275" spans="1:15" x14ac:dyDescent="0.25">
      <c r="A275">
        <v>124</v>
      </c>
      <c r="B275">
        <v>3</v>
      </c>
      <c r="C275">
        <v>150</v>
      </c>
      <c r="D275">
        <v>4</v>
      </c>
      <c r="E275">
        <v>20</v>
      </c>
      <c r="F275">
        <v>11</v>
      </c>
      <c r="K275" s="5">
        <v>44835</v>
      </c>
      <c r="L275" s="5">
        <v>45139</v>
      </c>
      <c r="M275" s="5">
        <v>45138</v>
      </c>
      <c r="N275">
        <v>0</v>
      </c>
      <c r="O275" t="s">
        <v>10226</v>
      </c>
    </row>
    <row r="276" spans="1:15" x14ac:dyDescent="0.25">
      <c r="A276">
        <v>254</v>
      </c>
      <c r="B276">
        <v>5</v>
      </c>
      <c r="C276">
        <v>77</v>
      </c>
      <c r="D276">
        <v>1</v>
      </c>
      <c r="E276">
        <v>1</v>
      </c>
      <c r="F276">
        <v>1</v>
      </c>
      <c r="K276" s="5">
        <v>44837</v>
      </c>
      <c r="L276" s="5">
        <v>45199</v>
      </c>
      <c r="M276" s="5">
        <v>45199</v>
      </c>
      <c r="N276">
        <v>0</v>
      </c>
      <c r="O276" t="s">
        <v>10227</v>
      </c>
    </row>
    <row r="277" spans="1:15" x14ac:dyDescent="0.25">
      <c r="A277">
        <v>255</v>
      </c>
      <c r="B277">
        <v>4</v>
      </c>
      <c r="C277">
        <v>146</v>
      </c>
      <c r="D277">
        <v>3</v>
      </c>
      <c r="E277">
        <v>38</v>
      </c>
      <c r="F277">
        <v>49</v>
      </c>
      <c r="K277" s="5">
        <v>44837</v>
      </c>
      <c r="L277" s="5">
        <v>44923</v>
      </c>
      <c r="M277" s="5" t="s">
        <v>4312</v>
      </c>
      <c r="N277">
        <v>0</v>
      </c>
      <c r="O277" t="s">
        <v>10641</v>
      </c>
    </row>
    <row r="278" spans="1:15" x14ac:dyDescent="0.25">
      <c r="A278">
        <v>256</v>
      </c>
      <c r="B278">
        <v>4</v>
      </c>
      <c r="C278">
        <v>54</v>
      </c>
      <c r="D278">
        <v>1</v>
      </c>
      <c r="E278">
        <v>38</v>
      </c>
      <c r="F278">
        <v>49</v>
      </c>
      <c r="K278" s="5">
        <v>44837</v>
      </c>
      <c r="L278" s="5">
        <v>44932</v>
      </c>
      <c r="M278" s="5" t="s">
        <v>4312</v>
      </c>
      <c r="N278">
        <v>0</v>
      </c>
      <c r="O278" t="s">
        <v>10642</v>
      </c>
    </row>
    <row r="279" spans="1:15" x14ac:dyDescent="0.25">
      <c r="A279">
        <v>257</v>
      </c>
      <c r="B279">
        <v>5</v>
      </c>
      <c r="C279">
        <v>71</v>
      </c>
      <c r="D279">
        <v>4</v>
      </c>
      <c r="E279">
        <v>1</v>
      </c>
      <c r="F279">
        <v>1</v>
      </c>
      <c r="K279" s="5">
        <v>44837</v>
      </c>
      <c r="L279" s="5">
        <v>45055</v>
      </c>
      <c r="M279" s="5">
        <v>45077</v>
      </c>
      <c r="N279">
        <v>0</v>
      </c>
      <c r="O279" t="s">
        <v>10228</v>
      </c>
    </row>
    <row r="280" spans="1:15" x14ac:dyDescent="0.25">
      <c r="A280">
        <v>258</v>
      </c>
      <c r="B280">
        <v>3</v>
      </c>
      <c r="C280">
        <v>157</v>
      </c>
      <c r="D280">
        <v>2</v>
      </c>
      <c r="E280">
        <v>23</v>
      </c>
      <c r="F280">
        <v>24</v>
      </c>
      <c r="G280" t="s">
        <v>7659</v>
      </c>
      <c r="H280" t="s">
        <v>8996</v>
      </c>
      <c r="I280" t="s">
        <v>4349</v>
      </c>
      <c r="J280" t="s">
        <v>9027</v>
      </c>
      <c r="K280" s="5">
        <v>44839</v>
      </c>
      <c r="L280" s="5" t="s">
        <v>4312</v>
      </c>
      <c r="M280" s="5">
        <v>46022</v>
      </c>
      <c r="N280">
        <v>1</v>
      </c>
      <c r="O280" t="s">
        <v>10643</v>
      </c>
    </row>
    <row r="281" spans="1:15" x14ac:dyDescent="0.25">
      <c r="A281">
        <v>259</v>
      </c>
      <c r="B281">
        <v>5</v>
      </c>
      <c r="C281">
        <v>71</v>
      </c>
      <c r="D281">
        <v>2</v>
      </c>
      <c r="E281">
        <v>1</v>
      </c>
      <c r="F281">
        <v>1</v>
      </c>
      <c r="K281" s="5">
        <v>44851</v>
      </c>
      <c r="L281" s="5">
        <v>45077</v>
      </c>
      <c r="M281" s="5">
        <v>45077</v>
      </c>
      <c r="N281">
        <v>0</v>
      </c>
      <c r="O281" t="s">
        <v>10229</v>
      </c>
    </row>
    <row r="282" spans="1:15" x14ac:dyDescent="0.25">
      <c r="A282">
        <v>483</v>
      </c>
      <c r="B282">
        <v>5</v>
      </c>
      <c r="C282">
        <v>71</v>
      </c>
      <c r="D282">
        <v>1</v>
      </c>
      <c r="E282">
        <v>1</v>
      </c>
      <c r="F282">
        <v>1</v>
      </c>
      <c r="K282" s="5">
        <v>44858</v>
      </c>
      <c r="L282" s="5">
        <v>44942</v>
      </c>
      <c r="M282" s="5">
        <v>45046</v>
      </c>
      <c r="N282">
        <v>0</v>
      </c>
      <c r="O282" t="s">
        <v>10230</v>
      </c>
    </row>
    <row r="283" spans="1:15" x14ac:dyDescent="0.25">
      <c r="A283">
        <v>234</v>
      </c>
      <c r="B283">
        <v>4</v>
      </c>
      <c r="C283">
        <v>161</v>
      </c>
      <c r="D283">
        <v>1</v>
      </c>
      <c r="E283">
        <v>38</v>
      </c>
      <c r="F283">
        <v>49</v>
      </c>
      <c r="G283" t="s">
        <v>7660</v>
      </c>
      <c r="H283" t="s">
        <v>8996</v>
      </c>
      <c r="I283" t="s">
        <v>4349</v>
      </c>
      <c r="J283" t="s">
        <v>9020</v>
      </c>
      <c r="K283" s="5">
        <v>44859</v>
      </c>
      <c r="L283" s="5">
        <v>45808</v>
      </c>
      <c r="M283" s="5" t="s">
        <v>4312</v>
      </c>
      <c r="N283">
        <v>0</v>
      </c>
      <c r="O283" t="s">
        <v>10644</v>
      </c>
    </row>
    <row r="284" spans="1:15" x14ac:dyDescent="0.25">
      <c r="A284">
        <v>262</v>
      </c>
      <c r="B284">
        <v>4</v>
      </c>
      <c r="C284">
        <v>217</v>
      </c>
      <c r="D284">
        <v>1</v>
      </c>
      <c r="E284">
        <v>30</v>
      </c>
      <c r="F284">
        <v>32</v>
      </c>
      <c r="K284" s="5">
        <v>44867</v>
      </c>
      <c r="L284" s="5">
        <v>44945</v>
      </c>
      <c r="M284" s="5" t="s">
        <v>4312</v>
      </c>
      <c r="N284">
        <v>0</v>
      </c>
      <c r="O284" t="s">
        <v>10645</v>
      </c>
    </row>
    <row r="285" spans="1:15" x14ac:dyDescent="0.25">
      <c r="A285">
        <v>263</v>
      </c>
      <c r="B285">
        <v>2</v>
      </c>
      <c r="C285">
        <v>203</v>
      </c>
      <c r="D285">
        <v>2</v>
      </c>
      <c r="E285">
        <v>1</v>
      </c>
      <c r="F285">
        <v>1</v>
      </c>
      <c r="G285" t="s">
        <v>7661</v>
      </c>
      <c r="H285" t="s">
        <v>8996</v>
      </c>
      <c r="I285" t="s">
        <v>4349</v>
      </c>
      <c r="J285" t="s">
        <v>9020</v>
      </c>
      <c r="K285" s="5">
        <v>44868</v>
      </c>
      <c r="L285" s="5">
        <v>45869</v>
      </c>
      <c r="M285" s="5">
        <v>45869</v>
      </c>
      <c r="N285">
        <v>0</v>
      </c>
      <c r="O285" t="s">
        <v>10231</v>
      </c>
    </row>
    <row r="286" spans="1:15" x14ac:dyDescent="0.25">
      <c r="A286">
        <v>264</v>
      </c>
      <c r="B286">
        <v>2</v>
      </c>
      <c r="C286">
        <v>9</v>
      </c>
      <c r="D286">
        <v>1</v>
      </c>
      <c r="E286">
        <v>1</v>
      </c>
      <c r="F286">
        <v>1</v>
      </c>
      <c r="G286" t="s">
        <v>7662</v>
      </c>
      <c r="H286" t="s">
        <v>8995</v>
      </c>
      <c r="I286" t="s">
        <v>4349</v>
      </c>
      <c r="J286" t="s">
        <v>9020</v>
      </c>
      <c r="K286" s="5">
        <v>44879</v>
      </c>
      <c r="L286" s="5" t="s">
        <v>4312</v>
      </c>
      <c r="M286" s="5">
        <v>46022</v>
      </c>
      <c r="N286">
        <v>1</v>
      </c>
      <c r="O286" t="s">
        <v>10646</v>
      </c>
    </row>
    <row r="287" spans="1:15" x14ac:dyDescent="0.25">
      <c r="A287">
        <v>265</v>
      </c>
      <c r="B287">
        <v>4</v>
      </c>
      <c r="C287">
        <v>120</v>
      </c>
      <c r="D287">
        <v>1</v>
      </c>
      <c r="E287">
        <v>38</v>
      </c>
      <c r="F287">
        <v>49</v>
      </c>
      <c r="K287" s="5">
        <v>44888</v>
      </c>
      <c r="L287" s="5">
        <v>44890</v>
      </c>
      <c r="M287" s="5" t="s">
        <v>4312</v>
      </c>
      <c r="N287">
        <v>0</v>
      </c>
      <c r="O287" t="s">
        <v>10647</v>
      </c>
    </row>
    <row r="288" spans="1:15" x14ac:dyDescent="0.25">
      <c r="A288">
        <v>266</v>
      </c>
      <c r="B288">
        <v>2</v>
      </c>
      <c r="C288">
        <v>187</v>
      </c>
      <c r="D288">
        <v>5</v>
      </c>
      <c r="E288">
        <v>1</v>
      </c>
      <c r="F288">
        <v>1</v>
      </c>
      <c r="G288" t="s">
        <v>7663</v>
      </c>
      <c r="H288" t="s">
        <v>8996</v>
      </c>
      <c r="J288" t="s">
        <v>9020</v>
      </c>
      <c r="K288" s="5">
        <v>44893</v>
      </c>
      <c r="L288" s="5">
        <v>45565</v>
      </c>
      <c r="M288" s="5">
        <v>45565</v>
      </c>
      <c r="N288">
        <v>0</v>
      </c>
      <c r="O288" t="s">
        <v>10232</v>
      </c>
    </row>
    <row r="289" spans="1:15" x14ac:dyDescent="0.25">
      <c r="A289">
        <v>249</v>
      </c>
      <c r="B289">
        <v>2</v>
      </c>
      <c r="C289">
        <v>189</v>
      </c>
      <c r="D289">
        <v>1</v>
      </c>
      <c r="E289">
        <v>1</v>
      </c>
      <c r="F289">
        <v>1</v>
      </c>
      <c r="G289" t="s">
        <v>7664</v>
      </c>
      <c r="H289" t="s">
        <v>8996</v>
      </c>
      <c r="J289" t="s">
        <v>9020</v>
      </c>
      <c r="K289" s="5">
        <v>44897</v>
      </c>
      <c r="L289" s="5">
        <v>45592</v>
      </c>
      <c r="M289" s="5">
        <v>45808</v>
      </c>
      <c r="N289">
        <v>0</v>
      </c>
      <c r="O289" t="s">
        <v>10233</v>
      </c>
    </row>
    <row r="290" spans="1:15" x14ac:dyDescent="0.25">
      <c r="A290">
        <v>267</v>
      </c>
      <c r="B290">
        <v>2</v>
      </c>
      <c r="C290">
        <v>178</v>
      </c>
      <c r="D290">
        <v>5</v>
      </c>
      <c r="E290">
        <v>1</v>
      </c>
      <c r="F290">
        <v>1</v>
      </c>
      <c r="K290" s="5">
        <v>44901</v>
      </c>
      <c r="L290" s="5">
        <v>45169</v>
      </c>
      <c r="M290" s="5">
        <v>45169</v>
      </c>
      <c r="N290">
        <v>0</v>
      </c>
      <c r="O290" t="s">
        <v>10234</v>
      </c>
    </row>
    <row r="291" spans="1:15" x14ac:dyDescent="0.25">
      <c r="A291">
        <v>268</v>
      </c>
      <c r="B291">
        <v>4</v>
      </c>
      <c r="C291">
        <v>149</v>
      </c>
      <c r="D291">
        <v>1</v>
      </c>
      <c r="E291">
        <v>38</v>
      </c>
      <c r="F291">
        <v>49</v>
      </c>
      <c r="K291" s="5">
        <v>44901</v>
      </c>
      <c r="L291" s="5">
        <v>45169</v>
      </c>
      <c r="M291" s="5" t="s">
        <v>4312</v>
      </c>
      <c r="N291">
        <v>0</v>
      </c>
      <c r="O291" t="s">
        <v>10648</v>
      </c>
    </row>
    <row r="292" spans="1:15" x14ac:dyDescent="0.25">
      <c r="A292">
        <v>269</v>
      </c>
      <c r="B292">
        <v>2</v>
      </c>
      <c r="C292">
        <v>258</v>
      </c>
      <c r="D292">
        <v>1</v>
      </c>
      <c r="E292">
        <v>1</v>
      </c>
      <c r="F292">
        <v>1</v>
      </c>
      <c r="G292" t="s">
        <v>7665</v>
      </c>
      <c r="H292" t="s">
        <v>8996</v>
      </c>
      <c r="I292" t="s">
        <v>4348</v>
      </c>
      <c r="J292" t="s">
        <v>9020</v>
      </c>
      <c r="K292" s="5">
        <v>44901</v>
      </c>
      <c r="L292" s="5">
        <v>45808</v>
      </c>
      <c r="M292" s="5">
        <v>45808</v>
      </c>
      <c r="N292">
        <v>0</v>
      </c>
      <c r="O292" t="s">
        <v>10235</v>
      </c>
    </row>
    <row r="293" spans="1:15" x14ac:dyDescent="0.25">
      <c r="A293">
        <v>270</v>
      </c>
      <c r="B293">
        <v>2</v>
      </c>
      <c r="C293">
        <v>189</v>
      </c>
      <c r="D293">
        <v>1</v>
      </c>
      <c r="E293">
        <v>1</v>
      </c>
      <c r="F293">
        <v>1</v>
      </c>
      <c r="G293" t="s">
        <v>7666</v>
      </c>
      <c r="H293" t="s">
        <v>8996</v>
      </c>
      <c r="J293" t="s">
        <v>9022</v>
      </c>
      <c r="K293" s="5">
        <v>44901</v>
      </c>
      <c r="L293" s="5">
        <v>45590</v>
      </c>
      <c r="M293" s="5">
        <v>45626</v>
      </c>
      <c r="N293">
        <v>0</v>
      </c>
      <c r="O293" t="s">
        <v>10236</v>
      </c>
    </row>
    <row r="294" spans="1:15" x14ac:dyDescent="0.25">
      <c r="A294">
        <v>271</v>
      </c>
      <c r="B294">
        <v>8</v>
      </c>
      <c r="C294">
        <v>246</v>
      </c>
      <c r="D294">
        <v>1</v>
      </c>
      <c r="E294">
        <v>30</v>
      </c>
      <c r="F294">
        <v>32</v>
      </c>
      <c r="K294" s="5">
        <v>44916</v>
      </c>
      <c r="L294" s="5">
        <v>45200</v>
      </c>
      <c r="M294" s="5" t="s">
        <v>4312</v>
      </c>
      <c r="N294">
        <v>0</v>
      </c>
      <c r="O294" t="s">
        <v>10649</v>
      </c>
    </row>
    <row r="295" spans="1:15" x14ac:dyDescent="0.25">
      <c r="A295">
        <v>140</v>
      </c>
      <c r="B295">
        <v>2</v>
      </c>
      <c r="C295">
        <v>203</v>
      </c>
      <c r="D295">
        <v>4</v>
      </c>
      <c r="E295">
        <v>1</v>
      </c>
      <c r="F295">
        <v>1</v>
      </c>
      <c r="G295" t="s">
        <v>7667</v>
      </c>
      <c r="H295" t="s">
        <v>8996</v>
      </c>
      <c r="I295" t="s">
        <v>4349</v>
      </c>
      <c r="J295" t="s">
        <v>9020</v>
      </c>
      <c r="K295" s="5">
        <v>45200</v>
      </c>
      <c r="L295" s="5" t="s">
        <v>4312</v>
      </c>
      <c r="M295" s="5">
        <v>46053</v>
      </c>
      <c r="N295">
        <v>1</v>
      </c>
      <c r="O295" t="s">
        <v>10650</v>
      </c>
    </row>
    <row r="296" spans="1:15" x14ac:dyDescent="0.25">
      <c r="A296">
        <v>239</v>
      </c>
      <c r="B296">
        <v>2</v>
      </c>
      <c r="C296">
        <v>209</v>
      </c>
      <c r="D296">
        <v>1</v>
      </c>
      <c r="E296">
        <v>1</v>
      </c>
      <c r="F296">
        <v>1</v>
      </c>
      <c r="G296" t="s">
        <v>7668</v>
      </c>
      <c r="H296" t="s">
        <v>8996</v>
      </c>
      <c r="J296" t="s">
        <v>9020</v>
      </c>
      <c r="K296" s="5">
        <v>44928</v>
      </c>
      <c r="L296" s="5">
        <v>45240</v>
      </c>
      <c r="M296" s="5">
        <v>45291</v>
      </c>
      <c r="N296">
        <v>0</v>
      </c>
      <c r="O296" t="s">
        <v>10237</v>
      </c>
    </row>
    <row r="297" spans="1:15" x14ac:dyDescent="0.25">
      <c r="A297">
        <v>272</v>
      </c>
      <c r="B297">
        <v>2</v>
      </c>
      <c r="C297">
        <v>175</v>
      </c>
      <c r="D297">
        <v>4</v>
      </c>
      <c r="E297">
        <v>30</v>
      </c>
      <c r="F297">
        <v>32</v>
      </c>
      <c r="K297" s="5">
        <v>44928</v>
      </c>
      <c r="L297" s="5">
        <v>45128</v>
      </c>
      <c r="M297" s="5">
        <v>45138</v>
      </c>
      <c r="N297">
        <v>0</v>
      </c>
      <c r="O297" t="s">
        <v>10238</v>
      </c>
    </row>
    <row r="298" spans="1:15" x14ac:dyDescent="0.25">
      <c r="A298">
        <v>273</v>
      </c>
      <c r="B298">
        <v>4</v>
      </c>
      <c r="C298">
        <v>217</v>
      </c>
      <c r="D298">
        <v>1</v>
      </c>
      <c r="E298">
        <v>1</v>
      </c>
      <c r="F298">
        <v>1</v>
      </c>
      <c r="K298" s="5">
        <v>44928</v>
      </c>
      <c r="L298" s="5">
        <v>44998</v>
      </c>
      <c r="M298" s="5" t="s">
        <v>4312</v>
      </c>
      <c r="N298">
        <v>0</v>
      </c>
      <c r="O298" t="s">
        <v>10651</v>
      </c>
    </row>
    <row r="299" spans="1:15" x14ac:dyDescent="0.25">
      <c r="A299">
        <v>274</v>
      </c>
      <c r="B299">
        <v>2</v>
      </c>
      <c r="C299">
        <v>193</v>
      </c>
      <c r="D299">
        <v>1</v>
      </c>
      <c r="E299">
        <v>30</v>
      </c>
      <c r="F299">
        <v>32</v>
      </c>
      <c r="K299" s="5">
        <v>44928</v>
      </c>
      <c r="L299" s="5">
        <v>45030</v>
      </c>
      <c r="M299" s="5">
        <v>45016</v>
      </c>
      <c r="N299">
        <v>0</v>
      </c>
      <c r="O299" t="s">
        <v>10239</v>
      </c>
    </row>
    <row r="300" spans="1:15" x14ac:dyDescent="0.25">
      <c r="A300">
        <v>275</v>
      </c>
      <c r="B300">
        <v>3</v>
      </c>
      <c r="C300">
        <v>139</v>
      </c>
      <c r="D300">
        <v>1</v>
      </c>
      <c r="E300">
        <v>36</v>
      </c>
      <c r="F300">
        <v>21</v>
      </c>
      <c r="K300" s="5">
        <v>44928</v>
      </c>
      <c r="L300" s="5">
        <v>45107</v>
      </c>
      <c r="M300" s="5">
        <v>45107</v>
      </c>
      <c r="N300">
        <v>0</v>
      </c>
      <c r="O300" t="s">
        <v>10240</v>
      </c>
    </row>
    <row r="301" spans="1:15" x14ac:dyDescent="0.25">
      <c r="A301">
        <v>276</v>
      </c>
      <c r="B301">
        <v>3</v>
      </c>
      <c r="C301">
        <v>152</v>
      </c>
      <c r="D301">
        <v>1</v>
      </c>
      <c r="E301">
        <v>36</v>
      </c>
      <c r="F301">
        <v>21</v>
      </c>
      <c r="K301" s="5">
        <v>44930</v>
      </c>
      <c r="L301" s="5">
        <v>45049</v>
      </c>
      <c r="M301" s="5">
        <v>45107</v>
      </c>
      <c r="N301">
        <v>0</v>
      </c>
      <c r="O301" t="s">
        <v>10241</v>
      </c>
    </row>
    <row r="302" spans="1:15" x14ac:dyDescent="0.25">
      <c r="A302">
        <v>277</v>
      </c>
      <c r="B302">
        <v>3</v>
      </c>
      <c r="C302">
        <v>203</v>
      </c>
      <c r="D302">
        <v>2</v>
      </c>
      <c r="E302">
        <v>23</v>
      </c>
      <c r="F302">
        <v>24</v>
      </c>
      <c r="G302" t="s">
        <v>7669</v>
      </c>
      <c r="H302" t="s">
        <v>8996</v>
      </c>
      <c r="I302" t="s">
        <v>4349</v>
      </c>
      <c r="J302" t="s">
        <v>9027</v>
      </c>
      <c r="K302" s="5">
        <v>45446</v>
      </c>
      <c r="L302" s="5" t="s">
        <v>4312</v>
      </c>
      <c r="M302" s="5">
        <v>46022</v>
      </c>
      <c r="N302">
        <v>1</v>
      </c>
      <c r="O302" t="s">
        <v>10652</v>
      </c>
    </row>
    <row r="303" spans="1:15" x14ac:dyDescent="0.25">
      <c r="A303">
        <v>278</v>
      </c>
      <c r="B303">
        <v>4</v>
      </c>
      <c r="C303">
        <v>249</v>
      </c>
      <c r="D303">
        <v>3</v>
      </c>
      <c r="E303">
        <v>38</v>
      </c>
      <c r="F303">
        <v>49</v>
      </c>
      <c r="K303" s="5">
        <v>44935</v>
      </c>
      <c r="L303" s="5">
        <v>44946</v>
      </c>
      <c r="M303" s="5" t="s">
        <v>4312</v>
      </c>
      <c r="N303">
        <v>0</v>
      </c>
      <c r="O303" t="s">
        <v>10653</v>
      </c>
    </row>
    <row r="304" spans="1:15" x14ac:dyDescent="0.25">
      <c r="A304">
        <v>279</v>
      </c>
      <c r="B304">
        <v>4</v>
      </c>
      <c r="C304">
        <v>125</v>
      </c>
      <c r="D304">
        <v>2</v>
      </c>
      <c r="E304">
        <v>38</v>
      </c>
      <c r="F304">
        <v>49</v>
      </c>
      <c r="G304" t="s">
        <v>7670</v>
      </c>
      <c r="H304" t="s">
        <v>8996</v>
      </c>
      <c r="J304" t="s">
        <v>9020</v>
      </c>
      <c r="K304" s="5">
        <v>44935</v>
      </c>
      <c r="L304" s="5">
        <v>45504</v>
      </c>
      <c r="M304" s="5" t="s">
        <v>4312</v>
      </c>
      <c r="N304">
        <v>0</v>
      </c>
      <c r="O304" t="s">
        <v>10654</v>
      </c>
    </row>
    <row r="305" spans="1:15" x14ac:dyDescent="0.25">
      <c r="A305">
        <v>280</v>
      </c>
      <c r="B305">
        <v>2</v>
      </c>
      <c r="C305">
        <v>177</v>
      </c>
      <c r="D305">
        <v>1</v>
      </c>
      <c r="E305">
        <v>1</v>
      </c>
      <c r="F305">
        <v>1</v>
      </c>
      <c r="G305" t="s">
        <v>7671</v>
      </c>
      <c r="H305" t="s">
        <v>8996</v>
      </c>
      <c r="I305" t="s">
        <v>4349</v>
      </c>
      <c r="J305" t="s">
        <v>9020</v>
      </c>
      <c r="K305" s="5">
        <v>44942</v>
      </c>
      <c r="L305" s="5" t="s">
        <v>4312</v>
      </c>
      <c r="M305" s="5">
        <v>46142</v>
      </c>
      <c r="N305">
        <v>1</v>
      </c>
      <c r="O305" t="s">
        <v>10655</v>
      </c>
    </row>
    <row r="306" spans="1:15" x14ac:dyDescent="0.25">
      <c r="A306">
        <v>281</v>
      </c>
      <c r="B306">
        <v>4</v>
      </c>
      <c r="C306">
        <v>54</v>
      </c>
      <c r="D306">
        <v>1</v>
      </c>
      <c r="E306">
        <v>30</v>
      </c>
      <c r="F306">
        <v>32</v>
      </c>
      <c r="K306" s="5">
        <v>44942</v>
      </c>
      <c r="L306" s="5">
        <v>44967</v>
      </c>
      <c r="M306" s="5" t="s">
        <v>4312</v>
      </c>
      <c r="N306">
        <v>0</v>
      </c>
      <c r="O306" t="s">
        <v>10656</v>
      </c>
    </row>
    <row r="307" spans="1:15" x14ac:dyDescent="0.25">
      <c r="A307">
        <v>282</v>
      </c>
      <c r="B307">
        <v>4</v>
      </c>
      <c r="C307">
        <v>208</v>
      </c>
      <c r="D307">
        <v>1</v>
      </c>
      <c r="E307">
        <v>38</v>
      </c>
      <c r="F307">
        <v>49</v>
      </c>
      <c r="G307" t="s">
        <v>7672</v>
      </c>
      <c r="H307" t="s">
        <v>8996</v>
      </c>
      <c r="I307" t="s">
        <v>4349</v>
      </c>
      <c r="J307" t="s">
        <v>9020</v>
      </c>
      <c r="K307" s="5">
        <v>44942</v>
      </c>
      <c r="L307" s="5">
        <v>45688</v>
      </c>
      <c r="M307" s="5" t="s">
        <v>4312</v>
      </c>
      <c r="N307">
        <v>0</v>
      </c>
      <c r="O307" t="s">
        <v>10657</v>
      </c>
    </row>
    <row r="308" spans="1:15" x14ac:dyDescent="0.25">
      <c r="A308">
        <v>284</v>
      </c>
      <c r="B308">
        <v>2</v>
      </c>
      <c r="C308">
        <v>185</v>
      </c>
      <c r="D308">
        <v>1</v>
      </c>
      <c r="E308">
        <v>1</v>
      </c>
      <c r="F308">
        <v>1</v>
      </c>
      <c r="G308" t="s">
        <v>7673</v>
      </c>
      <c r="H308" t="s">
        <v>8996</v>
      </c>
      <c r="J308" t="s">
        <v>9020</v>
      </c>
      <c r="K308" s="5">
        <v>44943</v>
      </c>
      <c r="L308" s="5">
        <v>45397</v>
      </c>
      <c r="M308" s="5">
        <v>45412</v>
      </c>
      <c r="N308">
        <v>0</v>
      </c>
      <c r="O308" t="s">
        <v>10242</v>
      </c>
    </row>
    <row r="309" spans="1:15" x14ac:dyDescent="0.25">
      <c r="A309">
        <v>483</v>
      </c>
      <c r="B309">
        <v>2</v>
      </c>
      <c r="C309">
        <v>182</v>
      </c>
      <c r="D309">
        <v>1</v>
      </c>
      <c r="E309">
        <v>1</v>
      </c>
      <c r="F309">
        <v>1</v>
      </c>
      <c r="G309" t="s">
        <v>7674</v>
      </c>
      <c r="H309" t="s">
        <v>8996</v>
      </c>
      <c r="J309" t="s">
        <v>9020</v>
      </c>
      <c r="K309" s="5">
        <v>44943</v>
      </c>
      <c r="L309" s="5">
        <v>45558</v>
      </c>
      <c r="M309" s="5">
        <v>45596</v>
      </c>
      <c r="N309">
        <v>0</v>
      </c>
      <c r="O309" t="s">
        <v>10243</v>
      </c>
    </row>
    <row r="310" spans="1:15" x14ac:dyDescent="0.25">
      <c r="A310">
        <v>521</v>
      </c>
      <c r="B310">
        <v>2</v>
      </c>
      <c r="C310">
        <v>201</v>
      </c>
      <c r="D310">
        <v>1</v>
      </c>
      <c r="E310">
        <v>1</v>
      </c>
      <c r="F310">
        <v>1</v>
      </c>
      <c r="J310" t="s">
        <v>4340</v>
      </c>
      <c r="K310" s="5">
        <v>44943</v>
      </c>
      <c r="L310" s="5">
        <v>45176</v>
      </c>
      <c r="M310" s="5">
        <v>45230</v>
      </c>
      <c r="N310">
        <v>0</v>
      </c>
      <c r="O310" t="s">
        <v>10244</v>
      </c>
    </row>
    <row r="311" spans="1:15" x14ac:dyDescent="0.25">
      <c r="A311">
        <v>285</v>
      </c>
      <c r="B311">
        <v>3</v>
      </c>
      <c r="C311">
        <v>162</v>
      </c>
      <c r="D311">
        <v>1</v>
      </c>
      <c r="E311">
        <v>24</v>
      </c>
      <c r="F311">
        <v>25</v>
      </c>
      <c r="G311" t="s">
        <v>7675</v>
      </c>
      <c r="H311" t="s">
        <v>8996</v>
      </c>
      <c r="I311" t="s">
        <v>4349</v>
      </c>
      <c r="J311" t="s">
        <v>9026</v>
      </c>
      <c r="K311" s="5">
        <v>44944</v>
      </c>
      <c r="L311" s="5">
        <v>45933</v>
      </c>
      <c r="M311" s="5">
        <v>45961</v>
      </c>
      <c r="N311">
        <v>0</v>
      </c>
      <c r="O311" t="s">
        <v>10245</v>
      </c>
    </row>
    <row r="312" spans="1:15" x14ac:dyDescent="0.25">
      <c r="A312">
        <v>286</v>
      </c>
      <c r="B312">
        <v>5</v>
      </c>
      <c r="C312">
        <v>76</v>
      </c>
      <c r="D312">
        <v>1</v>
      </c>
      <c r="E312">
        <v>1</v>
      </c>
      <c r="F312">
        <v>1</v>
      </c>
      <c r="J312" t="s">
        <v>4340</v>
      </c>
      <c r="K312" s="5">
        <v>44950</v>
      </c>
      <c r="L312" s="5">
        <v>44985</v>
      </c>
      <c r="M312" s="5">
        <v>45046</v>
      </c>
      <c r="N312">
        <v>0</v>
      </c>
      <c r="O312" t="s">
        <v>10246</v>
      </c>
    </row>
    <row r="313" spans="1:15" x14ac:dyDescent="0.25">
      <c r="A313">
        <v>287</v>
      </c>
      <c r="B313">
        <v>4</v>
      </c>
      <c r="C313">
        <v>246</v>
      </c>
      <c r="D313">
        <v>1</v>
      </c>
      <c r="E313">
        <v>1</v>
      </c>
      <c r="F313">
        <v>1</v>
      </c>
      <c r="H313" t="s">
        <v>8996</v>
      </c>
      <c r="I313" t="s">
        <v>4349</v>
      </c>
      <c r="J313" t="s">
        <v>9022</v>
      </c>
      <c r="K313" s="5">
        <v>44953</v>
      </c>
      <c r="L313" s="5">
        <v>45808</v>
      </c>
      <c r="M313" s="5" t="s">
        <v>4312</v>
      </c>
      <c r="N313">
        <v>0</v>
      </c>
      <c r="O313" t="s">
        <v>10658</v>
      </c>
    </row>
    <row r="314" spans="1:15" x14ac:dyDescent="0.25">
      <c r="A314">
        <v>288</v>
      </c>
      <c r="B314">
        <v>2</v>
      </c>
      <c r="C314">
        <v>203</v>
      </c>
      <c r="D314">
        <v>1</v>
      </c>
      <c r="E314">
        <v>1</v>
      </c>
      <c r="F314">
        <v>1</v>
      </c>
      <c r="G314" t="s">
        <v>7676</v>
      </c>
      <c r="H314" t="s">
        <v>8996</v>
      </c>
      <c r="I314" t="s">
        <v>4349</v>
      </c>
      <c r="J314" t="s">
        <v>9020</v>
      </c>
      <c r="K314" s="5">
        <v>45770</v>
      </c>
      <c r="L314" s="5" t="s">
        <v>4312</v>
      </c>
      <c r="M314" s="5">
        <v>46142</v>
      </c>
      <c r="N314">
        <v>1</v>
      </c>
      <c r="O314" t="s">
        <v>10659</v>
      </c>
    </row>
    <row r="315" spans="1:15" x14ac:dyDescent="0.25">
      <c r="A315">
        <v>289</v>
      </c>
      <c r="B315">
        <v>2</v>
      </c>
      <c r="C315">
        <v>107</v>
      </c>
      <c r="D315">
        <v>2</v>
      </c>
      <c r="E315">
        <v>1</v>
      </c>
      <c r="F315">
        <v>1</v>
      </c>
      <c r="G315" t="s">
        <v>7677</v>
      </c>
      <c r="H315" t="s">
        <v>8996</v>
      </c>
      <c r="J315" t="s">
        <v>9022</v>
      </c>
      <c r="K315" s="5">
        <v>44958</v>
      </c>
      <c r="L315" s="5">
        <v>45415</v>
      </c>
      <c r="M315" s="5">
        <v>45443</v>
      </c>
      <c r="N315">
        <v>0</v>
      </c>
      <c r="O315" t="s">
        <v>10247</v>
      </c>
    </row>
    <row r="316" spans="1:15" x14ac:dyDescent="0.25">
      <c r="A316">
        <v>290</v>
      </c>
      <c r="B316">
        <v>2</v>
      </c>
      <c r="C316">
        <v>148</v>
      </c>
      <c r="D316">
        <v>2</v>
      </c>
      <c r="E316">
        <v>38</v>
      </c>
      <c r="F316">
        <v>49</v>
      </c>
      <c r="G316" t="s">
        <v>9001</v>
      </c>
      <c r="H316" t="s">
        <v>8996</v>
      </c>
      <c r="J316" t="s">
        <v>9020</v>
      </c>
      <c r="K316" s="5">
        <v>44958</v>
      </c>
      <c r="L316" s="5">
        <v>45239</v>
      </c>
      <c r="M316" s="5">
        <v>45260</v>
      </c>
      <c r="N316">
        <v>0</v>
      </c>
      <c r="O316" t="s">
        <v>10248</v>
      </c>
    </row>
    <row r="317" spans="1:15" x14ac:dyDescent="0.25">
      <c r="A317">
        <v>291</v>
      </c>
      <c r="B317">
        <v>4</v>
      </c>
      <c r="C317">
        <v>148</v>
      </c>
      <c r="D317">
        <v>1</v>
      </c>
      <c r="E317">
        <v>38</v>
      </c>
      <c r="F317">
        <v>49</v>
      </c>
      <c r="J317" t="s">
        <v>4340</v>
      </c>
      <c r="K317" s="5">
        <v>44960</v>
      </c>
      <c r="L317" s="5">
        <v>45199</v>
      </c>
      <c r="M317" s="5" t="s">
        <v>4312</v>
      </c>
      <c r="N317">
        <v>0</v>
      </c>
      <c r="O317" t="s">
        <v>10660</v>
      </c>
    </row>
    <row r="318" spans="1:15" x14ac:dyDescent="0.25">
      <c r="A318">
        <v>292</v>
      </c>
      <c r="B318">
        <v>3</v>
      </c>
      <c r="C318">
        <v>154</v>
      </c>
      <c r="D318">
        <v>2</v>
      </c>
      <c r="E318">
        <v>34</v>
      </c>
      <c r="F318">
        <v>35</v>
      </c>
      <c r="G318" t="s">
        <v>7678</v>
      </c>
      <c r="H318" t="s">
        <v>8996</v>
      </c>
      <c r="J318" t="s">
        <v>9026</v>
      </c>
      <c r="K318" s="5">
        <v>44963</v>
      </c>
      <c r="L318" s="5">
        <v>45626</v>
      </c>
      <c r="M318" s="5">
        <v>45688</v>
      </c>
      <c r="N318">
        <v>0</v>
      </c>
      <c r="O318" t="s">
        <v>10249</v>
      </c>
    </row>
    <row r="319" spans="1:15" x14ac:dyDescent="0.25">
      <c r="A319">
        <v>293</v>
      </c>
      <c r="B319">
        <v>3</v>
      </c>
      <c r="C319">
        <v>150</v>
      </c>
      <c r="D319">
        <v>2</v>
      </c>
      <c r="E319">
        <v>34</v>
      </c>
      <c r="F319">
        <v>35</v>
      </c>
      <c r="J319" t="s">
        <v>4340</v>
      </c>
      <c r="K319" s="5">
        <v>44967</v>
      </c>
      <c r="L319" s="5">
        <v>45077</v>
      </c>
      <c r="M319" s="5">
        <v>45077</v>
      </c>
      <c r="N319">
        <v>0</v>
      </c>
      <c r="O319" t="s">
        <v>10250</v>
      </c>
    </row>
    <row r="320" spans="1:15" x14ac:dyDescent="0.25">
      <c r="A320">
        <v>294</v>
      </c>
      <c r="B320">
        <v>3</v>
      </c>
      <c r="C320">
        <v>152</v>
      </c>
      <c r="D320">
        <v>2</v>
      </c>
      <c r="E320">
        <v>22</v>
      </c>
      <c r="F320">
        <v>24</v>
      </c>
      <c r="J320" t="s">
        <v>4340</v>
      </c>
      <c r="K320" s="5">
        <v>44967</v>
      </c>
      <c r="L320" s="5">
        <v>45079</v>
      </c>
      <c r="M320" s="5">
        <v>45077</v>
      </c>
      <c r="N320">
        <v>0</v>
      </c>
      <c r="O320" t="s">
        <v>10251</v>
      </c>
    </row>
    <row r="321" spans="1:15" x14ac:dyDescent="0.25">
      <c r="A321">
        <v>295</v>
      </c>
      <c r="B321">
        <v>4</v>
      </c>
      <c r="C321">
        <v>166</v>
      </c>
      <c r="D321">
        <v>1</v>
      </c>
      <c r="E321">
        <v>38</v>
      </c>
      <c r="F321">
        <v>49</v>
      </c>
      <c r="G321" t="s">
        <v>7679</v>
      </c>
      <c r="H321" t="s">
        <v>8996</v>
      </c>
      <c r="I321" t="s">
        <v>4349</v>
      </c>
      <c r="J321" t="s">
        <v>9020</v>
      </c>
      <c r="K321" s="5">
        <v>44977</v>
      </c>
      <c r="L321" s="5">
        <v>45688</v>
      </c>
      <c r="M321" s="5" t="s">
        <v>4312</v>
      </c>
      <c r="N321">
        <v>0</v>
      </c>
      <c r="O321" t="s">
        <v>10661</v>
      </c>
    </row>
    <row r="322" spans="1:15" x14ac:dyDescent="0.25">
      <c r="A322">
        <v>296</v>
      </c>
      <c r="B322">
        <v>4</v>
      </c>
      <c r="C322">
        <v>168</v>
      </c>
      <c r="D322">
        <v>2</v>
      </c>
      <c r="E322">
        <v>38</v>
      </c>
      <c r="F322">
        <v>49</v>
      </c>
      <c r="G322" t="s">
        <v>7680</v>
      </c>
      <c r="H322" t="s">
        <v>8996</v>
      </c>
      <c r="J322" t="s">
        <v>9020</v>
      </c>
      <c r="K322" s="5">
        <v>44986</v>
      </c>
      <c r="L322" s="5">
        <v>45488</v>
      </c>
      <c r="M322" s="5" t="s">
        <v>4312</v>
      </c>
      <c r="N322">
        <v>0</v>
      </c>
      <c r="O322" t="s">
        <v>10662</v>
      </c>
    </row>
    <row r="323" spans="1:15" x14ac:dyDescent="0.25">
      <c r="A323">
        <v>297</v>
      </c>
      <c r="B323">
        <v>2</v>
      </c>
      <c r="C323">
        <v>232</v>
      </c>
      <c r="D323">
        <v>1</v>
      </c>
      <c r="E323">
        <v>1</v>
      </c>
      <c r="F323">
        <v>1</v>
      </c>
      <c r="G323" t="s">
        <v>7681</v>
      </c>
      <c r="H323" t="s">
        <v>8996</v>
      </c>
      <c r="J323" t="s">
        <v>9020</v>
      </c>
      <c r="K323" s="5">
        <v>44987</v>
      </c>
      <c r="L323" s="5">
        <v>45320</v>
      </c>
      <c r="M323" s="5">
        <v>45351</v>
      </c>
      <c r="N323">
        <v>0</v>
      </c>
      <c r="O323" t="s">
        <v>10252</v>
      </c>
    </row>
    <row r="324" spans="1:15" x14ac:dyDescent="0.25">
      <c r="A324">
        <v>298</v>
      </c>
      <c r="B324">
        <v>4</v>
      </c>
      <c r="C324">
        <v>249</v>
      </c>
      <c r="D324">
        <v>1</v>
      </c>
      <c r="E324">
        <v>38</v>
      </c>
      <c r="F324">
        <v>49</v>
      </c>
      <c r="G324" t="s">
        <v>7682</v>
      </c>
      <c r="H324" t="s">
        <v>8996</v>
      </c>
      <c r="J324" t="s">
        <v>9020</v>
      </c>
      <c r="K324" s="5">
        <v>44987</v>
      </c>
      <c r="L324" s="5">
        <v>45443</v>
      </c>
      <c r="M324" s="5" t="s">
        <v>4312</v>
      </c>
      <c r="N324">
        <v>0</v>
      </c>
      <c r="O324" t="s">
        <v>10663</v>
      </c>
    </row>
    <row r="325" spans="1:15" x14ac:dyDescent="0.25">
      <c r="A325">
        <v>299</v>
      </c>
      <c r="B325">
        <v>5</v>
      </c>
      <c r="C325">
        <v>87</v>
      </c>
      <c r="D325">
        <v>1</v>
      </c>
      <c r="E325">
        <v>1</v>
      </c>
      <c r="F325">
        <v>1</v>
      </c>
      <c r="G325" t="s">
        <v>7683</v>
      </c>
      <c r="H325" t="s">
        <v>8996</v>
      </c>
      <c r="J325" t="s">
        <v>9020</v>
      </c>
      <c r="K325" s="5">
        <v>44991</v>
      </c>
      <c r="L325" s="5">
        <v>45356</v>
      </c>
      <c r="M325" s="5">
        <v>45356</v>
      </c>
      <c r="N325">
        <v>0</v>
      </c>
      <c r="O325" t="s">
        <v>10253</v>
      </c>
    </row>
    <row r="326" spans="1:15" x14ac:dyDescent="0.25">
      <c r="A326">
        <v>300</v>
      </c>
      <c r="B326">
        <v>2</v>
      </c>
      <c r="C326">
        <v>203</v>
      </c>
      <c r="D326">
        <v>2</v>
      </c>
      <c r="E326">
        <v>1</v>
      </c>
      <c r="F326">
        <v>1</v>
      </c>
      <c r="G326" t="s">
        <v>7684</v>
      </c>
      <c r="H326" t="s">
        <v>8996</v>
      </c>
      <c r="I326" t="s">
        <v>4349</v>
      </c>
      <c r="J326" t="s">
        <v>9020</v>
      </c>
      <c r="K326" s="5">
        <v>45901</v>
      </c>
      <c r="L326" s="5" t="s">
        <v>4312</v>
      </c>
      <c r="M326" s="5">
        <v>45991</v>
      </c>
      <c r="N326">
        <v>1</v>
      </c>
      <c r="O326" t="s">
        <v>10664</v>
      </c>
    </row>
    <row r="327" spans="1:15" x14ac:dyDescent="0.25">
      <c r="A327">
        <v>301</v>
      </c>
      <c r="B327">
        <v>4</v>
      </c>
      <c r="C327">
        <v>249</v>
      </c>
      <c r="D327">
        <v>2</v>
      </c>
      <c r="E327">
        <v>38</v>
      </c>
      <c r="F327">
        <v>49</v>
      </c>
      <c r="J327" t="s">
        <v>4340</v>
      </c>
      <c r="K327" s="5">
        <v>44998</v>
      </c>
      <c r="L327" s="5">
        <v>45173</v>
      </c>
      <c r="M327" s="5" t="s">
        <v>4312</v>
      </c>
      <c r="N327">
        <v>0</v>
      </c>
      <c r="O327" t="s">
        <v>10665</v>
      </c>
    </row>
    <row r="328" spans="1:15" x14ac:dyDescent="0.25">
      <c r="A328">
        <v>302</v>
      </c>
      <c r="B328">
        <v>2</v>
      </c>
      <c r="C328">
        <v>5</v>
      </c>
      <c r="D328">
        <v>1</v>
      </c>
      <c r="E328">
        <v>1</v>
      </c>
      <c r="F328">
        <v>1</v>
      </c>
      <c r="K328" s="5">
        <v>44998</v>
      </c>
      <c r="L328" s="5">
        <v>45086</v>
      </c>
      <c r="M328" s="5">
        <v>45199</v>
      </c>
      <c r="N328">
        <v>0</v>
      </c>
      <c r="O328" t="s">
        <v>10254</v>
      </c>
    </row>
    <row r="329" spans="1:15" x14ac:dyDescent="0.25">
      <c r="A329">
        <v>303</v>
      </c>
      <c r="B329">
        <v>2</v>
      </c>
      <c r="C329">
        <v>9</v>
      </c>
      <c r="D329">
        <v>1</v>
      </c>
      <c r="E329">
        <v>1</v>
      </c>
      <c r="F329">
        <v>1</v>
      </c>
      <c r="G329" t="s">
        <v>7685</v>
      </c>
      <c r="H329" t="s">
        <v>8995</v>
      </c>
      <c r="I329" t="s">
        <v>4349</v>
      </c>
      <c r="J329" t="s">
        <v>9020</v>
      </c>
      <c r="K329" s="5">
        <v>45000</v>
      </c>
      <c r="L329" s="5">
        <v>45930</v>
      </c>
      <c r="M329" s="5">
        <v>45930</v>
      </c>
      <c r="N329">
        <v>0</v>
      </c>
      <c r="O329" t="s">
        <v>10255</v>
      </c>
    </row>
    <row r="330" spans="1:15" x14ac:dyDescent="0.25">
      <c r="A330">
        <v>304</v>
      </c>
      <c r="B330">
        <v>2</v>
      </c>
      <c r="C330">
        <v>141</v>
      </c>
      <c r="D330">
        <v>4</v>
      </c>
      <c r="E330">
        <v>1</v>
      </c>
      <c r="F330">
        <v>1</v>
      </c>
      <c r="J330" t="s">
        <v>4340</v>
      </c>
      <c r="K330" s="5">
        <v>45000</v>
      </c>
      <c r="L330" s="5">
        <v>45199</v>
      </c>
      <c r="M330" s="5">
        <v>45199</v>
      </c>
      <c r="N330">
        <v>0</v>
      </c>
      <c r="O330" t="s">
        <v>10256</v>
      </c>
    </row>
    <row r="331" spans="1:15" x14ac:dyDescent="0.25">
      <c r="A331">
        <v>248</v>
      </c>
      <c r="B331">
        <v>2</v>
      </c>
      <c r="C331">
        <v>203</v>
      </c>
      <c r="D331">
        <v>1</v>
      </c>
      <c r="E331">
        <v>36</v>
      </c>
      <c r="F331">
        <v>21</v>
      </c>
      <c r="G331" t="s">
        <v>7686</v>
      </c>
      <c r="H331" t="s">
        <v>8996</v>
      </c>
      <c r="I331" t="s">
        <v>4349</v>
      </c>
      <c r="J331" t="s">
        <v>9020</v>
      </c>
      <c r="K331" s="5">
        <v>45001</v>
      </c>
      <c r="L331" s="5">
        <v>45688</v>
      </c>
      <c r="M331" s="5">
        <v>45688</v>
      </c>
      <c r="N331">
        <v>0</v>
      </c>
      <c r="O331" t="s">
        <v>10257</v>
      </c>
    </row>
    <row r="332" spans="1:15" x14ac:dyDescent="0.25">
      <c r="A332">
        <v>305</v>
      </c>
      <c r="B332">
        <v>3</v>
      </c>
      <c r="C332">
        <v>157</v>
      </c>
      <c r="D332">
        <v>1</v>
      </c>
      <c r="E332">
        <v>37</v>
      </c>
      <c r="F332">
        <v>46</v>
      </c>
      <c r="G332" t="s">
        <v>7687</v>
      </c>
      <c r="H332" t="s">
        <v>8996</v>
      </c>
      <c r="I332" t="s">
        <v>4349</v>
      </c>
      <c r="J332" t="s">
        <v>9025</v>
      </c>
      <c r="K332" s="5">
        <v>45005</v>
      </c>
      <c r="L332" s="5" t="s">
        <v>4312</v>
      </c>
      <c r="M332" s="5">
        <v>46112</v>
      </c>
      <c r="N332">
        <v>1</v>
      </c>
      <c r="O332" t="s">
        <v>10666</v>
      </c>
    </row>
    <row r="333" spans="1:15" x14ac:dyDescent="0.25">
      <c r="A333">
        <v>306</v>
      </c>
      <c r="B333">
        <v>4</v>
      </c>
      <c r="C333">
        <v>54</v>
      </c>
      <c r="D333">
        <v>1</v>
      </c>
      <c r="E333">
        <v>38</v>
      </c>
      <c r="F333">
        <v>49</v>
      </c>
      <c r="J333" t="s">
        <v>4340</v>
      </c>
      <c r="K333" s="5">
        <v>45006</v>
      </c>
      <c r="L333" s="5">
        <v>45016</v>
      </c>
      <c r="M333" s="5" t="s">
        <v>4312</v>
      </c>
      <c r="N333">
        <v>0</v>
      </c>
      <c r="O333" t="s">
        <v>10667</v>
      </c>
    </row>
    <row r="334" spans="1:15" x14ac:dyDescent="0.25">
      <c r="A334">
        <v>307</v>
      </c>
      <c r="B334">
        <v>4</v>
      </c>
      <c r="C334">
        <v>249</v>
      </c>
      <c r="D334">
        <v>1</v>
      </c>
      <c r="E334">
        <v>38</v>
      </c>
      <c r="F334">
        <v>49</v>
      </c>
      <c r="J334" t="s">
        <v>4340</v>
      </c>
      <c r="K334" s="5">
        <v>45012</v>
      </c>
      <c r="L334" s="5">
        <v>45013</v>
      </c>
      <c r="M334" s="5" t="s">
        <v>4312</v>
      </c>
      <c r="N334">
        <v>0</v>
      </c>
      <c r="O334" t="s">
        <v>10668</v>
      </c>
    </row>
    <row r="335" spans="1:15" x14ac:dyDescent="0.25">
      <c r="A335">
        <v>308</v>
      </c>
      <c r="B335">
        <v>4</v>
      </c>
      <c r="C335">
        <v>248</v>
      </c>
      <c r="D335">
        <v>4</v>
      </c>
      <c r="E335">
        <v>38</v>
      </c>
      <c r="F335">
        <v>49</v>
      </c>
      <c r="J335" t="s">
        <v>4340</v>
      </c>
      <c r="K335" s="5">
        <v>45012</v>
      </c>
      <c r="L335" s="5">
        <v>45065</v>
      </c>
      <c r="M335" s="5" t="s">
        <v>4312</v>
      </c>
      <c r="N335">
        <v>0</v>
      </c>
      <c r="O335" t="s">
        <v>10669</v>
      </c>
    </row>
    <row r="336" spans="1:15" x14ac:dyDescent="0.25">
      <c r="A336">
        <v>309</v>
      </c>
      <c r="B336">
        <v>2</v>
      </c>
      <c r="C336">
        <v>26</v>
      </c>
      <c r="D336">
        <v>1</v>
      </c>
      <c r="E336">
        <v>1</v>
      </c>
      <c r="F336">
        <v>1</v>
      </c>
      <c r="G336" t="s">
        <v>7688</v>
      </c>
      <c r="H336" t="s">
        <v>8995</v>
      </c>
      <c r="I336" t="s">
        <v>4349</v>
      </c>
      <c r="J336" t="s">
        <v>9020</v>
      </c>
      <c r="K336" s="5">
        <v>45019</v>
      </c>
      <c r="L336" s="5" t="s">
        <v>4312</v>
      </c>
      <c r="M336" s="5">
        <v>46112</v>
      </c>
      <c r="N336">
        <v>1</v>
      </c>
      <c r="O336" t="s">
        <v>10670</v>
      </c>
    </row>
    <row r="337" spans="1:15" x14ac:dyDescent="0.25">
      <c r="A337">
        <v>310</v>
      </c>
      <c r="B337">
        <v>2</v>
      </c>
      <c r="C337">
        <v>5</v>
      </c>
      <c r="D337">
        <v>1</v>
      </c>
      <c r="E337">
        <v>1</v>
      </c>
      <c r="F337">
        <v>1</v>
      </c>
      <c r="G337" t="s">
        <v>7689</v>
      </c>
      <c r="H337" t="s">
        <v>8995</v>
      </c>
      <c r="I337" t="s">
        <v>4349</v>
      </c>
      <c r="J337" t="s">
        <v>9020</v>
      </c>
      <c r="K337" s="5">
        <v>45019</v>
      </c>
      <c r="L337" s="5">
        <v>45900</v>
      </c>
      <c r="M337" s="5">
        <v>45930</v>
      </c>
      <c r="N337">
        <v>0</v>
      </c>
      <c r="O337" t="s">
        <v>10258</v>
      </c>
    </row>
    <row r="338" spans="1:15" x14ac:dyDescent="0.25">
      <c r="A338">
        <v>311</v>
      </c>
      <c r="B338">
        <v>4</v>
      </c>
      <c r="C338">
        <v>246</v>
      </c>
      <c r="D338">
        <v>5</v>
      </c>
      <c r="E338">
        <v>1</v>
      </c>
      <c r="F338">
        <v>1</v>
      </c>
      <c r="H338" t="s">
        <v>8996</v>
      </c>
      <c r="J338" t="s">
        <v>9022</v>
      </c>
      <c r="K338" s="5">
        <v>45019</v>
      </c>
      <c r="L338" s="5">
        <v>45605</v>
      </c>
      <c r="M338" s="5" t="s">
        <v>4312</v>
      </c>
      <c r="N338">
        <v>0</v>
      </c>
      <c r="O338" t="s">
        <v>10671</v>
      </c>
    </row>
    <row r="339" spans="1:15" x14ac:dyDescent="0.25">
      <c r="A339">
        <v>312</v>
      </c>
      <c r="B339">
        <v>5</v>
      </c>
      <c r="C339">
        <v>76</v>
      </c>
      <c r="D339">
        <v>1</v>
      </c>
      <c r="E339">
        <v>1</v>
      </c>
      <c r="F339">
        <v>1</v>
      </c>
      <c r="J339" t="s">
        <v>4340</v>
      </c>
      <c r="K339" s="5">
        <v>45026</v>
      </c>
      <c r="L339" s="5">
        <v>45199</v>
      </c>
      <c r="M339" s="5">
        <v>45199</v>
      </c>
      <c r="N339">
        <v>0</v>
      </c>
      <c r="O339" t="s">
        <v>10259</v>
      </c>
    </row>
    <row r="340" spans="1:15" x14ac:dyDescent="0.25">
      <c r="A340">
        <v>262</v>
      </c>
      <c r="B340">
        <v>4</v>
      </c>
      <c r="C340">
        <v>217</v>
      </c>
      <c r="D340">
        <v>1</v>
      </c>
      <c r="E340">
        <v>30</v>
      </c>
      <c r="F340">
        <v>32</v>
      </c>
      <c r="J340" t="s">
        <v>4340</v>
      </c>
      <c r="K340" s="5">
        <v>45027</v>
      </c>
      <c r="L340" s="5">
        <v>45033</v>
      </c>
      <c r="M340" s="5" t="s">
        <v>4312</v>
      </c>
      <c r="N340">
        <v>0</v>
      </c>
      <c r="O340" t="s">
        <v>10672</v>
      </c>
    </row>
    <row r="341" spans="1:15" x14ac:dyDescent="0.25">
      <c r="A341">
        <v>313</v>
      </c>
      <c r="B341">
        <v>6</v>
      </c>
      <c r="C341">
        <v>73</v>
      </c>
      <c r="D341">
        <v>1</v>
      </c>
      <c r="E341">
        <v>1</v>
      </c>
      <c r="F341">
        <v>1</v>
      </c>
      <c r="J341" t="s">
        <v>4340</v>
      </c>
      <c r="K341" s="5">
        <v>45027</v>
      </c>
      <c r="L341" s="5">
        <v>45107</v>
      </c>
      <c r="M341" s="5">
        <v>45107</v>
      </c>
      <c r="N341">
        <v>0</v>
      </c>
      <c r="O341" t="s">
        <v>10260</v>
      </c>
    </row>
    <row r="342" spans="1:15" x14ac:dyDescent="0.25">
      <c r="A342">
        <v>314</v>
      </c>
      <c r="B342">
        <v>2</v>
      </c>
      <c r="C342">
        <v>240</v>
      </c>
      <c r="D342">
        <v>1</v>
      </c>
      <c r="E342">
        <v>1</v>
      </c>
      <c r="F342">
        <v>1</v>
      </c>
      <c r="G342" t="s">
        <v>7690</v>
      </c>
      <c r="H342" t="s">
        <v>8996</v>
      </c>
      <c r="I342" t="s">
        <v>4349</v>
      </c>
      <c r="J342" t="s">
        <v>9020</v>
      </c>
      <c r="K342" s="5">
        <v>45030</v>
      </c>
      <c r="L342" s="5" t="s">
        <v>4312</v>
      </c>
      <c r="M342" s="5">
        <v>46142</v>
      </c>
      <c r="N342">
        <v>1</v>
      </c>
      <c r="O342" t="s">
        <v>10673</v>
      </c>
    </row>
    <row r="343" spans="1:15" x14ac:dyDescent="0.25">
      <c r="A343">
        <v>315</v>
      </c>
      <c r="B343">
        <v>4</v>
      </c>
      <c r="C343">
        <v>246</v>
      </c>
      <c r="D343">
        <v>2</v>
      </c>
      <c r="E343">
        <v>1</v>
      </c>
      <c r="F343">
        <v>1</v>
      </c>
      <c r="G343" t="s">
        <v>7691</v>
      </c>
      <c r="H343" t="s">
        <v>8996</v>
      </c>
      <c r="I343" t="s">
        <v>4349</v>
      </c>
      <c r="J343" t="s">
        <v>9022</v>
      </c>
      <c r="K343" s="5">
        <v>45033</v>
      </c>
      <c r="L343" s="5" t="s">
        <v>4312</v>
      </c>
      <c r="M343" s="5" t="s">
        <v>4312</v>
      </c>
      <c r="N343">
        <v>1</v>
      </c>
      <c r="O343" t="s">
        <v>10674</v>
      </c>
    </row>
    <row r="344" spans="1:15" x14ac:dyDescent="0.25">
      <c r="A344">
        <v>316</v>
      </c>
      <c r="B344">
        <v>4</v>
      </c>
      <c r="C344">
        <v>249</v>
      </c>
      <c r="D344">
        <v>1</v>
      </c>
      <c r="E344">
        <v>38</v>
      </c>
      <c r="F344">
        <v>49</v>
      </c>
      <c r="J344" t="s">
        <v>4340</v>
      </c>
      <c r="K344" s="5">
        <v>45033</v>
      </c>
      <c r="L344" s="5">
        <v>45077</v>
      </c>
      <c r="M344" s="5" t="s">
        <v>4312</v>
      </c>
      <c r="N344">
        <v>0</v>
      </c>
      <c r="O344" t="s">
        <v>10675</v>
      </c>
    </row>
    <row r="345" spans="1:15" x14ac:dyDescent="0.25">
      <c r="A345">
        <v>317</v>
      </c>
      <c r="B345">
        <v>3</v>
      </c>
      <c r="C345">
        <v>162</v>
      </c>
      <c r="D345">
        <v>1</v>
      </c>
      <c r="E345">
        <v>24</v>
      </c>
      <c r="F345">
        <v>25</v>
      </c>
      <c r="G345" t="s">
        <v>7692</v>
      </c>
      <c r="H345" t="s">
        <v>8996</v>
      </c>
      <c r="I345" t="s">
        <v>4349</v>
      </c>
      <c r="J345" t="s">
        <v>9026</v>
      </c>
      <c r="K345" s="5">
        <v>45034</v>
      </c>
      <c r="L345" s="5">
        <v>45900</v>
      </c>
      <c r="M345" s="5">
        <v>45900</v>
      </c>
      <c r="N345">
        <v>0</v>
      </c>
      <c r="O345" t="s">
        <v>10261</v>
      </c>
    </row>
    <row r="346" spans="1:15" x14ac:dyDescent="0.25">
      <c r="A346">
        <v>318</v>
      </c>
      <c r="B346">
        <v>3</v>
      </c>
      <c r="C346">
        <v>150</v>
      </c>
      <c r="D346">
        <v>1</v>
      </c>
      <c r="E346">
        <v>4</v>
      </c>
      <c r="F346">
        <v>6</v>
      </c>
      <c r="J346" t="s">
        <v>4340</v>
      </c>
      <c r="K346" s="5">
        <v>45034</v>
      </c>
      <c r="L346" s="5">
        <v>45093</v>
      </c>
      <c r="M346" s="5">
        <v>45138</v>
      </c>
      <c r="N346">
        <v>0</v>
      </c>
      <c r="O346" t="s">
        <v>10262</v>
      </c>
    </row>
    <row r="347" spans="1:15" x14ac:dyDescent="0.25">
      <c r="A347">
        <v>319</v>
      </c>
      <c r="B347">
        <v>3</v>
      </c>
      <c r="C347">
        <v>150</v>
      </c>
      <c r="D347">
        <v>1</v>
      </c>
      <c r="E347">
        <v>14</v>
      </c>
      <c r="F347">
        <v>18</v>
      </c>
      <c r="J347" t="s">
        <v>4340</v>
      </c>
      <c r="K347" s="5">
        <v>45034</v>
      </c>
      <c r="L347" s="5">
        <v>45116</v>
      </c>
      <c r="M347" s="5">
        <v>45138</v>
      </c>
      <c r="N347">
        <v>0</v>
      </c>
      <c r="O347" t="s">
        <v>10263</v>
      </c>
    </row>
    <row r="348" spans="1:15" x14ac:dyDescent="0.25">
      <c r="A348">
        <v>320</v>
      </c>
      <c r="B348">
        <v>4</v>
      </c>
      <c r="C348">
        <v>146</v>
      </c>
      <c r="D348">
        <v>4</v>
      </c>
      <c r="E348">
        <v>38</v>
      </c>
      <c r="F348">
        <v>49</v>
      </c>
      <c r="J348" t="s">
        <v>4340</v>
      </c>
      <c r="K348" s="5">
        <v>45040</v>
      </c>
      <c r="L348" s="5">
        <v>45044</v>
      </c>
      <c r="M348" s="5" t="s">
        <v>4312</v>
      </c>
      <c r="N348">
        <v>0</v>
      </c>
      <c r="O348" t="s">
        <v>10676</v>
      </c>
    </row>
    <row r="349" spans="1:15" x14ac:dyDescent="0.25">
      <c r="A349">
        <v>122</v>
      </c>
      <c r="B349">
        <v>4</v>
      </c>
      <c r="C349">
        <v>58</v>
      </c>
      <c r="D349">
        <v>1</v>
      </c>
      <c r="E349">
        <v>38</v>
      </c>
      <c r="F349">
        <v>49</v>
      </c>
      <c r="G349" t="s">
        <v>7693</v>
      </c>
      <c r="H349" t="s">
        <v>8996</v>
      </c>
      <c r="I349" t="s">
        <v>4349</v>
      </c>
      <c r="J349" t="s">
        <v>9020</v>
      </c>
      <c r="K349" s="5">
        <v>45045</v>
      </c>
      <c r="L349" s="5">
        <v>45776</v>
      </c>
      <c r="M349" s="5" t="s">
        <v>4312</v>
      </c>
      <c r="N349">
        <v>0</v>
      </c>
      <c r="O349" t="s">
        <v>10677</v>
      </c>
    </row>
    <row r="350" spans="1:15" x14ac:dyDescent="0.25">
      <c r="A350">
        <v>273</v>
      </c>
      <c r="B350">
        <v>4</v>
      </c>
      <c r="C350">
        <v>217</v>
      </c>
      <c r="D350">
        <v>1</v>
      </c>
      <c r="E350">
        <v>1</v>
      </c>
      <c r="F350">
        <v>1</v>
      </c>
      <c r="K350" s="5">
        <v>45047</v>
      </c>
      <c r="L350" s="5">
        <v>45071</v>
      </c>
      <c r="M350" s="5" t="s">
        <v>4312</v>
      </c>
      <c r="N350">
        <v>0</v>
      </c>
      <c r="O350" t="s">
        <v>10678</v>
      </c>
    </row>
    <row r="351" spans="1:15" x14ac:dyDescent="0.25">
      <c r="A351">
        <v>321</v>
      </c>
      <c r="B351">
        <v>3</v>
      </c>
      <c r="C351">
        <v>164</v>
      </c>
      <c r="D351">
        <v>1</v>
      </c>
      <c r="E351">
        <v>24</v>
      </c>
      <c r="F351">
        <v>25</v>
      </c>
      <c r="G351" t="s">
        <v>7694</v>
      </c>
      <c r="H351" t="s">
        <v>8996</v>
      </c>
      <c r="I351" t="s">
        <v>4349</v>
      </c>
      <c r="J351" t="s">
        <v>9024</v>
      </c>
      <c r="K351" s="5">
        <v>45048</v>
      </c>
      <c r="L351" s="5" t="s">
        <v>4312</v>
      </c>
      <c r="M351" s="5">
        <v>46022</v>
      </c>
      <c r="N351">
        <v>1</v>
      </c>
      <c r="O351" t="s">
        <v>10679</v>
      </c>
    </row>
    <row r="352" spans="1:15" x14ac:dyDescent="0.25">
      <c r="A352">
        <v>322</v>
      </c>
      <c r="B352">
        <v>3</v>
      </c>
      <c r="C352">
        <v>164</v>
      </c>
      <c r="D352">
        <v>1</v>
      </c>
      <c r="E352">
        <v>36</v>
      </c>
      <c r="F352">
        <v>21</v>
      </c>
      <c r="G352" t="s">
        <v>7695</v>
      </c>
      <c r="H352" t="s">
        <v>8996</v>
      </c>
      <c r="I352" t="s">
        <v>4349</v>
      </c>
      <c r="J352" t="s">
        <v>9021</v>
      </c>
      <c r="K352" s="5">
        <v>45048</v>
      </c>
      <c r="L352" s="5" t="s">
        <v>4312</v>
      </c>
      <c r="M352" s="5">
        <v>45991</v>
      </c>
      <c r="N352">
        <v>1</v>
      </c>
      <c r="O352" t="s">
        <v>10680</v>
      </c>
    </row>
    <row r="353" spans="1:15" x14ac:dyDescent="0.25">
      <c r="A353">
        <v>323</v>
      </c>
      <c r="B353">
        <v>4</v>
      </c>
      <c r="C353">
        <v>166</v>
      </c>
      <c r="D353">
        <v>4</v>
      </c>
      <c r="E353">
        <v>38</v>
      </c>
      <c r="F353">
        <v>49</v>
      </c>
      <c r="G353" t="s">
        <v>7696</v>
      </c>
      <c r="H353" t="s">
        <v>8996</v>
      </c>
      <c r="J353" t="s">
        <v>9020</v>
      </c>
      <c r="K353" s="5">
        <v>45048</v>
      </c>
      <c r="L353" s="5">
        <v>45487</v>
      </c>
      <c r="M353" s="5" t="s">
        <v>4312</v>
      </c>
      <c r="N353">
        <v>0</v>
      </c>
      <c r="O353" t="s">
        <v>10681</v>
      </c>
    </row>
    <row r="354" spans="1:15" x14ac:dyDescent="0.25">
      <c r="A354">
        <v>324</v>
      </c>
      <c r="B354">
        <v>6</v>
      </c>
      <c r="C354">
        <v>95</v>
      </c>
      <c r="D354">
        <v>1</v>
      </c>
      <c r="E354">
        <v>1</v>
      </c>
      <c r="F354">
        <v>1</v>
      </c>
      <c r="J354" t="s">
        <v>4340</v>
      </c>
      <c r="K354" s="5">
        <v>45048</v>
      </c>
      <c r="L354" s="5">
        <v>45199</v>
      </c>
      <c r="M354" s="5">
        <v>45230</v>
      </c>
      <c r="N354">
        <v>0</v>
      </c>
      <c r="O354" t="s">
        <v>10264</v>
      </c>
    </row>
    <row r="355" spans="1:15" x14ac:dyDescent="0.25">
      <c r="A355">
        <v>325</v>
      </c>
      <c r="B355">
        <v>2</v>
      </c>
      <c r="C355">
        <v>5</v>
      </c>
      <c r="D355">
        <v>3</v>
      </c>
      <c r="E355">
        <v>1</v>
      </c>
      <c r="F355">
        <v>1</v>
      </c>
      <c r="G355" t="s">
        <v>7697</v>
      </c>
      <c r="H355" t="s">
        <v>8995</v>
      </c>
      <c r="I355" t="s">
        <v>4349</v>
      </c>
      <c r="J355" t="s">
        <v>9020</v>
      </c>
      <c r="K355" s="5">
        <v>45054</v>
      </c>
      <c r="L355" s="5" t="s">
        <v>4312</v>
      </c>
      <c r="M355" s="5">
        <v>46142</v>
      </c>
      <c r="N355">
        <v>1</v>
      </c>
      <c r="O355" t="s">
        <v>10682</v>
      </c>
    </row>
    <row r="356" spans="1:15" x14ac:dyDescent="0.25">
      <c r="A356">
        <v>326</v>
      </c>
      <c r="B356">
        <v>3</v>
      </c>
      <c r="C356">
        <v>154</v>
      </c>
      <c r="D356">
        <v>1</v>
      </c>
      <c r="E356">
        <v>37</v>
      </c>
      <c r="F356">
        <v>47</v>
      </c>
      <c r="G356" t="s">
        <v>7698</v>
      </c>
      <c r="H356" t="s">
        <v>8996</v>
      </c>
      <c r="J356" t="s">
        <v>9026</v>
      </c>
      <c r="K356" s="5">
        <v>45054</v>
      </c>
      <c r="L356" s="5">
        <v>45565</v>
      </c>
      <c r="M356" s="5">
        <v>45596</v>
      </c>
      <c r="N356">
        <v>0</v>
      </c>
      <c r="O356" t="s">
        <v>10265</v>
      </c>
    </row>
    <row r="357" spans="1:15" x14ac:dyDescent="0.25">
      <c r="A357">
        <v>327</v>
      </c>
      <c r="B357">
        <v>4</v>
      </c>
      <c r="C357">
        <v>246</v>
      </c>
      <c r="D357">
        <v>1</v>
      </c>
      <c r="E357">
        <v>1</v>
      </c>
      <c r="F357">
        <v>1</v>
      </c>
      <c r="H357" t="s">
        <v>8996</v>
      </c>
      <c r="I357" t="s">
        <v>4349</v>
      </c>
      <c r="J357" t="s">
        <v>9022</v>
      </c>
      <c r="K357" s="5">
        <v>45061</v>
      </c>
      <c r="L357" s="5">
        <v>45808</v>
      </c>
      <c r="M357" s="5" t="s">
        <v>4312</v>
      </c>
      <c r="N357">
        <v>0</v>
      </c>
      <c r="O357" t="s">
        <v>10683</v>
      </c>
    </row>
    <row r="358" spans="1:15" x14ac:dyDescent="0.25">
      <c r="A358">
        <v>228</v>
      </c>
      <c r="B358">
        <v>2</v>
      </c>
      <c r="C358">
        <v>253</v>
      </c>
      <c r="D358">
        <v>1</v>
      </c>
      <c r="E358">
        <v>1</v>
      </c>
      <c r="F358">
        <v>1</v>
      </c>
      <c r="G358" t="s">
        <v>7699</v>
      </c>
      <c r="H358" t="s">
        <v>8996</v>
      </c>
      <c r="J358" t="s">
        <v>9020</v>
      </c>
      <c r="K358" s="5">
        <v>45062</v>
      </c>
      <c r="L358" s="5">
        <v>45473</v>
      </c>
      <c r="M358" s="5">
        <v>45473</v>
      </c>
      <c r="N358">
        <v>0</v>
      </c>
      <c r="O358" t="s">
        <v>10266</v>
      </c>
    </row>
    <row r="359" spans="1:15" x14ac:dyDescent="0.25">
      <c r="A359">
        <v>328</v>
      </c>
      <c r="B359">
        <v>2</v>
      </c>
      <c r="C359">
        <v>221</v>
      </c>
      <c r="D359">
        <v>2</v>
      </c>
      <c r="E359">
        <v>1</v>
      </c>
      <c r="F359">
        <v>1</v>
      </c>
      <c r="G359" t="s">
        <v>7700</v>
      </c>
      <c r="H359" t="s">
        <v>8996</v>
      </c>
      <c r="J359" t="s">
        <v>9020</v>
      </c>
      <c r="K359" s="5">
        <v>45064</v>
      </c>
      <c r="L359" s="5">
        <v>45322</v>
      </c>
      <c r="M359" s="5">
        <v>45382</v>
      </c>
      <c r="N359">
        <v>0</v>
      </c>
      <c r="O359" t="s">
        <v>10267</v>
      </c>
    </row>
    <row r="360" spans="1:15" x14ac:dyDescent="0.25">
      <c r="A360">
        <v>329</v>
      </c>
      <c r="B360">
        <v>3</v>
      </c>
      <c r="C360">
        <v>162</v>
      </c>
      <c r="D360">
        <v>1</v>
      </c>
      <c r="E360">
        <v>31</v>
      </c>
      <c r="F360">
        <v>6</v>
      </c>
      <c r="G360" t="s">
        <v>7701</v>
      </c>
      <c r="H360" t="s">
        <v>8996</v>
      </c>
      <c r="J360" t="s">
        <v>9026</v>
      </c>
      <c r="K360" s="5">
        <v>45064</v>
      </c>
      <c r="L360" s="5">
        <v>45534</v>
      </c>
      <c r="M360" s="5">
        <v>45626</v>
      </c>
      <c r="N360">
        <v>0</v>
      </c>
      <c r="O360" t="s">
        <v>10268</v>
      </c>
    </row>
    <row r="361" spans="1:15" x14ac:dyDescent="0.25">
      <c r="A361">
        <v>330</v>
      </c>
      <c r="B361">
        <v>2</v>
      </c>
      <c r="C361">
        <v>102</v>
      </c>
      <c r="D361">
        <v>1</v>
      </c>
      <c r="E361">
        <v>1</v>
      </c>
      <c r="F361">
        <v>1</v>
      </c>
      <c r="G361" t="s">
        <v>7702</v>
      </c>
      <c r="H361" t="s">
        <v>8996</v>
      </c>
      <c r="I361" t="s">
        <v>4348</v>
      </c>
      <c r="J361" t="s">
        <v>9020</v>
      </c>
      <c r="K361" s="5">
        <v>45068</v>
      </c>
      <c r="L361" s="5" t="s">
        <v>4312</v>
      </c>
      <c r="M361" s="5">
        <v>46081</v>
      </c>
      <c r="N361">
        <v>1</v>
      </c>
      <c r="O361" t="s">
        <v>10684</v>
      </c>
    </row>
    <row r="362" spans="1:15" x14ac:dyDescent="0.25">
      <c r="A362">
        <v>232</v>
      </c>
      <c r="B362">
        <v>2</v>
      </c>
      <c r="C362">
        <v>210</v>
      </c>
      <c r="D362">
        <v>1</v>
      </c>
      <c r="E362">
        <v>1</v>
      </c>
      <c r="F362">
        <v>1</v>
      </c>
      <c r="G362" t="s">
        <v>7703</v>
      </c>
      <c r="H362" t="s">
        <v>8996</v>
      </c>
      <c r="J362" t="s">
        <v>9020</v>
      </c>
      <c r="K362" s="5">
        <v>45068</v>
      </c>
      <c r="L362" s="5">
        <v>45565</v>
      </c>
      <c r="M362" s="5">
        <v>45565</v>
      </c>
      <c r="N362">
        <v>0</v>
      </c>
      <c r="O362" t="s">
        <v>10269</v>
      </c>
    </row>
    <row r="363" spans="1:15" x14ac:dyDescent="0.25">
      <c r="A363">
        <v>331</v>
      </c>
      <c r="B363">
        <v>4</v>
      </c>
      <c r="C363">
        <v>217</v>
      </c>
      <c r="D363">
        <v>1</v>
      </c>
      <c r="E363">
        <v>1</v>
      </c>
      <c r="F363">
        <v>1</v>
      </c>
      <c r="K363" s="5">
        <v>45070</v>
      </c>
      <c r="L363" s="5">
        <v>45205</v>
      </c>
      <c r="M363" s="5" t="s">
        <v>4312</v>
      </c>
      <c r="N363">
        <v>0</v>
      </c>
      <c r="O363" t="s">
        <v>10685</v>
      </c>
    </row>
    <row r="364" spans="1:15" x14ac:dyDescent="0.25">
      <c r="A364">
        <v>332</v>
      </c>
      <c r="B364">
        <v>2</v>
      </c>
      <c r="C364">
        <v>172</v>
      </c>
      <c r="D364">
        <v>1</v>
      </c>
      <c r="E364">
        <v>1</v>
      </c>
      <c r="F364">
        <v>1</v>
      </c>
      <c r="G364" t="s">
        <v>7704</v>
      </c>
      <c r="H364" t="s">
        <v>8996</v>
      </c>
      <c r="I364" t="s">
        <v>4348</v>
      </c>
      <c r="J364" t="s">
        <v>9020</v>
      </c>
      <c r="K364" s="5">
        <v>45078</v>
      </c>
      <c r="L364" s="5">
        <v>45991</v>
      </c>
      <c r="M364" s="5">
        <v>45991</v>
      </c>
      <c r="N364">
        <v>0</v>
      </c>
      <c r="O364" t="s">
        <v>10270</v>
      </c>
    </row>
    <row r="365" spans="1:15" x14ac:dyDescent="0.25">
      <c r="A365">
        <v>148</v>
      </c>
      <c r="B365">
        <v>3</v>
      </c>
      <c r="C365">
        <v>147</v>
      </c>
      <c r="D365">
        <v>4</v>
      </c>
      <c r="E365">
        <v>20</v>
      </c>
      <c r="F365">
        <v>11</v>
      </c>
      <c r="G365" t="s">
        <v>7705</v>
      </c>
      <c r="H365" t="s">
        <v>8996</v>
      </c>
      <c r="J365" t="s">
        <v>9026</v>
      </c>
      <c r="K365" s="5">
        <v>45078</v>
      </c>
      <c r="L365" s="5">
        <v>45351</v>
      </c>
      <c r="M365" s="5">
        <v>45351</v>
      </c>
      <c r="N365">
        <v>0</v>
      </c>
      <c r="O365" t="s">
        <v>10271</v>
      </c>
    </row>
    <row r="366" spans="1:15" x14ac:dyDescent="0.25">
      <c r="A366">
        <v>333</v>
      </c>
      <c r="B366">
        <v>4</v>
      </c>
      <c r="C366">
        <v>247</v>
      </c>
      <c r="D366">
        <v>4</v>
      </c>
      <c r="E366">
        <v>38</v>
      </c>
      <c r="F366">
        <v>49</v>
      </c>
      <c r="J366" t="s">
        <v>4340</v>
      </c>
      <c r="K366" s="5">
        <v>45078</v>
      </c>
      <c r="L366" s="5">
        <v>45107</v>
      </c>
      <c r="M366" s="5" t="s">
        <v>4312</v>
      </c>
      <c r="N366">
        <v>0</v>
      </c>
      <c r="O366" t="s">
        <v>10686</v>
      </c>
    </row>
    <row r="367" spans="1:15" x14ac:dyDescent="0.25">
      <c r="A367">
        <v>334</v>
      </c>
      <c r="B367">
        <v>2</v>
      </c>
      <c r="C367">
        <v>185</v>
      </c>
      <c r="D367">
        <v>1</v>
      </c>
      <c r="E367">
        <v>1</v>
      </c>
      <c r="F367">
        <v>1</v>
      </c>
      <c r="G367" t="s">
        <v>7706</v>
      </c>
      <c r="J367" t="s">
        <v>4340</v>
      </c>
      <c r="K367" s="5">
        <v>45078</v>
      </c>
      <c r="L367" s="5">
        <v>45219</v>
      </c>
      <c r="M367" s="5">
        <v>45260</v>
      </c>
      <c r="N367">
        <v>0</v>
      </c>
      <c r="O367" t="s">
        <v>10272</v>
      </c>
    </row>
    <row r="368" spans="1:15" x14ac:dyDescent="0.25">
      <c r="A368">
        <v>335</v>
      </c>
      <c r="B368">
        <v>4</v>
      </c>
      <c r="C368">
        <v>217</v>
      </c>
      <c r="D368">
        <v>1</v>
      </c>
      <c r="E368">
        <v>1</v>
      </c>
      <c r="F368">
        <v>1</v>
      </c>
      <c r="K368" s="5">
        <v>45078</v>
      </c>
      <c r="L368" s="5">
        <v>45107</v>
      </c>
      <c r="M368" s="5" t="s">
        <v>4312</v>
      </c>
      <c r="N368">
        <v>0</v>
      </c>
      <c r="O368" t="s">
        <v>10687</v>
      </c>
    </row>
    <row r="369" spans="1:15" x14ac:dyDescent="0.25">
      <c r="A369">
        <v>121</v>
      </c>
      <c r="B369">
        <v>4</v>
      </c>
      <c r="C369">
        <v>122</v>
      </c>
      <c r="D369">
        <v>4</v>
      </c>
      <c r="E369">
        <v>38</v>
      </c>
      <c r="F369">
        <v>49</v>
      </c>
      <c r="G369" t="s">
        <v>7707</v>
      </c>
      <c r="H369" t="s">
        <v>8996</v>
      </c>
      <c r="J369" t="s">
        <v>9020</v>
      </c>
      <c r="K369" s="5">
        <v>45082</v>
      </c>
      <c r="L369" s="5">
        <v>45592</v>
      </c>
      <c r="M369" s="5" t="s">
        <v>4312</v>
      </c>
      <c r="N369">
        <v>0</v>
      </c>
      <c r="O369" t="s">
        <v>10688</v>
      </c>
    </row>
    <row r="370" spans="1:15" x14ac:dyDescent="0.25">
      <c r="A370">
        <v>336</v>
      </c>
      <c r="B370">
        <v>3</v>
      </c>
      <c r="C370">
        <v>150</v>
      </c>
      <c r="D370">
        <v>2</v>
      </c>
      <c r="E370">
        <v>34</v>
      </c>
      <c r="F370">
        <v>35</v>
      </c>
      <c r="G370" t="s">
        <v>7708</v>
      </c>
      <c r="H370" t="s">
        <v>8996</v>
      </c>
      <c r="J370" t="s">
        <v>9026</v>
      </c>
      <c r="K370" s="5">
        <v>45085</v>
      </c>
      <c r="L370" s="5">
        <v>45337</v>
      </c>
      <c r="M370" s="5">
        <v>45351</v>
      </c>
      <c r="N370">
        <v>0</v>
      </c>
      <c r="O370" t="s">
        <v>10273</v>
      </c>
    </row>
    <row r="371" spans="1:15" x14ac:dyDescent="0.25">
      <c r="A371">
        <v>337</v>
      </c>
      <c r="B371">
        <v>3</v>
      </c>
      <c r="C371">
        <v>152</v>
      </c>
      <c r="D371">
        <v>2</v>
      </c>
      <c r="E371">
        <v>22</v>
      </c>
      <c r="F371">
        <v>24</v>
      </c>
      <c r="G371" t="s">
        <v>7709</v>
      </c>
      <c r="H371" t="s">
        <v>8996</v>
      </c>
      <c r="J371" t="s">
        <v>9026</v>
      </c>
      <c r="K371" s="5">
        <v>45085</v>
      </c>
      <c r="L371" s="5">
        <v>45321</v>
      </c>
      <c r="M371" s="5">
        <v>45351</v>
      </c>
      <c r="N371">
        <v>0</v>
      </c>
      <c r="O371" t="s">
        <v>10274</v>
      </c>
    </row>
    <row r="372" spans="1:15" x14ac:dyDescent="0.25">
      <c r="A372">
        <v>338</v>
      </c>
      <c r="B372">
        <v>2</v>
      </c>
      <c r="C372">
        <v>203</v>
      </c>
      <c r="D372">
        <v>3</v>
      </c>
      <c r="E372">
        <v>1</v>
      </c>
      <c r="F372">
        <v>1</v>
      </c>
      <c r="G372" t="s">
        <v>7710</v>
      </c>
      <c r="H372" t="s">
        <v>8996</v>
      </c>
      <c r="I372" t="s">
        <v>4349</v>
      </c>
      <c r="J372" t="s">
        <v>9020</v>
      </c>
      <c r="K372" s="5">
        <v>45910</v>
      </c>
      <c r="L372" s="5" t="s">
        <v>4312</v>
      </c>
      <c r="M372" s="5">
        <v>46022</v>
      </c>
      <c r="N372">
        <v>1</v>
      </c>
      <c r="O372" t="s">
        <v>10689</v>
      </c>
    </row>
    <row r="373" spans="1:15" x14ac:dyDescent="0.25">
      <c r="A373">
        <v>339</v>
      </c>
      <c r="B373">
        <v>3</v>
      </c>
      <c r="C373">
        <v>154</v>
      </c>
      <c r="D373">
        <v>1</v>
      </c>
      <c r="E373">
        <v>34</v>
      </c>
      <c r="F373">
        <v>38</v>
      </c>
      <c r="G373" t="s">
        <v>7711</v>
      </c>
      <c r="H373" t="s">
        <v>8996</v>
      </c>
      <c r="I373" t="s">
        <v>4349</v>
      </c>
      <c r="J373" t="s">
        <v>9026</v>
      </c>
      <c r="K373" s="5">
        <v>45089</v>
      </c>
      <c r="L373" s="5">
        <v>45930</v>
      </c>
      <c r="M373" s="5">
        <v>45991</v>
      </c>
      <c r="N373">
        <v>0</v>
      </c>
      <c r="O373" t="s">
        <v>10275</v>
      </c>
    </row>
    <row r="374" spans="1:15" x14ac:dyDescent="0.25">
      <c r="A374">
        <v>340</v>
      </c>
      <c r="B374">
        <v>3</v>
      </c>
      <c r="C374">
        <v>164</v>
      </c>
      <c r="D374">
        <v>2</v>
      </c>
      <c r="E374">
        <v>23</v>
      </c>
      <c r="F374">
        <v>24</v>
      </c>
      <c r="G374" t="s">
        <v>7712</v>
      </c>
      <c r="H374" t="s">
        <v>8996</v>
      </c>
      <c r="I374" t="s">
        <v>4349</v>
      </c>
      <c r="J374" t="s">
        <v>9027</v>
      </c>
      <c r="K374" s="5">
        <v>45090</v>
      </c>
      <c r="L374" s="5" t="s">
        <v>4312</v>
      </c>
      <c r="M374" s="5">
        <v>46022</v>
      </c>
      <c r="N374">
        <v>1</v>
      </c>
      <c r="O374" t="s">
        <v>10690</v>
      </c>
    </row>
    <row r="375" spans="1:15" x14ac:dyDescent="0.25">
      <c r="A375">
        <v>341</v>
      </c>
      <c r="B375">
        <v>3</v>
      </c>
      <c r="C375">
        <v>154</v>
      </c>
      <c r="D375">
        <v>2</v>
      </c>
      <c r="E375">
        <v>22</v>
      </c>
      <c r="F375">
        <v>24</v>
      </c>
      <c r="G375" t="s">
        <v>7713</v>
      </c>
      <c r="H375" t="s">
        <v>8996</v>
      </c>
      <c r="I375" t="s">
        <v>4349</v>
      </c>
      <c r="J375" t="s">
        <v>9026</v>
      </c>
      <c r="K375" s="5">
        <v>45090</v>
      </c>
      <c r="L375" s="5">
        <v>45747</v>
      </c>
      <c r="M375" s="5">
        <v>45747</v>
      </c>
      <c r="N375">
        <v>0</v>
      </c>
      <c r="O375" t="s">
        <v>10276</v>
      </c>
    </row>
    <row r="376" spans="1:15" x14ac:dyDescent="0.25">
      <c r="A376">
        <v>342</v>
      </c>
      <c r="B376">
        <v>4</v>
      </c>
      <c r="C376">
        <v>161</v>
      </c>
      <c r="D376">
        <v>1</v>
      </c>
      <c r="E376">
        <v>38</v>
      </c>
      <c r="F376">
        <v>49</v>
      </c>
      <c r="G376" t="s">
        <v>7714</v>
      </c>
      <c r="H376" t="s">
        <v>8996</v>
      </c>
      <c r="J376" t="s">
        <v>9020</v>
      </c>
      <c r="K376" s="5">
        <v>45096</v>
      </c>
      <c r="L376" s="5">
        <v>45477</v>
      </c>
      <c r="M376" s="5" t="s">
        <v>4312</v>
      </c>
      <c r="N376">
        <v>0</v>
      </c>
      <c r="O376" t="s">
        <v>10691</v>
      </c>
    </row>
    <row r="377" spans="1:15" x14ac:dyDescent="0.25">
      <c r="A377">
        <v>343</v>
      </c>
      <c r="B377">
        <v>3</v>
      </c>
      <c r="C377">
        <v>154</v>
      </c>
      <c r="D377">
        <v>1</v>
      </c>
      <c r="E377">
        <v>36</v>
      </c>
      <c r="F377">
        <v>21</v>
      </c>
      <c r="G377" t="s">
        <v>7715</v>
      </c>
      <c r="H377" t="s">
        <v>8996</v>
      </c>
      <c r="I377" t="s">
        <v>4349</v>
      </c>
      <c r="J377" t="s">
        <v>9026</v>
      </c>
      <c r="K377" s="5">
        <v>45098</v>
      </c>
      <c r="L377" s="5">
        <v>45792</v>
      </c>
      <c r="M377" s="5">
        <v>45838</v>
      </c>
      <c r="N377">
        <v>0</v>
      </c>
      <c r="O377" t="s">
        <v>10277</v>
      </c>
    </row>
    <row r="378" spans="1:15" x14ac:dyDescent="0.25">
      <c r="A378">
        <v>344</v>
      </c>
      <c r="B378">
        <v>4</v>
      </c>
      <c r="C378">
        <v>146</v>
      </c>
      <c r="D378">
        <v>4</v>
      </c>
      <c r="E378">
        <v>38</v>
      </c>
      <c r="F378">
        <v>49</v>
      </c>
      <c r="J378" t="s">
        <v>4340</v>
      </c>
      <c r="K378" s="5">
        <v>45098</v>
      </c>
      <c r="L378" s="5">
        <v>45139</v>
      </c>
      <c r="M378" s="5" t="s">
        <v>4312</v>
      </c>
      <c r="N378">
        <v>0</v>
      </c>
      <c r="O378" t="s">
        <v>10692</v>
      </c>
    </row>
    <row r="379" spans="1:15" x14ac:dyDescent="0.25">
      <c r="A379">
        <v>345</v>
      </c>
      <c r="B379">
        <v>3</v>
      </c>
      <c r="C379">
        <v>150</v>
      </c>
      <c r="D379">
        <v>1</v>
      </c>
      <c r="E379">
        <v>36</v>
      </c>
      <c r="F379">
        <v>21</v>
      </c>
      <c r="G379" t="s">
        <v>7716</v>
      </c>
      <c r="H379" t="s">
        <v>8996</v>
      </c>
      <c r="J379" t="s">
        <v>9026</v>
      </c>
      <c r="K379" s="5">
        <v>45099</v>
      </c>
      <c r="L379" s="5">
        <v>45448</v>
      </c>
      <c r="M379" s="5">
        <v>45473</v>
      </c>
      <c r="N379">
        <v>0</v>
      </c>
      <c r="O379" t="s">
        <v>10278</v>
      </c>
    </row>
    <row r="380" spans="1:15" x14ac:dyDescent="0.25">
      <c r="A380">
        <v>346</v>
      </c>
      <c r="B380">
        <v>2</v>
      </c>
      <c r="C380">
        <v>5</v>
      </c>
      <c r="D380">
        <v>2</v>
      </c>
      <c r="E380">
        <v>1</v>
      </c>
      <c r="F380">
        <v>1</v>
      </c>
      <c r="G380" t="s">
        <v>7717</v>
      </c>
      <c r="H380" t="s">
        <v>8995</v>
      </c>
      <c r="I380" t="s">
        <v>4349</v>
      </c>
      <c r="J380" t="s">
        <v>9020</v>
      </c>
      <c r="K380" s="5">
        <v>45103</v>
      </c>
      <c r="L380" s="5" t="s">
        <v>4312</v>
      </c>
      <c r="M380" s="5">
        <v>46022</v>
      </c>
      <c r="N380">
        <v>1</v>
      </c>
      <c r="O380" t="s">
        <v>10693</v>
      </c>
    </row>
    <row r="381" spans="1:15" x14ac:dyDescent="0.25">
      <c r="A381">
        <v>347</v>
      </c>
      <c r="B381">
        <v>2</v>
      </c>
      <c r="C381">
        <v>137</v>
      </c>
      <c r="D381">
        <v>1</v>
      </c>
      <c r="E381">
        <v>1</v>
      </c>
      <c r="F381">
        <v>1</v>
      </c>
      <c r="J381" t="s">
        <v>4340</v>
      </c>
      <c r="K381" s="5">
        <v>45103</v>
      </c>
      <c r="L381" s="5">
        <v>45159</v>
      </c>
      <c r="M381" s="5">
        <v>45291</v>
      </c>
      <c r="N381">
        <v>0</v>
      </c>
      <c r="O381" t="s">
        <v>10279</v>
      </c>
    </row>
    <row r="382" spans="1:15" x14ac:dyDescent="0.25">
      <c r="A382">
        <v>348</v>
      </c>
      <c r="B382">
        <v>4</v>
      </c>
      <c r="C382">
        <v>249</v>
      </c>
      <c r="D382">
        <v>1</v>
      </c>
      <c r="E382">
        <v>38</v>
      </c>
      <c r="F382">
        <v>49</v>
      </c>
      <c r="G382" t="s">
        <v>7718</v>
      </c>
      <c r="H382" t="s">
        <v>8996</v>
      </c>
      <c r="J382" t="s">
        <v>9020</v>
      </c>
      <c r="K382" s="5">
        <v>45103</v>
      </c>
      <c r="L382" s="5">
        <v>45440</v>
      </c>
      <c r="M382" s="5" t="s">
        <v>4312</v>
      </c>
      <c r="N382">
        <v>0</v>
      </c>
      <c r="O382" t="s">
        <v>10694</v>
      </c>
    </row>
    <row r="383" spans="1:15" x14ac:dyDescent="0.25">
      <c r="A383">
        <v>349</v>
      </c>
      <c r="B383">
        <v>4</v>
      </c>
      <c r="C383">
        <v>249</v>
      </c>
      <c r="D383">
        <v>1</v>
      </c>
      <c r="E383">
        <v>38</v>
      </c>
      <c r="F383">
        <v>49</v>
      </c>
      <c r="H383" t="s">
        <v>8996</v>
      </c>
      <c r="J383" t="s">
        <v>9020</v>
      </c>
      <c r="K383" s="5">
        <v>45103</v>
      </c>
      <c r="L383" s="5">
        <v>45272</v>
      </c>
      <c r="M383" s="5" t="s">
        <v>4312</v>
      </c>
      <c r="N383">
        <v>0</v>
      </c>
      <c r="O383" t="s">
        <v>10695</v>
      </c>
    </row>
    <row r="384" spans="1:15" x14ac:dyDescent="0.25">
      <c r="A384">
        <v>350</v>
      </c>
      <c r="B384">
        <v>2</v>
      </c>
      <c r="C384">
        <v>236</v>
      </c>
      <c r="D384">
        <v>2</v>
      </c>
      <c r="E384">
        <v>1</v>
      </c>
      <c r="F384">
        <v>1</v>
      </c>
      <c r="J384" t="s">
        <v>4340</v>
      </c>
      <c r="K384" s="5">
        <v>45103</v>
      </c>
      <c r="L384" s="5">
        <v>45103</v>
      </c>
      <c r="M384" s="5">
        <v>45291</v>
      </c>
      <c r="N384">
        <v>0</v>
      </c>
      <c r="O384" t="s">
        <v>10280</v>
      </c>
    </row>
    <row r="385" spans="1:15" x14ac:dyDescent="0.25">
      <c r="A385">
        <v>351</v>
      </c>
      <c r="B385">
        <v>3</v>
      </c>
      <c r="C385">
        <v>162</v>
      </c>
      <c r="D385">
        <v>1</v>
      </c>
      <c r="E385">
        <v>36</v>
      </c>
      <c r="F385">
        <v>21</v>
      </c>
      <c r="G385" t="s">
        <v>7719</v>
      </c>
      <c r="H385" t="s">
        <v>8996</v>
      </c>
      <c r="I385" t="s">
        <v>4349</v>
      </c>
      <c r="J385" t="s">
        <v>9026</v>
      </c>
      <c r="K385" s="5">
        <v>45104</v>
      </c>
      <c r="L385" s="5">
        <v>45838</v>
      </c>
      <c r="M385" s="5">
        <v>45838</v>
      </c>
      <c r="N385">
        <v>0</v>
      </c>
      <c r="O385" t="s">
        <v>10281</v>
      </c>
    </row>
    <row r="386" spans="1:15" x14ac:dyDescent="0.25">
      <c r="A386">
        <v>352</v>
      </c>
      <c r="B386">
        <v>3</v>
      </c>
      <c r="C386">
        <v>152</v>
      </c>
      <c r="D386">
        <v>1</v>
      </c>
      <c r="E386">
        <v>36</v>
      </c>
      <c r="F386">
        <v>21</v>
      </c>
      <c r="J386" t="s">
        <v>4340</v>
      </c>
      <c r="K386" s="5">
        <v>45108</v>
      </c>
      <c r="L386" s="5">
        <v>45140</v>
      </c>
      <c r="M386" s="5">
        <v>45199</v>
      </c>
      <c r="N386">
        <v>0</v>
      </c>
      <c r="O386" t="s">
        <v>10282</v>
      </c>
    </row>
    <row r="387" spans="1:15" x14ac:dyDescent="0.25">
      <c r="A387">
        <v>313</v>
      </c>
      <c r="B387">
        <v>2</v>
      </c>
      <c r="C387">
        <v>224</v>
      </c>
      <c r="D387">
        <v>1</v>
      </c>
      <c r="E387">
        <v>1</v>
      </c>
      <c r="F387">
        <v>1</v>
      </c>
      <c r="G387" t="s">
        <v>7720</v>
      </c>
      <c r="H387" t="s">
        <v>8996</v>
      </c>
      <c r="J387" t="s">
        <v>9020</v>
      </c>
      <c r="K387" s="5">
        <v>45108</v>
      </c>
      <c r="L387" s="5">
        <v>45504</v>
      </c>
      <c r="M387" s="5">
        <v>45504</v>
      </c>
      <c r="N387">
        <v>0</v>
      </c>
      <c r="O387" t="s">
        <v>10283</v>
      </c>
    </row>
    <row r="388" spans="1:15" x14ac:dyDescent="0.25">
      <c r="A388">
        <v>133</v>
      </c>
      <c r="B388">
        <v>3</v>
      </c>
      <c r="C388">
        <v>162</v>
      </c>
      <c r="D388">
        <v>4</v>
      </c>
      <c r="E388">
        <v>20</v>
      </c>
      <c r="F388">
        <v>11</v>
      </c>
      <c r="G388" t="s">
        <v>7721</v>
      </c>
      <c r="H388" t="s">
        <v>8996</v>
      </c>
      <c r="J388" t="s">
        <v>9026</v>
      </c>
      <c r="K388" s="5">
        <v>45108</v>
      </c>
      <c r="L388" s="5">
        <v>45565</v>
      </c>
      <c r="M388" s="5">
        <v>45657</v>
      </c>
      <c r="N388">
        <v>0</v>
      </c>
      <c r="O388" t="s">
        <v>10284</v>
      </c>
    </row>
    <row r="389" spans="1:15" x14ac:dyDescent="0.25">
      <c r="A389">
        <v>353</v>
      </c>
      <c r="B389">
        <v>3</v>
      </c>
      <c r="C389">
        <v>157</v>
      </c>
      <c r="D389">
        <v>4</v>
      </c>
      <c r="E389">
        <v>34</v>
      </c>
      <c r="F389">
        <v>35</v>
      </c>
      <c r="G389" t="s">
        <v>7722</v>
      </c>
      <c r="H389" t="s">
        <v>8996</v>
      </c>
      <c r="I389" t="s">
        <v>4349</v>
      </c>
      <c r="J389" t="s">
        <v>9023</v>
      </c>
      <c r="K389" s="5">
        <v>45108</v>
      </c>
      <c r="L389" s="5" t="s">
        <v>4312</v>
      </c>
      <c r="M389" s="5">
        <v>46112</v>
      </c>
      <c r="N389">
        <v>1</v>
      </c>
      <c r="O389" t="s">
        <v>10696</v>
      </c>
    </row>
    <row r="390" spans="1:15" x14ac:dyDescent="0.25">
      <c r="A390">
        <v>354</v>
      </c>
      <c r="B390">
        <v>3</v>
      </c>
      <c r="C390">
        <v>154</v>
      </c>
      <c r="D390">
        <v>1</v>
      </c>
      <c r="E390">
        <v>2</v>
      </c>
      <c r="F390">
        <v>2</v>
      </c>
      <c r="G390" t="s">
        <v>7723</v>
      </c>
      <c r="H390" t="s">
        <v>8996</v>
      </c>
      <c r="I390" t="s">
        <v>4349</v>
      </c>
      <c r="J390" t="s">
        <v>9026</v>
      </c>
      <c r="K390" s="5">
        <v>45114</v>
      </c>
      <c r="L390" s="5">
        <v>45777</v>
      </c>
      <c r="M390" s="5">
        <v>45838</v>
      </c>
      <c r="N390">
        <v>0</v>
      </c>
      <c r="O390" t="s">
        <v>10285</v>
      </c>
    </row>
    <row r="391" spans="1:15" x14ac:dyDescent="0.25">
      <c r="A391">
        <v>355</v>
      </c>
      <c r="B391">
        <v>3</v>
      </c>
      <c r="C391">
        <v>150</v>
      </c>
      <c r="D391">
        <v>1</v>
      </c>
      <c r="E391">
        <v>11</v>
      </c>
      <c r="F391">
        <v>15</v>
      </c>
      <c r="J391" t="s">
        <v>4340</v>
      </c>
      <c r="K391" s="5">
        <v>45117</v>
      </c>
      <c r="L391" s="5">
        <v>45125</v>
      </c>
      <c r="M391" s="5">
        <v>45209</v>
      </c>
      <c r="N391">
        <v>0</v>
      </c>
      <c r="O391" t="s">
        <v>10286</v>
      </c>
    </row>
    <row r="392" spans="1:15" x14ac:dyDescent="0.25">
      <c r="A392">
        <v>251</v>
      </c>
      <c r="B392">
        <v>2</v>
      </c>
      <c r="C392">
        <v>109</v>
      </c>
      <c r="D392">
        <v>1</v>
      </c>
      <c r="E392">
        <v>1</v>
      </c>
      <c r="F392">
        <v>1</v>
      </c>
      <c r="G392" t="s">
        <v>7724</v>
      </c>
      <c r="H392" t="s">
        <v>8996</v>
      </c>
      <c r="J392" t="s">
        <v>9020</v>
      </c>
      <c r="K392" s="5">
        <v>45119</v>
      </c>
      <c r="L392" s="5">
        <v>45313</v>
      </c>
      <c r="M392" s="5">
        <v>45322</v>
      </c>
      <c r="N392">
        <v>0</v>
      </c>
      <c r="O392" t="s">
        <v>10287</v>
      </c>
    </row>
    <row r="393" spans="1:15" x14ac:dyDescent="0.25">
      <c r="A393">
        <v>356</v>
      </c>
      <c r="B393">
        <v>3</v>
      </c>
      <c r="C393">
        <v>132</v>
      </c>
      <c r="D393">
        <v>1</v>
      </c>
      <c r="E393">
        <v>36</v>
      </c>
      <c r="F393">
        <v>21</v>
      </c>
      <c r="G393" t="s">
        <v>7725</v>
      </c>
      <c r="H393" t="s">
        <v>8996</v>
      </c>
      <c r="J393" t="s">
        <v>9026</v>
      </c>
      <c r="K393" s="5">
        <v>45124</v>
      </c>
      <c r="L393" s="5">
        <v>45245</v>
      </c>
      <c r="M393" s="5">
        <v>45322</v>
      </c>
      <c r="N393">
        <v>0</v>
      </c>
      <c r="O393" t="s">
        <v>10288</v>
      </c>
    </row>
    <row r="394" spans="1:15" x14ac:dyDescent="0.25">
      <c r="A394">
        <v>104</v>
      </c>
      <c r="B394">
        <v>3</v>
      </c>
      <c r="C394">
        <v>150</v>
      </c>
      <c r="D394">
        <v>2</v>
      </c>
      <c r="E394">
        <v>4</v>
      </c>
      <c r="F394">
        <v>7</v>
      </c>
      <c r="G394" t="s">
        <v>7726</v>
      </c>
      <c r="H394" t="s">
        <v>8996</v>
      </c>
      <c r="J394" t="s">
        <v>9026</v>
      </c>
      <c r="K394" s="5">
        <v>45125</v>
      </c>
      <c r="L394" s="5">
        <v>45243</v>
      </c>
      <c r="M394" s="5">
        <v>45322</v>
      </c>
      <c r="N394">
        <v>0</v>
      </c>
      <c r="O394" t="s">
        <v>10289</v>
      </c>
    </row>
    <row r="395" spans="1:15" x14ac:dyDescent="0.25">
      <c r="A395">
        <v>358</v>
      </c>
      <c r="B395">
        <v>3</v>
      </c>
      <c r="C395">
        <v>162</v>
      </c>
      <c r="D395">
        <v>1</v>
      </c>
      <c r="E395">
        <v>36</v>
      </c>
      <c r="F395">
        <v>21</v>
      </c>
      <c r="G395" t="s">
        <v>7727</v>
      </c>
      <c r="H395" t="s">
        <v>8996</v>
      </c>
      <c r="J395" t="s">
        <v>9026</v>
      </c>
      <c r="K395" s="5">
        <v>45126</v>
      </c>
      <c r="L395" s="5">
        <v>45575</v>
      </c>
      <c r="M395" s="5">
        <v>45596</v>
      </c>
      <c r="N395">
        <v>0</v>
      </c>
      <c r="O395" t="s">
        <v>10290</v>
      </c>
    </row>
    <row r="396" spans="1:15" x14ac:dyDescent="0.25">
      <c r="A396">
        <v>359</v>
      </c>
      <c r="B396">
        <v>2</v>
      </c>
      <c r="C396">
        <v>106</v>
      </c>
      <c r="D396">
        <v>4</v>
      </c>
      <c r="E396">
        <v>1</v>
      </c>
      <c r="F396">
        <v>1</v>
      </c>
      <c r="J396" t="s">
        <v>4340</v>
      </c>
      <c r="K396" s="5">
        <v>45128</v>
      </c>
      <c r="L396" s="5">
        <v>45140</v>
      </c>
      <c r="M396" s="5">
        <v>45322</v>
      </c>
      <c r="N396">
        <v>0</v>
      </c>
      <c r="O396" t="s">
        <v>10291</v>
      </c>
    </row>
    <row r="397" spans="1:15" x14ac:dyDescent="0.25">
      <c r="A397">
        <v>360</v>
      </c>
      <c r="B397">
        <v>3</v>
      </c>
      <c r="C397">
        <v>150</v>
      </c>
      <c r="D397">
        <v>1</v>
      </c>
      <c r="E397">
        <v>4</v>
      </c>
      <c r="F397">
        <v>5</v>
      </c>
      <c r="G397" t="s">
        <v>7728</v>
      </c>
      <c r="H397" t="s">
        <v>8996</v>
      </c>
      <c r="J397" t="s">
        <v>9026</v>
      </c>
      <c r="K397" s="5">
        <v>45128</v>
      </c>
      <c r="L397" s="5">
        <v>45412</v>
      </c>
      <c r="M397" s="5">
        <v>45412</v>
      </c>
      <c r="N397">
        <v>0</v>
      </c>
      <c r="O397" t="s">
        <v>10292</v>
      </c>
    </row>
    <row r="398" spans="1:15" x14ac:dyDescent="0.25">
      <c r="A398">
        <v>361</v>
      </c>
      <c r="B398">
        <v>2</v>
      </c>
      <c r="C398">
        <v>5</v>
      </c>
      <c r="D398">
        <v>4</v>
      </c>
      <c r="E398">
        <v>1</v>
      </c>
      <c r="F398">
        <v>1</v>
      </c>
      <c r="G398" t="s">
        <v>7729</v>
      </c>
      <c r="H398" t="s">
        <v>8996</v>
      </c>
      <c r="J398" t="s">
        <v>9020</v>
      </c>
      <c r="K398" s="5">
        <v>45131</v>
      </c>
      <c r="L398" s="5">
        <v>45629</v>
      </c>
      <c r="M398" s="5">
        <v>45777</v>
      </c>
      <c r="N398">
        <v>0</v>
      </c>
      <c r="O398" t="s">
        <v>10293</v>
      </c>
    </row>
    <row r="399" spans="1:15" x14ac:dyDescent="0.25">
      <c r="A399">
        <v>362</v>
      </c>
      <c r="B399">
        <v>3</v>
      </c>
      <c r="C399">
        <v>150</v>
      </c>
      <c r="D399">
        <v>1</v>
      </c>
      <c r="E399">
        <v>28</v>
      </c>
      <c r="F399">
        <v>30</v>
      </c>
      <c r="J399" t="s">
        <v>4340</v>
      </c>
      <c r="K399" s="5">
        <v>45131</v>
      </c>
      <c r="L399" s="5">
        <v>45139</v>
      </c>
      <c r="M399" s="5">
        <v>45230</v>
      </c>
      <c r="N399">
        <v>0</v>
      </c>
      <c r="O399" t="s">
        <v>10294</v>
      </c>
    </row>
    <row r="400" spans="1:15" x14ac:dyDescent="0.25">
      <c r="A400">
        <v>363</v>
      </c>
      <c r="B400">
        <v>5</v>
      </c>
      <c r="C400">
        <v>93</v>
      </c>
      <c r="D400">
        <v>1</v>
      </c>
      <c r="E400">
        <v>1</v>
      </c>
      <c r="F400">
        <v>1</v>
      </c>
      <c r="G400" t="s">
        <v>7730</v>
      </c>
      <c r="H400" t="s">
        <v>8996</v>
      </c>
      <c r="J400" t="s">
        <v>9020</v>
      </c>
      <c r="K400" s="5">
        <v>45133</v>
      </c>
      <c r="L400" s="5">
        <v>45504</v>
      </c>
      <c r="M400" s="5">
        <v>45504</v>
      </c>
      <c r="N400">
        <v>0</v>
      </c>
      <c r="O400" t="s">
        <v>10295</v>
      </c>
    </row>
    <row r="401" spans="1:15" x14ac:dyDescent="0.25">
      <c r="A401">
        <v>364</v>
      </c>
      <c r="B401">
        <v>2</v>
      </c>
      <c r="C401">
        <v>191</v>
      </c>
      <c r="D401">
        <v>2</v>
      </c>
      <c r="E401">
        <v>1</v>
      </c>
      <c r="F401">
        <v>1</v>
      </c>
      <c r="G401" t="s">
        <v>7731</v>
      </c>
      <c r="H401" t="s">
        <v>8996</v>
      </c>
      <c r="I401" t="s">
        <v>4349</v>
      </c>
      <c r="J401" t="s">
        <v>9022</v>
      </c>
      <c r="K401" s="5">
        <v>45139</v>
      </c>
      <c r="L401" s="5">
        <v>45930</v>
      </c>
      <c r="M401" s="5">
        <v>46022</v>
      </c>
      <c r="N401">
        <v>0</v>
      </c>
      <c r="O401" t="s">
        <v>10296</v>
      </c>
    </row>
    <row r="402" spans="1:15" x14ac:dyDescent="0.25">
      <c r="A402">
        <v>365</v>
      </c>
      <c r="B402">
        <v>4</v>
      </c>
      <c r="C402">
        <v>146</v>
      </c>
      <c r="D402">
        <v>2</v>
      </c>
      <c r="E402">
        <v>38</v>
      </c>
      <c r="F402">
        <v>49</v>
      </c>
      <c r="G402" t="s">
        <v>7732</v>
      </c>
      <c r="H402" t="s">
        <v>8996</v>
      </c>
      <c r="I402" t="s">
        <v>4349</v>
      </c>
      <c r="J402" t="s">
        <v>9020</v>
      </c>
      <c r="K402" s="5">
        <v>45139</v>
      </c>
      <c r="L402" s="5">
        <v>45422</v>
      </c>
      <c r="M402" s="5" t="s">
        <v>4312</v>
      </c>
      <c r="N402">
        <v>0</v>
      </c>
      <c r="O402" t="s">
        <v>10697</v>
      </c>
    </row>
    <row r="403" spans="1:15" x14ac:dyDescent="0.25">
      <c r="A403">
        <v>366</v>
      </c>
      <c r="B403">
        <v>9</v>
      </c>
      <c r="C403">
        <v>150</v>
      </c>
      <c r="D403">
        <v>3</v>
      </c>
      <c r="E403">
        <v>37</v>
      </c>
      <c r="F403">
        <v>48</v>
      </c>
      <c r="H403" t="s">
        <v>8996</v>
      </c>
      <c r="J403" t="s">
        <v>9026</v>
      </c>
      <c r="K403" s="5">
        <v>45140</v>
      </c>
      <c r="L403" s="5">
        <v>45260</v>
      </c>
      <c r="M403" s="5" t="s">
        <v>4312</v>
      </c>
      <c r="N403">
        <v>0</v>
      </c>
      <c r="O403" t="s">
        <v>10698</v>
      </c>
    </row>
    <row r="404" spans="1:15" x14ac:dyDescent="0.25">
      <c r="A404">
        <v>367</v>
      </c>
      <c r="B404">
        <v>3</v>
      </c>
      <c r="C404">
        <v>154</v>
      </c>
      <c r="D404">
        <v>1</v>
      </c>
      <c r="E404">
        <v>34</v>
      </c>
      <c r="F404">
        <v>41</v>
      </c>
      <c r="G404" t="s">
        <v>7733</v>
      </c>
      <c r="H404" t="s">
        <v>8996</v>
      </c>
      <c r="I404" t="s">
        <v>4349</v>
      </c>
      <c r="J404" t="s">
        <v>9026</v>
      </c>
      <c r="K404" s="5">
        <v>45141</v>
      </c>
      <c r="L404" s="5">
        <v>45843</v>
      </c>
      <c r="M404" s="5">
        <v>45869</v>
      </c>
      <c r="N404">
        <v>0</v>
      </c>
      <c r="O404" t="s">
        <v>10297</v>
      </c>
    </row>
    <row r="405" spans="1:15" x14ac:dyDescent="0.25">
      <c r="A405">
        <v>368</v>
      </c>
      <c r="B405">
        <v>5</v>
      </c>
      <c r="C405">
        <v>88</v>
      </c>
      <c r="D405">
        <v>1</v>
      </c>
      <c r="E405">
        <v>1</v>
      </c>
      <c r="F405">
        <v>1</v>
      </c>
      <c r="G405" t="s">
        <v>7734</v>
      </c>
      <c r="H405" t="s">
        <v>8996</v>
      </c>
      <c r="J405" t="s">
        <v>9020</v>
      </c>
      <c r="K405" s="5">
        <v>45145</v>
      </c>
      <c r="L405" s="5">
        <v>45322</v>
      </c>
      <c r="M405" s="5">
        <v>45322</v>
      </c>
      <c r="N405">
        <v>0</v>
      </c>
      <c r="O405" t="s">
        <v>10298</v>
      </c>
    </row>
    <row r="406" spans="1:15" x14ac:dyDescent="0.25">
      <c r="A406">
        <v>369</v>
      </c>
      <c r="B406">
        <v>3</v>
      </c>
      <c r="C406">
        <v>157</v>
      </c>
      <c r="D406">
        <v>1</v>
      </c>
      <c r="E406">
        <v>24</v>
      </c>
      <c r="F406">
        <v>25</v>
      </c>
      <c r="G406" t="s">
        <v>7735</v>
      </c>
      <c r="H406" t="s">
        <v>8996</v>
      </c>
      <c r="I406" t="s">
        <v>4349</v>
      </c>
      <c r="J406" t="s">
        <v>9024</v>
      </c>
      <c r="K406" s="5">
        <v>45147</v>
      </c>
      <c r="L406" s="5" t="s">
        <v>4312</v>
      </c>
      <c r="M406" s="5">
        <v>46053</v>
      </c>
      <c r="N406">
        <v>1</v>
      </c>
      <c r="O406" t="s">
        <v>10699</v>
      </c>
    </row>
    <row r="407" spans="1:15" x14ac:dyDescent="0.25">
      <c r="A407">
        <v>370</v>
      </c>
      <c r="B407">
        <v>2</v>
      </c>
      <c r="C407">
        <v>243</v>
      </c>
      <c r="D407">
        <v>1</v>
      </c>
      <c r="E407">
        <v>1</v>
      </c>
      <c r="F407">
        <v>1</v>
      </c>
      <c r="G407" t="s">
        <v>7736</v>
      </c>
      <c r="H407" t="s">
        <v>8996</v>
      </c>
      <c r="I407" t="s">
        <v>4348</v>
      </c>
      <c r="J407" t="s">
        <v>9020</v>
      </c>
      <c r="K407" s="5">
        <v>45152</v>
      </c>
      <c r="L407" s="5">
        <v>45947</v>
      </c>
      <c r="M407" s="5">
        <v>45991</v>
      </c>
      <c r="N407">
        <v>0</v>
      </c>
      <c r="O407" t="s">
        <v>10299</v>
      </c>
    </row>
    <row r="408" spans="1:15" x14ac:dyDescent="0.25">
      <c r="A408">
        <v>371</v>
      </c>
      <c r="B408">
        <v>2</v>
      </c>
      <c r="C408">
        <v>107</v>
      </c>
      <c r="D408">
        <v>2</v>
      </c>
      <c r="E408">
        <v>1</v>
      </c>
      <c r="F408">
        <v>1</v>
      </c>
      <c r="G408" t="s">
        <v>7737</v>
      </c>
      <c r="H408" t="s">
        <v>8996</v>
      </c>
      <c r="I408" t="s">
        <v>4349</v>
      </c>
      <c r="J408" t="s">
        <v>9022</v>
      </c>
      <c r="K408" s="5">
        <v>45152</v>
      </c>
      <c r="L408" s="5">
        <v>45535</v>
      </c>
      <c r="M408" s="5">
        <v>45535</v>
      </c>
      <c r="N408">
        <v>0</v>
      </c>
      <c r="O408" t="s">
        <v>10300</v>
      </c>
    </row>
    <row r="409" spans="1:15" x14ac:dyDescent="0.25">
      <c r="A409">
        <v>372</v>
      </c>
      <c r="B409">
        <v>2</v>
      </c>
      <c r="C409">
        <v>151</v>
      </c>
      <c r="D409">
        <v>1</v>
      </c>
      <c r="E409">
        <v>1</v>
      </c>
      <c r="F409">
        <v>1</v>
      </c>
      <c r="J409" t="s">
        <v>4340</v>
      </c>
      <c r="K409" s="5">
        <v>45154</v>
      </c>
      <c r="L409" s="5">
        <v>45159</v>
      </c>
      <c r="M409" s="5">
        <v>45351</v>
      </c>
      <c r="N409">
        <v>0</v>
      </c>
      <c r="O409" t="s">
        <v>10301</v>
      </c>
    </row>
    <row r="410" spans="1:15" x14ac:dyDescent="0.25">
      <c r="A410">
        <v>373</v>
      </c>
      <c r="B410">
        <v>3</v>
      </c>
      <c r="C410">
        <v>150</v>
      </c>
      <c r="D410">
        <v>1</v>
      </c>
      <c r="E410">
        <v>28</v>
      </c>
      <c r="F410">
        <v>30</v>
      </c>
      <c r="J410" t="s">
        <v>4340</v>
      </c>
      <c r="K410" s="5">
        <v>45155</v>
      </c>
      <c r="L410" s="5">
        <v>45182</v>
      </c>
      <c r="M410" s="5">
        <v>45260</v>
      </c>
      <c r="N410">
        <v>0</v>
      </c>
      <c r="O410" t="s">
        <v>10302</v>
      </c>
    </row>
    <row r="411" spans="1:15" x14ac:dyDescent="0.25">
      <c r="A411">
        <v>199</v>
      </c>
      <c r="B411">
        <v>9</v>
      </c>
      <c r="C411">
        <v>150</v>
      </c>
      <c r="D411">
        <v>3</v>
      </c>
      <c r="E411">
        <v>37</v>
      </c>
      <c r="F411">
        <v>48</v>
      </c>
      <c r="H411" t="s">
        <v>8996</v>
      </c>
      <c r="J411" t="s">
        <v>9026</v>
      </c>
      <c r="K411" s="5">
        <v>45156</v>
      </c>
      <c r="L411" s="5">
        <v>45260</v>
      </c>
      <c r="M411" s="5" t="s">
        <v>4312</v>
      </c>
      <c r="N411">
        <v>0</v>
      </c>
      <c r="O411" t="s">
        <v>10700</v>
      </c>
    </row>
    <row r="412" spans="1:15" x14ac:dyDescent="0.25">
      <c r="A412">
        <v>374</v>
      </c>
      <c r="B412">
        <v>6</v>
      </c>
      <c r="C412">
        <v>101</v>
      </c>
      <c r="D412">
        <v>1</v>
      </c>
      <c r="E412">
        <v>1</v>
      </c>
      <c r="F412">
        <v>1</v>
      </c>
      <c r="G412" t="s">
        <v>9002</v>
      </c>
      <c r="H412" t="s">
        <v>8996</v>
      </c>
      <c r="J412" t="s">
        <v>9028</v>
      </c>
      <c r="K412" s="5">
        <v>45159</v>
      </c>
      <c r="L412" s="5">
        <v>45351</v>
      </c>
      <c r="M412" s="5">
        <v>45351</v>
      </c>
      <c r="N412">
        <v>0</v>
      </c>
      <c r="O412" t="s">
        <v>10303</v>
      </c>
    </row>
    <row r="413" spans="1:15" x14ac:dyDescent="0.25">
      <c r="A413">
        <v>375</v>
      </c>
      <c r="B413">
        <v>2</v>
      </c>
      <c r="C413">
        <v>31</v>
      </c>
      <c r="D413">
        <v>1</v>
      </c>
      <c r="E413">
        <v>1</v>
      </c>
      <c r="F413">
        <v>1</v>
      </c>
      <c r="G413" t="s">
        <v>7738</v>
      </c>
      <c r="H413" t="s">
        <v>8995</v>
      </c>
      <c r="I413" t="s">
        <v>4348</v>
      </c>
      <c r="J413" t="s">
        <v>9020</v>
      </c>
      <c r="K413" s="5">
        <v>45166</v>
      </c>
      <c r="L413" s="5" t="s">
        <v>4312</v>
      </c>
      <c r="M413" s="5">
        <v>46081</v>
      </c>
      <c r="N413">
        <v>1</v>
      </c>
      <c r="O413" t="s">
        <v>10701</v>
      </c>
    </row>
    <row r="414" spans="1:15" x14ac:dyDescent="0.25">
      <c r="A414">
        <v>376</v>
      </c>
      <c r="B414">
        <v>2</v>
      </c>
      <c r="C414">
        <v>112</v>
      </c>
      <c r="D414">
        <v>1</v>
      </c>
      <c r="E414">
        <v>1</v>
      </c>
      <c r="F414">
        <v>1</v>
      </c>
      <c r="G414" t="s">
        <v>7739</v>
      </c>
      <c r="H414" t="s">
        <v>8996</v>
      </c>
      <c r="I414" t="s">
        <v>4348</v>
      </c>
      <c r="J414" t="s">
        <v>9020</v>
      </c>
      <c r="K414" s="5">
        <v>45166</v>
      </c>
      <c r="L414" s="5">
        <v>45753</v>
      </c>
      <c r="M414" s="5">
        <v>46081</v>
      </c>
      <c r="N414">
        <v>0</v>
      </c>
      <c r="O414" t="s">
        <v>10304</v>
      </c>
    </row>
    <row r="415" spans="1:15" x14ac:dyDescent="0.25">
      <c r="A415">
        <v>377</v>
      </c>
      <c r="B415">
        <v>2</v>
      </c>
      <c r="C415">
        <v>241</v>
      </c>
      <c r="D415">
        <v>1</v>
      </c>
      <c r="E415">
        <v>1</v>
      </c>
      <c r="F415">
        <v>1</v>
      </c>
      <c r="G415" t="s">
        <v>7740</v>
      </c>
      <c r="H415" t="s">
        <v>8996</v>
      </c>
      <c r="J415" t="s">
        <v>9020</v>
      </c>
      <c r="K415" s="5">
        <v>45166</v>
      </c>
      <c r="L415" s="5">
        <v>45508</v>
      </c>
      <c r="M415" s="5">
        <v>45535</v>
      </c>
      <c r="N415">
        <v>0</v>
      </c>
      <c r="O415" t="s">
        <v>10305</v>
      </c>
    </row>
    <row r="416" spans="1:15" x14ac:dyDescent="0.25">
      <c r="A416">
        <v>138</v>
      </c>
      <c r="B416">
        <v>2</v>
      </c>
      <c r="C416">
        <v>62</v>
      </c>
      <c r="D416">
        <v>1</v>
      </c>
      <c r="E416">
        <v>38</v>
      </c>
      <c r="F416">
        <v>49</v>
      </c>
      <c r="G416" t="s">
        <v>7741</v>
      </c>
      <c r="H416" t="s">
        <v>8996</v>
      </c>
      <c r="I416" t="s">
        <v>4349</v>
      </c>
      <c r="J416" t="s">
        <v>9020</v>
      </c>
      <c r="K416" s="5">
        <v>45170</v>
      </c>
      <c r="L416" s="5" t="s">
        <v>4312</v>
      </c>
      <c r="M416" s="5">
        <v>46081</v>
      </c>
      <c r="N416">
        <v>1</v>
      </c>
      <c r="O416" t="s">
        <v>10702</v>
      </c>
    </row>
    <row r="417" spans="1:15" x14ac:dyDescent="0.25">
      <c r="A417">
        <v>83</v>
      </c>
      <c r="B417">
        <v>2</v>
      </c>
      <c r="C417">
        <v>127</v>
      </c>
      <c r="D417">
        <v>1</v>
      </c>
      <c r="E417">
        <v>38</v>
      </c>
      <c r="F417">
        <v>49</v>
      </c>
      <c r="G417" t="s">
        <v>7742</v>
      </c>
      <c r="H417" t="s">
        <v>8996</v>
      </c>
      <c r="I417" t="s">
        <v>4349</v>
      </c>
      <c r="J417" t="s">
        <v>9020</v>
      </c>
      <c r="K417" s="5">
        <v>45170</v>
      </c>
      <c r="L417" s="5" t="s">
        <v>4312</v>
      </c>
      <c r="M417" s="5">
        <v>46081</v>
      </c>
      <c r="N417">
        <v>1</v>
      </c>
      <c r="O417" t="s">
        <v>10703</v>
      </c>
    </row>
    <row r="418" spans="1:15" x14ac:dyDescent="0.25">
      <c r="A418">
        <v>127</v>
      </c>
      <c r="B418">
        <v>2</v>
      </c>
      <c r="C418">
        <v>161</v>
      </c>
      <c r="D418">
        <v>1</v>
      </c>
      <c r="E418">
        <v>38</v>
      </c>
      <c r="F418">
        <v>49</v>
      </c>
      <c r="G418" t="s">
        <v>7743</v>
      </c>
      <c r="H418" t="s">
        <v>8996</v>
      </c>
      <c r="J418" t="s">
        <v>9020</v>
      </c>
      <c r="K418" s="5">
        <v>45170</v>
      </c>
      <c r="L418" s="5">
        <v>45565</v>
      </c>
      <c r="M418" s="5">
        <v>45716</v>
      </c>
      <c r="N418">
        <v>0</v>
      </c>
      <c r="O418" t="s">
        <v>10306</v>
      </c>
    </row>
    <row r="419" spans="1:15" x14ac:dyDescent="0.25">
      <c r="A419">
        <v>268</v>
      </c>
      <c r="B419">
        <v>2</v>
      </c>
      <c r="C419">
        <v>168</v>
      </c>
      <c r="D419">
        <v>1</v>
      </c>
      <c r="E419">
        <v>38</v>
      </c>
      <c r="F419">
        <v>49</v>
      </c>
      <c r="G419" t="s">
        <v>7744</v>
      </c>
      <c r="H419" t="s">
        <v>8996</v>
      </c>
      <c r="I419" t="s">
        <v>4349</v>
      </c>
      <c r="J419" t="s">
        <v>9020</v>
      </c>
      <c r="K419" s="5">
        <v>45170</v>
      </c>
      <c r="L419" s="5">
        <v>45869</v>
      </c>
      <c r="M419" s="5">
        <v>45869</v>
      </c>
      <c r="N419">
        <v>0</v>
      </c>
      <c r="O419" t="s">
        <v>10307</v>
      </c>
    </row>
    <row r="420" spans="1:15" x14ac:dyDescent="0.25">
      <c r="A420">
        <v>179</v>
      </c>
      <c r="B420">
        <v>2</v>
      </c>
      <c r="C420">
        <v>202</v>
      </c>
      <c r="D420">
        <v>4</v>
      </c>
      <c r="E420">
        <v>1</v>
      </c>
      <c r="F420">
        <v>1</v>
      </c>
      <c r="G420" t="s">
        <v>7745</v>
      </c>
      <c r="K420" s="5">
        <v>45170</v>
      </c>
      <c r="L420" s="5">
        <v>45210</v>
      </c>
      <c r="M420" s="5">
        <v>45260</v>
      </c>
      <c r="N420">
        <v>0</v>
      </c>
      <c r="O420" t="s">
        <v>10308</v>
      </c>
    </row>
    <row r="421" spans="1:15" x14ac:dyDescent="0.25">
      <c r="A421">
        <v>378</v>
      </c>
      <c r="B421">
        <v>3</v>
      </c>
      <c r="C421">
        <v>157</v>
      </c>
      <c r="D421">
        <v>2</v>
      </c>
      <c r="E421">
        <v>23</v>
      </c>
      <c r="F421">
        <v>24</v>
      </c>
      <c r="G421" t="s">
        <v>7746</v>
      </c>
      <c r="H421" t="s">
        <v>8996</v>
      </c>
      <c r="I421" t="s">
        <v>4349</v>
      </c>
      <c r="J421" t="s">
        <v>9027</v>
      </c>
      <c r="K421" s="5">
        <v>45170</v>
      </c>
      <c r="L421" s="5" t="s">
        <v>4312</v>
      </c>
      <c r="M421" s="5">
        <v>45991</v>
      </c>
      <c r="N421">
        <v>1</v>
      </c>
      <c r="O421" t="s">
        <v>10704</v>
      </c>
    </row>
    <row r="422" spans="1:15" x14ac:dyDescent="0.25">
      <c r="A422">
        <v>379</v>
      </c>
      <c r="B422">
        <v>2</v>
      </c>
      <c r="C422">
        <v>175</v>
      </c>
      <c r="D422">
        <v>1</v>
      </c>
      <c r="E422">
        <v>1</v>
      </c>
      <c r="F422">
        <v>1</v>
      </c>
      <c r="G422" t="s">
        <v>7747</v>
      </c>
      <c r="J422" t="s">
        <v>4340</v>
      </c>
      <c r="K422" s="5">
        <v>45173</v>
      </c>
      <c r="L422" s="5">
        <v>45212</v>
      </c>
      <c r="M422" s="5">
        <v>45382</v>
      </c>
      <c r="N422">
        <v>0</v>
      </c>
      <c r="O422" t="s">
        <v>10309</v>
      </c>
    </row>
    <row r="423" spans="1:15" x14ac:dyDescent="0.25">
      <c r="A423">
        <v>157</v>
      </c>
      <c r="B423">
        <v>2</v>
      </c>
      <c r="C423">
        <v>163</v>
      </c>
      <c r="D423">
        <v>3</v>
      </c>
      <c r="E423">
        <v>4</v>
      </c>
      <c r="F423">
        <v>4</v>
      </c>
      <c r="G423" t="s">
        <v>7748</v>
      </c>
      <c r="H423" t="s">
        <v>8996</v>
      </c>
      <c r="I423" t="s">
        <v>4349</v>
      </c>
      <c r="J423" t="s">
        <v>9023</v>
      </c>
      <c r="K423" s="5">
        <v>45180</v>
      </c>
      <c r="L423" s="5" t="s">
        <v>4312</v>
      </c>
      <c r="M423" s="5">
        <v>46022</v>
      </c>
      <c r="N423">
        <v>1</v>
      </c>
      <c r="O423" t="s">
        <v>10705</v>
      </c>
    </row>
    <row r="424" spans="1:15" x14ac:dyDescent="0.25">
      <c r="A424">
        <v>381</v>
      </c>
      <c r="B424">
        <v>3</v>
      </c>
      <c r="C424">
        <v>150</v>
      </c>
      <c r="D424">
        <v>1</v>
      </c>
      <c r="E424">
        <v>36</v>
      </c>
      <c r="F424">
        <v>21</v>
      </c>
      <c r="G424" t="s">
        <v>7749</v>
      </c>
      <c r="H424" t="s">
        <v>8996</v>
      </c>
      <c r="J424" t="s">
        <v>9026</v>
      </c>
      <c r="K424" s="5">
        <v>45180</v>
      </c>
      <c r="L424" s="5">
        <v>45286</v>
      </c>
      <c r="M424" s="5">
        <v>45291</v>
      </c>
      <c r="N424">
        <v>0</v>
      </c>
      <c r="O424" t="s">
        <v>10310</v>
      </c>
    </row>
    <row r="425" spans="1:15" x14ac:dyDescent="0.25">
      <c r="A425">
        <v>382</v>
      </c>
      <c r="B425">
        <v>3</v>
      </c>
      <c r="C425">
        <v>157</v>
      </c>
      <c r="D425">
        <v>1</v>
      </c>
      <c r="E425">
        <v>34</v>
      </c>
      <c r="F425">
        <v>42</v>
      </c>
      <c r="G425" t="s">
        <v>7750</v>
      </c>
      <c r="H425" t="s">
        <v>8996</v>
      </c>
      <c r="I425" t="s">
        <v>4349</v>
      </c>
      <c r="J425" t="s">
        <v>9029</v>
      </c>
      <c r="K425" s="5">
        <v>45180</v>
      </c>
      <c r="L425" s="5" t="s">
        <v>4312</v>
      </c>
      <c r="M425" s="5">
        <v>46022</v>
      </c>
      <c r="N425">
        <v>1</v>
      </c>
      <c r="O425" t="s">
        <v>10706</v>
      </c>
    </row>
    <row r="426" spans="1:15" x14ac:dyDescent="0.25">
      <c r="A426">
        <v>383</v>
      </c>
      <c r="B426">
        <v>4</v>
      </c>
      <c r="C426">
        <v>161</v>
      </c>
      <c r="D426">
        <v>4</v>
      </c>
      <c r="E426">
        <v>38</v>
      </c>
      <c r="F426">
        <v>49</v>
      </c>
      <c r="G426" t="s">
        <v>7751</v>
      </c>
      <c r="H426" t="s">
        <v>8996</v>
      </c>
      <c r="I426" t="s">
        <v>4349</v>
      </c>
      <c r="J426" t="s">
        <v>9020</v>
      </c>
      <c r="K426" s="5">
        <v>45182</v>
      </c>
      <c r="L426" s="5">
        <v>45838</v>
      </c>
      <c r="M426" s="5" t="s">
        <v>4312</v>
      </c>
      <c r="N426">
        <v>0</v>
      </c>
      <c r="O426" t="s">
        <v>10707</v>
      </c>
    </row>
    <row r="427" spans="1:15" x14ac:dyDescent="0.25">
      <c r="A427">
        <v>384</v>
      </c>
      <c r="B427">
        <v>2</v>
      </c>
      <c r="C427">
        <v>181</v>
      </c>
      <c r="D427">
        <v>1</v>
      </c>
      <c r="E427">
        <v>1</v>
      </c>
      <c r="F427">
        <v>1</v>
      </c>
      <c r="G427" t="s">
        <v>7752</v>
      </c>
      <c r="H427" t="s">
        <v>8996</v>
      </c>
      <c r="I427" t="s">
        <v>4349</v>
      </c>
      <c r="J427" t="s">
        <v>9020</v>
      </c>
      <c r="K427" s="5">
        <v>45189</v>
      </c>
      <c r="L427" s="5">
        <v>45849</v>
      </c>
      <c r="M427" s="5">
        <v>45930</v>
      </c>
      <c r="N427">
        <v>0</v>
      </c>
      <c r="O427" t="s">
        <v>10311</v>
      </c>
    </row>
    <row r="428" spans="1:15" x14ac:dyDescent="0.25">
      <c r="A428">
        <v>385</v>
      </c>
      <c r="B428">
        <v>3</v>
      </c>
      <c r="C428">
        <v>157</v>
      </c>
      <c r="D428">
        <v>2</v>
      </c>
      <c r="E428">
        <v>34</v>
      </c>
      <c r="F428">
        <v>39</v>
      </c>
      <c r="G428" t="s">
        <v>7753</v>
      </c>
      <c r="H428" t="s">
        <v>8996</v>
      </c>
      <c r="I428" t="s">
        <v>4349</v>
      </c>
      <c r="J428" t="s">
        <v>9025</v>
      </c>
      <c r="K428" s="5">
        <v>45190</v>
      </c>
      <c r="L428" s="5" t="s">
        <v>4312</v>
      </c>
      <c r="M428" s="5">
        <v>45991</v>
      </c>
      <c r="N428">
        <v>1</v>
      </c>
      <c r="O428" t="s">
        <v>10708</v>
      </c>
    </row>
    <row r="429" spans="1:15" x14ac:dyDescent="0.25">
      <c r="A429">
        <v>386</v>
      </c>
      <c r="B429">
        <v>4</v>
      </c>
      <c r="C429">
        <v>65</v>
      </c>
      <c r="D429">
        <v>4</v>
      </c>
      <c r="E429">
        <v>1</v>
      </c>
      <c r="F429">
        <v>1</v>
      </c>
      <c r="H429" t="s">
        <v>8996</v>
      </c>
      <c r="J429" t="s">
        <v>9020</v>
      </c>
      <c r="K429" s="5">
        <v>45194</v>
      </c>
      <c r="L429" s="5">
        <v>45438</v>
      </c>
      <c r="M429" s="5" t="s">
        <v>4312</v>
      </c>
      <c r="N429">
        <v>0</v>
      </c>
      <c r="O429" t="s">
        <v>10709</v>
      </c>
    </row>
    <row r="430" spans="1:15" x14ac:dyDescent="0.25">
      <c r="A430">
        <v>177</v>
      </c>
      <c r="B430">
        <v>2</v>
      </c>
      <c r="C430">
        <v>204</v>
      </c>
      <c r="D430">
        <v>1</v>
      </c>
      <c r="E430">
        <v>1</v>
      </c>
      <c r="F430">
        <v>1</v>
      </c>
      <c r="G430" t="s">
        <v>7754</v>
      </c>
      <c r="H430" t="s">
        <v>8996</v>
      </c>
      <c r="I430" t="s">
        <v>4349</v>
      </c>
      <c r="J430" t="s">
        <v>9020</v>
      </c>
      <c r="K430" s="5">
        <v>45200</v>
      </c>
      <c r="L430" s="5" t="s">
        <v>4312</v>
      </c>
      <c r="M430" s="5">
        <v>46112</v>
      </c>
      <c r="N430">
        <v>1</v>
      </c>
      <c r="O430" t="s">
        <v>10710</v>
      </c>
    </row>
    <row r="431" spans="1:15" x14ac:dyDescent="0.25">
      <c r="A431">
        <v>254</v>
      </c>
      <c r="B431">
        <v>2</v>
      </c>
      <c r="C431">
        <v>68</v>
      </c>
      <c r="D431">
        <v>1</v>
      </c>
      <c r="E431">
        <v>1</v>
      </c>
      <c r="F431">
        <v>1</v>
      </c>
      <c r="G431" t="s">
        <v>7755</v>
      </c>
      <c r="H431" t="s">
        <v>8996</v>
      </c>
      <c r="I431" t="s">
        <v>4349</v>
      </c>
      <c r="J431" t="s">
        <v>9020</v>
      </c>
      <c r="K431" s="5">
        <v>45200</v>
      </c>
      <c r="L431" s="5" t="s">
        <v>4312</v>
      </c>
      <c r="M431" s="5">
        <v>46022</v>
      </c>
      <c r="N431">
        <v>1</v>
      </c>
      <c r="O431" t="s">
        <v>10711</v>
      </c>
    </row>
    <row r="432" spans="1:15" x14ac:dyDescent="0.25">
      <c r="A432">
        <v>150</v>
      </c>
      <c r="B432">
        <v>2</v>
      </c>
      <c r="C432">
        <v>168</v>
      </c>
      <c r="D432">
        <v>1</v>
      </c>
      <c r="E432">
        <v>38</v>
      </c>
      <c r="F432">
        <v>49</v>
      </c>
      <c r="G432" t="s">
        <v>7756</v>
      </c>
      <c r="H432" t="s">
        <v>8996</v>
      </c>
      <c r="I432" t="s">
        <v>4349</v>
      </c>
      <c r="J432" t="s">
        <v>9020</v>
      </c>
      <c r="K432" s="5">
        <v>45200</v>
      </c>
      <c r="L432" s="5" t="s">
        <v>4312</v>
      </c>
      <c r="M432" s="5">
        <v>46022</v>
      </c>
      <c r="N432">
        <v>1</v>
      </c>
      <c r="O432" t="s">
        <v>10712</v>
      </c>
    </row>
    <row r="433" spans="1:15" x14ac:dyDescent="0.25">
      <c r="A433">
        <v>387</v>
      </c>
      <c r="B433">
        <v>2</v>
      </c>
      <c r="C433">
        <v>204</v>
      </c>
      <c r="D433">
        <v>4</v>
      </c>
      <c r="E433">
        <v>1</v>
      </c>
      <c r="F433">
        <v>1</v>
      </c>
      <c r="G433" t="s">
        <v>7757</v>
      </c>
      <c r="H433" t="s">
        <v>8996</v>
      </c>
      <c r="I433" t="s">
        <v>4349</v>
      </c>
      <c r="J433" t="s">
        <v>9020</v>
      </c>
      <c r="K433" s="5">
        <v>45817</v>
      </c>
      <c r="L433" s="5" t="s">
        <v>4312</v>
      </c>
      <c r="M433" s="5">
        <v>46112</v>
      </c>
      <c r="N433">
        <v>1</v>
      </c>
      <c r="O433" t="s">
        <v>10713</v>
      </c>
    </row>
    <row r="434" spans="1:15" x14ac:dyDescent="0.25">
      <c r="A434">
        <v>291</v>
      </c>
      <c r="B434">
        <v>2</v>
      </c>
      <c r="C434">
        <v>166</v>
      </c>
      <c r="D434">
        <v>1</v>
      </c>
      <c r="E434">
        <v>38</v>
      </c>
      <c r="F434">
        <v>49</v>
      </c>
      <c r="G434" t="s">
        <v>7758</v>
      </c>
      <c r="H434" t="s">
        <v>8996</v>
      </c>
      <c r="I434" t="s">
        <v>4349</v>
      </c>
      <c r="J434" t="s">
        <v>9020</v>
      </c>
      <c r="K434" s="5">
        <v>45200</v>
      </c>
      <c r="L434" s="5">
        <v>45726</v>
      </c>
      <c r="M434" s="5">
        <v>45838</v>
      </c>
      <c r="N434">
        <v>0</v>
      </c>
      <c r="O434" t="s">
        <v>10312</v>
      </c>
    </row>
    <row r="435" spans="1:15" x14ac:dyDescent="0.25">
      <c r="A435">
        <v>312</v>
      </c>
      <c r="B435">
        <v>2</v>
      </c>
      <c r="C435">
        <v>193</v>
      </c>
      <c r="D435">
        <v>1</v>
      </c>
      <c r="E435">
        <v>1</v>
      </c>
      <c r="F435">
        <v>1</v>
      </c>
      <c r="G435" t="s">
        <v>7759</v>
      </c>
      <c r="H435" t="s">
        <v>8996</v>
      </c>
      <c r="J435" t="s">
        <v>9020</v>
      </c>
      <c r="K435" s="5">
        <v>45200</v>
      </c>
      <c r="L435" s="5">
        <v>45338</v>
      </c>
      <c r="M435" s="5">
        <v>45473</v>
      </c>
      <c r="N435">
        <v>0</v>
      </c>
      <c r="O435" t="s">
        <v>10313</v>
      </c>
    </row>
    <row r="436" spans="1:15" x14ac:dyDescent="0.25">
      <c r="A436">
        <v>247</v>
      </c>
      <c r="B436">
        <v>2</v>
      </c>
      <c r="C436">
        <v>207</v>
      </c>
      <c r="D436">
        <v>1</v>
      </c>
      <c r="E436">
        <v>1</v>
      </c>
      <c r="F436">
        <v>1</v>
      </c>
      <c r="G436" t="s">
        <v>7760</v>
      </c>
      <c r="H436" t="s">
        <v>8996</v>
      </c>
      <c r="J436" t="s">
        <v>9020</v>
      </c>
      <c r="K436" s="5">
        <v>45200</v>
      </c>
      <c r="L436" s="5">
        <v>45452</v>
      </c>
      <c r="M436" s="5">
        <v>45565</v>
      </c>
      <c r="N436">
        <v>0</v>
      </c>
      <c r="O436" t="s">
        <v>10314</v>
      </c>
    </row>
    <row r="437" spans="1:15" x14ac:dyDescent="0.25">
      <c r="A437">
        <v>388</v>
      </c>
      <c r="B437">
        <v>4</v>
      </c>
      <c r="C437">
        <v>246</v>
      </c>
      <c r="D437">
        <v>4</v>
      </c>
      <c r="E437">
        <v>1</v>
      </c>
      <c r="F437">
        <v>1</v>
      </c>
      <c r="G437" t="s">
        <v>7761</v>
      </c>
      <c r="H437" t="s">
        <v>8996</v>
      </c>
      <c r="I437" t="s">
        <v>4349</v>
      </c>
      <c r="J437" t="s">
        <v>9020</v>
      </c>
      <c r="K437" s="5">
        <v>45261</v>
      </c>
      <c r="L437" s="5" t="s">
        <v>4312</v>
      </c>
      <c r="M437" s="5" t="s">
        <v>4312</v>
      </c>
      <c r="N437">
        <v>1</v>
      </c>
      <c r="O437" t="s">
        <v>10714</v>
      </c>
    </row>
    <row r="438" spans="1:15" x14ac:dyDescent="0.25">
      <c r="A438">
        <v>389</v>
      </c>
      <c r="B438">
        <v>3</v>
      </c>
      <c r="C438">
        <v>157</v>
      </c>
      <c r="D438">
        <v>1</v>
      </c>
      <c r="E438">
        <v>36</v>
      </c>
      <c r="F438">
        <v>21</v>
      </c>
      <c r="G438" t="s">
        <v>7762</v>
      </c>
      <c r="H438" t="s">
        <v>8996</v>
      </c>
      <c r="I438" t="s">
        <v>4349</v>
      </c>
      <c r="J438" t="s">
        <v>9021</v>
      </c>
      <c r="K438" s="5">
        <v>45201</v>
      </c>
      <c r="L438" s="5" t="s">
        <v>4312</v>
      </c>
      <c r="M438" s="5">
        <v>46022</v>
      </c>
      <c r="N438">
        <v>1</v>
      </c>
      <c r="O438" t="s">
        <v>10715</v>
      </c>
    </row>
    <row r="439" spans="1:15" x14ac:dyDescent="0.25">
      <c r="A439">
        <v>390</v>
      </c>
      <c r="B439">
        <v>2</v>
      </c>
      <c r="C439">
        <v>134</v>
      </c>
      <c r="D439">
        <v>4</v>
      </c>
      <c r="E439">
        <v>1</v>
      </c>
      <c r="F439">
        <v>1</v>
      </c>
      <c r="G439" t="s">
        <v>7763</v>
      </c>
      <c r="H439" t="s">
        <v>8996</v>
      </c>
      <c r="J439" t="s">
        <v>9020</v>
      </c>
      <c r="K439" s="5">
        <v>45201</v>
      </c>
      <c r="L439" s="5">
        <v>45491</v>
      </c>
      <c r="M439" s="5">
        <v>45504</v>
      </c>
      <c r="N439">
        <v>0</v>
      </c>
      <c r="O439" t="s">
        <v>10315</v>
      </c>
    </row>
    <row r="440" spans="1:15" x14ac:dyDescent="0.25">
      <c r="A440">
        <v>391</v>
      </c>
      <c r="B440">
        <v>2</v>
      </c>
      <c r="C440">
        <v>175</v>
      </c>
      <c r="D440">
        <v>1</v>
      </c>
      <c r="E440">
        <v>1</v>
      </c>
      <c r="F440">
        <v>1</v>
      </c>
      <c r="G440" t="s">
        <v>7764</v>
      </c>
      <c r="H440" t="s">
        <v>8995</v>
      </c>
      <c r="J440" t="s">
        <v>9020</v>
      </c>
      <c r="K440" s="5">
        <v>45201</v>
      </c>
      <c r="L440" s="5">
        <v>45504</v>
      </c>
      <c r="M440" s="5">
        <v>45657</v>
      </c>
      <c r="N440">
        <v>0</v>
      </c>
      <c r="O440" t="s">
        <v>10316</v>
      </c>
    </row>
    <row r="441" spans="1:15" x14ac:dyDescent="0.25">
      <c r="A441">
        <v>392</v>
      </c>
      <c r="B441">
        <v>2</v>
      </c>
      <c r="C441">
        <v>1</v>
      </c>
      <c r="D441">
        <v>1</v>
      </c>
      <c r="E441">
        <v>1</v>
      </c>
      <c r="F441">
        <v>1</v>
      </c>
      <c r="G441" t="s">
        <v>7765</v>
      </c>
      <c r="H441" t="s">
        <v>8996</v>
      </c>
      <c r="I441" t="s">
        <v>4348</v>
      </c>
      <c r="J441" t="s">
        <v>9020</v>
      </c>
      <c r="K441" s="5">
        <v>45203</v>
      </c>
      <c r="L441" s="5">
        <v>45970</v>
      </c>
      <c r="M441" s="5">
        <v>46142</v>
      </c>
      <c r="N441">
        <v>0</v>
      </c>
      <c r="O441" t="s">
        <v>10317</v>
      </c>
    </row>
    <row r="442" spans="1:15" x14ac:dyDescent="0.25">
      <c r="A442">
        <v>393</v>
      </c>
      <c r="B442">
        <v>2</v>
      </c>
      <c r="C442">
        <v>26</v>
      </c>
      <c r="D442">
        <v>1</v>
      </c>
      <c r="E442">
        <v>36</v>
      </c>
      <c r="F442">
        <v>21</v>
      </c>
      <c r="G442" t="s">
        <v>7766</v>
      </c>
      <c r="H442" t="s">
        <v>8995</v>
      </c>
      <c r="I442" t="s">
        <v>4349</v>
      </c>
      <c r="J442" t="s">
        <v>9026</v>
      </c>
      <c r="K442" s="5">
        <v>45203</v>
      </c>
      <c r="L442" s="5">
        <v>45863</v>
      </c>
      <c r="M442" s="5">
        <v>46022</v>
      </c>
      <c r="N442">
        <v>0</v>
      </c>
      <c r="O442" t="s">
        <v>10318</v>
      </c>
    </row>
    <row r="443" spans="1:15" x14ac:dyDescent="0.25">
      <c r="A443">
        <v>155</v>
      </c>
      <c r="B443">
        <v>2</v>
      </c>
      <c r="C443">
        <v>146</v>
      </c>
      <c r="D443">
        <v>3</v>
      </c>
      <c r="E443">
        <v>38</v>
      </c>
      <c r="F443">
        <v>49</v>
      </c>
      <c r="G443" t="s">
        <v>7767</v>
      </c>
      <c r="H443" t="s">
        <v>8996</v>
      </c>
      <c r="J443" t="s">
        <v>9020</v>
      </c>
      <c r="K443" s="5">
        <v>45205</v>
      </c>
      <c r="L443" s="5">
        <v>45322</v>
      </c>
      <c r="M443" s="5">
        <v>45322</v>
      </c>
      <c r="N443">
        <v>0</v>
      </c>
      <c r="O443" t="s">
        <v>10319</v>
      </c>
    </row>
    <row r="444" spans="1:15" x14ac:dyDescent="0.25">
      <c r="A444">
        <v>394</v>
      </c>
      <c r="B444">
        <v>2</v>
      </c>
      <c r="C444">
        <v>5</v>
      </c>
      <c r="D444">
        <v>1</v>
      </c>
      <c r="E444">
        <v>1</v>
      </c>
      <c r="F444">
        <v>1</v>
      </c>
      <c r="G444" t="s">
        <v>7768</v>
      </c>
      <c r="H444" t="s">
        <v>8995</v>
      </c>
      <c r="I444" t="s">
        <v>4349</v>
      </c>
      <c r="J444" t="s">
        <v>9020</v>
      </c>
      <c r="K444" s="5">
        <v>45209</v>
      </c>
      <c r="L444" s="5">
        <v>45961</v>
      </c>
      <c r="M444" s="5">
        <v>45961</v>
      </c>
      <c r="N444">
        <v>0</v>
      </c>
      <c r="O444" t="s">
        <v>10320</v>
      </c>
    </row>
    <row r="445" spans="1:15" x14ac:dyDescent="0.25">
      <c r="A445">
        <v>395</v>
      </c>
      <c r="B445">
        <v>4</v>
      </c>
      <c r="C445">
        <v>64</v>
      </c>
      <c r="D445">
        <v>1</v>
      </c>
      <c r="E445">
        <v>1</v>
      </c>
      <c r="F445">
        <v>1</v>
      </c>
      <c r="K445" s="5">
        <v>45211</v>
      </c>
      <c r="L445" s="5">
        <v>45211</v>
      </c>
      <c r="M445" s="5" t="s">
        <v>4312</v>
      </c>
      <c r="N445">
        <v>0</v>
      </c>
      <c r="O445" t="s">
        <v>10716</v>
      </c>
    </row>
    <row r="446" spans="1:15" x14ac:dyDescent="0.25">
      <c r="A446">
        <v>396</v>
      </c>
      <c r="B446">
        <v>2</v>
      </c>
      <c r="C446">
        <v>107</v>
      </c>
      <c r="D446">
        <v>4</v>
      </c>
      <c r="E446">
        <v>1</v>
      </c>
      <c r="F446">
        <v>1</v>
      </c>
      <c r="G446" t="s">
        <v>7769</v>
      </c>
      <c r="K446" s="5">
        <v>45212</v>
      </c>
      <c r="L446" s="5">
        <v>45223</v>
      </c>
      <c r="M446" s="5">
        <v>45322</v>
      </c>
      <c r="N446">
        <v>0</v>
      </c>
      <c r="O446" t="s">
        <v>10321</v>
      </c>
    </row>
    <row r="447" spans="1:15" x14ac:dyDescent="0.25">
      <c r="A447">
        <v>397</v>
      </c>
      <c r="B447">
        <v>3</v>
      </c>
      <c r="C447">
        <v>157</v>
      </c>
      <c r="D447">
        <v>3</v>
      </c>
      <c r="E447">
        <v>5</v>
      </c>
      <c r="F447">
        <v>8</v>
      </c>
      <c r="G447" t="s">
        <v>7770</v>
      </c>
      <c r="H447" t="s">
        <v>8996</v>
      </c>
      <c r="I447" t="s">
        <v>4349</v>
      </c>
      <c r="J447" t="s">
        <v>9023</v>
      </c>
      <c r="K447" s="5">
        <v>45215</v>
      </c>
      <c r="L447" s="5" t="s">
        <v>4312</v>
      </c>
      <c r="M447" s="5">
        <v>46053</v>
      </c>
      <c r="N447">
        <v>1</v>
      </c>
      <c r="O447" t="s">
        <v>10717</v>
      </c>
    </row>
    <row r="448" spans="1:15" x14ac:dyDescent="0.25">
      <c r="A448">
        <v>398</v>
      </c>
      <c r="B448">
        <v>4</v>
      </c>
      <c r="C448">
        <v>161</v>
      </c>
      <c r="D448">
        <v>1</v>
      </c>
      <c r="E448">
        <v>38</v>
      </c>
      <c r="F448">
        <v>49</v>
      </c>
      <c r="G448" t="s">
        <v>7771</v>
      </c>
      <c r="H448" t="s">
        <v>8996</v>
      </c>
      <c r="I448" t="s">
        <v>4349</v>
      </c>
      <c r="J448" t="s">
        <v>9020</v>
      </c>
      <c r="K448" s="5">
        <v>45215</v>
      </c>
      <c r="L448" s="5">
        <v>45808</v>
      </c>
      <c r="M448" s="5" t="s">
        <v>4312</v>
      </c>
      <c r="N448">
        <v>0</v>
      </c>
      <c r="O448" t="s">
        <v>10718</v>
      </c>
    </row>
    <row r="449" spans="1:15" x14ac:dyDescent="0.25">
      <c r="A449">
        <v>399</v>
      </c>
      <c r="B449">
        <v>2</v>
      </c>
      <c r="C449">
        <v>116</v>
      </c>
      <c r="D449">
        <v>1</v>
      </c>
      <c r="E449">
        <v>1</v>
      </c>
      <c r="F449">
        <v>1</v>
      </c>
      <c r="G449" t="s">
        <v>7772</v>
      </c>
      <c r="H449" t="s">
        <v>8996</v>
      </c>
      <c r="J449" t="s">
        <v>9020</v>
      </c>
      <c r="K449" s="5">
        <v>45215</v>
      </c>
      <c r="L449" s="5">
        <v>45517</v>
      </c>
      <c r="M449" s="5">
        <v>45596</v>
      </c>
      <c r="N449">
        <v>0</v>
      </c>
      <c r="O449" t="s">
        <v>10322</v>
      </c>
    </row>
    <row r="450" spans="1:15" x14ac:dyDescent="0.25">
      <c r="A450">
        <v>400</v>
      </c>
      <c r="B450">
        <v>4</v>
      </c>
      <c r="C450">
        <v>66</v>
      </c>
      <c r="D450">
        <v>1</v>
      </c>
      <c r="E450">
        <v>1</v>
      </c>
      <c r="F450">
        <v>1</v>
      </c>
      <c r="H450" t="s">
        <v>8996</v>
      </c>
      <c r="J450" t="s">
        <v>9020</v>
      </c>
      <c r="K450" s="5">
        <v>45215</v>
      </c>
      <c r="L450" s="5">
        <v>45301</v>
      </c>
      <c r="M450" s="5" t="s">
        <v>4312</v>
      </c>
      <c r="N450">
        <v>0</v>
      </c>
      <c r="O450" t="s">
        <v>10719</v>
      </c>
    </row>
    <row r="451" spans="1:15" x14ac:dyDescent="0.25">
      <c r="A451">
        <v>401</v>
      </c>
      <c r="B451">
        <v>2</v>
      </c>
      <c r="C451">
        <v>8</v>
      </c>
      <c r="D451">
        <v>1</v>
      </c>
      <c r="E451">
        <v>1</v>
      </c>
      <c r="F451">
        <v>1</v>
      </c>
      <c r="G451" t="s">
        <v>7773</v>
      </c>
      <c r="H451" t="s">
        <v>8996</v>
      </c>
      <c r="J451" t="s">
        <v>9020</v>
      </c>
      <c r="K451" s="5">
        <v>45215</v>
      </c>
      <c r="L451" s="5">
        <v>45245</v>
      </c>
      <c r="M451" s="5">
        <v>45322</v>
      </c>
      <c r="N451">
        <v>0</v>
      </c>
      <c r="O451" t="s">
        <v>10323</v>
      </c>
    </row>
    <row r="452" spans="1:15" x14ac:dyDescent="0.25">
      <c r="A452">
        <v>402</v>
      </c>
      <c r="B452">
        <v>4</v>
      </c>
      <c r="C452">
        <v>146</v>
      </c>
      <c r="D452">
        <v>2</v>
      </c>
      <c r="E452">
        <v>38</v>
      </c>
      <c r="F452">
        <v>49</v>
      </c>
      <c r="H452" t="s">
        <v>8996</v>
      </c>
      <c r="J452" t="s">
        <v>9020</v>
      </c>
      <c r="K452" s="5">
        <v>45216</v>
      </c>
      <c r="L452" s="5">
        <v>45260</v>
      </c>
      <c r="M452" s="5" t="s">
        <v>4312</v>
      </c>
      <c r="N452">
        <v>0</v>
      </c>
      <c r="O452" t="s">
        <v>10720</v>
      </c>
    </row>
    <row r="453" spans="1:15" x14ac:dyDescent="0.25">
      <c r="A453">
        <v>403</v>
      </c>
      <c r="B453">
        <v>3</v>
      </c>
      <c r="C453">
        <v>147</v>
      </c>
      <c r="D453">
        <v>1</v>
      </c>
      <c r="E453">
        <v>4</v>
      </c>
      <c r="F453">
        <v>5</v>
      </c>
      <c r="G453" t="s">
        <v>7774</v>
      </c>
      <c r="H453" t="s">
        <v>8996</v>
      </c>
      <c r="K453" s="5">
        <v>45217</v>
      </c>
      <c r="L453" s="5">
        <v>45226</v>
      </c>
      <c r="M453" s="5">
        <v>45322</v>
      </c>
      <c r="N453">
        <v>0</v>
      </c>
      <c r="O453" t="s">
        <v>10324</v>
      </c>
    </row>
    <row r="454" spans="1:15" x14ac:dyDescent="0.25">
      <c r="A454">
        <v>404</v>
      </c>
      <c r="B454">
        <v>4</v>
      </c>
      <c r="C454">
        <v>246</v>
      </c>
      <c r="D454">
        <v>4</v>
      </c>
      <c r="E454">
        <v>1</v>
      </c>
      <c r="F454">
        <v>1</v>
      </c>
      <c r="H454" t="s">
        <v>8996</v>
      </c>
      <c r="J454" t="s">
        <v>9022</v>
      </c>
      <c r="K454" s="5">
        <v>45218</v>
      </c>
      <c r="L454" s="5">
        <v>45244</v>
      </c>
      <c r="M454" s="5" t="s">
        <v>4312</v>
      </c>
      <c r="N454">
        <v>0</v>
      </c>
      <c r="O454" t="s">
        <v>10721</v>
      </c>
    </row>
    <row r="455" spans="1:15" x14ac:dyDescent="0.25">
      <c r="A455">
        <v>405</v>
      </c>
      <c r="B455">
        <v>5</v>
      </c>
      <c r="C455">
        <v>94</v>
      </c>
      <c r="D455">
        <v>2</v>
      </c>
      <c r="E455">
        <v>1</v>
      </c>
      <c r="F455">
        <v>1</v>
      </c>
      <c r="G455" t="s">
        <v>7775</v>
      </c>
      <c r="H455" t="s">
        <v>8996</v>
      </c>
      <c r="J455" t="s">
        <v>9020</v>
      </c>
      <c r="K455" s="5">
        <v>45218</v>
      </c>
      <c r="L455" s="5">
        <v>45322</v>
      </c>
      <c r="M455" s="5">
        <v>45322</v>
      </c>
      <c r="N455">
        <v>0</v>
      </c>
      <c r="O455" t="s">
        <v>10325</v>
      </c>
    </row>
    <row r="456" spans="1:15" x14ac:dyDescent="0.25">
      <c r="A456">
        <v>406</v>
      </c>
      <c r="B456">
        <v>2</v>
      </c>
      <c r="C456">
        <v>228</v>
      </c>
      <c r="D456">
        <v>1</v>
      </c>
      <c r="E456">
        <v>1</v>
      </c>
      <c r="F456">
        <v>1</v>
      </c>
      <c r="G456" t="s">
        <v>7776</v>
      </c>
      <c r="H456" t="s">
        <v>8996</v>
      </c>
      <c r="J456" t="s">
        <v>9020</v>
      </c>
      <c r="K456" s="5">
        <v>45222</v>
      </c>
      <c r="L456" s="5">
        <v>45233</v>
      </c>
      <c r="M456" s="5">
        <v>45322</v>
      </c>
      <c r="N456">
        <v>0</v>
      </c>
      <c r="O456" t="s">
        <v>10326</v>
      </c>
    </row>
    <row r="457" spans="1:15" x14ac:dyDescent="0.25">
      <c r="A457">
        <v>407</v>
      </c>
      <c r="B457">
        <v>2</v>
      </c>
      <c r="C457">
        <v>254</v>
      </c>
      <c r="D457">
        <v>1</v>
      </c>
      <c r="E457">
        <v>1</v>
      </c>
      <c r="F457">
        <v>1</v>
      </c>
      <c r="G457" t="s">
        <v>7777</v>
      </c>
      <c r="H457" t="s">
        <v>8996</v>
      </c>
      <c r="I457" t="s">
        <v>4349</v>
      </c>
      <c r="J457" t="s">
        <v>9022</v>
      </c>
      <c r="K457" s="5">
        <v>45231</v>
      </c>
      <c r="L457" s="5" t="s">
        <v>4312</v>
      </c>
      <c r="M457" s="5">
        <v>46081</v>
      </c>
      <c r="N457">
        <v>1</v>
      </c>
      <c r="O457" t="s">
        <v>10722</v>
      </c>
    </row>
    <row r="458" spans="1:15" x14ac:dyDescent="0.25">
      <c r="A458">
        <v>408</v>
      </c>
      <c r="B458">
        <v>5</v>
      </c>
      <c r="C458">
        <v>95</v>
      </c>
      <c r="D458">
        <v>1</v>
      </c>
      <c r="E458">
        <v>1</v>
      </c>
      <c r="F458">
        <v>1</v>
      </c>
      <c r="G458" t="s">
        <v>7778</v>
      </c>
      <c r="H458" t="s">
        <v>8996</v>
      </c>
      <c r="J458" t="s">
        <v>9020</v>
      </c>
      <c r="K458" s="5">
        <v>45231</v>
      </c>
      <c r="L458" s="5">
        <v>45460</v>
      </c>
      <c r="M458" s="5">
        <v>45504</v>
      </c>
      <c r="N458">
        <v>0</v>
      </c>
      <c r="O458" t="s">
        <v>10327</v>
      </c>
    </row>
    <row r="459" spans="1:15" x14ac:dyDescent="0.25">
      <c r="A459">
        <v>409</v>
      </c>
      <c r="B459">
        <v>2</v>
      </c>
      <c r="C459">
        <v>235</v>
      </c>
      <c r="D459">
        <v>1</v>
      </c>
      <c r="E459">
        <v>1</v>
      </c>
      <c r="F459">
        <v>1</v>
      </c>
      <c r="G459" t="s">
        <v>7779</v>
      </c>
      <c r="H459" t="s">
        <v>8996</v>
      </c>
      <c r="J459" t="s">
        <v>9020</v>
      </c>
      <c r="K459" s="5">
        <v>45231</v>
      </c>
      <c r="L459" s="5">
        <v>45504</v>
      </c>
      <c r="M459" s="5">
        <v>45504</v>
      </c>
      <c r="N459">
        <v>0</v>
      </c>
      <c r="O459" t="s">
        <v>10328</v>
      </c>
    </row>
    <row r="460" spans="1:15" x14ac:dyDescent="0.25">
      <c r="A460">
        <v>410</v>
      </c>
      <c r="B460">
        <v>2</v>
      </c>
      <c r="C460">
        <v>175</v>
      </c>
      <c r="D460">
        <v>1</v>
      </c>
      <c r="E460">
        <v>1</v>
      </c>
      <c r="F460">
        <v>1</v>
      </c>
      <c r="G460" t="s">
        <v>7780</v>
      </c>
      <c r="H460" t="s">
        <v>8995</v>
      </c>
      <c r="I460" t="s">
        <v>4349</v>
      </c>
      <c r="J460" t="s">
        <v>9020</v>
      </c>
      <c r="K460" s="5">
        <v>45232</v>
      </c>
      <c r="L460" s="5" t="s">
        <v>4312</v>
      </c>
      <c r="M460" s="5">
        <v>46081</v>
      </c>
      <c r="N460">
        <v>1</v>
      </c>
      <c r="O460" t="s">
        <v>10723</v>
      </c>
    </row>
    <row r="461" spans="1:15" x14ac:dyDescent="0.25">
      <c r="A461">
        <v>411</v>
      </c>
      <c r="B461">
        <v>4</v>
      </c>
      <c r="C461">
        <v>161</v>
      </c>
      <c r="D461">
        <v>1</v>
      </c>
      <c r="E461">
        <v>38</v>
      </c>
      <c r="F461">
        <v>49</v>
      </c>
      <c r="G461" t="s">
        <v>7781</v>
      </c>
      <c r="H461" t="s">
        <v>8996</v>
      </c>
      <c r="I461" t="s">
        <v>4349</v>
      </c>
      <c r="K461" s="5">
        <v>45236</v>
      </c>
      <c r="L461" s="5">
        <v>45842</v>
      </c>
      <c r="M461" s="5" t="s">
        <v>4312</v>
      </c>
      <c r="N461">
        <v>0</v>
      </c>
      <c r="O461" t="s">
        <v>10724</v>
      </c>
    </row>
    <row r="462" spans="1:15" x14ac:dyDescent="0.25">
      <c r="A462">
        <v>412</v>
      </c>
      <c r="B462">
        <v>2</v>
      </c>
      <c r="C462">
        <v>113</v>
      </c>
      <c r="D462">
        <v>1</v>
      </c>
      <c r="E462">
        <v>1</v>
      </c>
      <c r="F462">
        <v>1</v>
      </c>
      <c r="G462" t="s">
        <v>7782</v>
      </c>
      <c r="H462" t="s">
        <v>8996</v>
      </c>
      <c r="I462" t="s">
        <v>4349</v>
      </c>
      <c r="J462" t="s">
        <v>9020</v>
      </c>
      <c r="K462" s="5">
        <v>45239</v>
      </c>
      <c r="L462" s="5" t="s">
        <v>4312</v>
      </c>
      <c r="M462" s="5">
        <v>46265</v>
      </c>
      <c r="N462">
        <v>1</v>
      </c>
      <c r="O462" t="s">
        <v>10725</v>
      </c>
    </row>
    <row r="463" spans="1:15" x14ac:dyDescent="0.25">
      <c r="A463">
        <v>413</v>
      </c>
      <c r="B463">
        <v>3</v>
      </c>
      <c r="C463">
        <v>150</v>
      </c>
      <c r="D463">
        <v>1</v>
      </c>
      <c r="E463">
        <v>11</v>
      </c>
      <c r="F463">
        <v>15</v>
      </c>
      <c r="G463" t="s">
        <v>7783</v>
      </c>
      <c r="H463" t="s">
        <v>8996</v>
      </c>
      <c r="K463" s="5">
        <v>45243</v>
      </c>
      <c r="L463" s="5">
        <v>45378</v>
      </c>
      <c r="M463" s="5">
        <v>45443</v>
      </c>
      <c r="N463">
        <v>0</v>
      </c>
      <c r="O463" t="s">
        <v>10329</v>
      </c>
    </row>
    <row r="464" spans="1:15" x14ac:dyDescent="0.25">
      <c r="A464">
        <v>414</v>
      </c>
      <c r="B464">
        <v>3</v>
      </c>
      <c r="C464">
        <v>157</v>
      </c>
      <c r="D464">
        <v>4</v>
      </c>
      <c r="E464">
        <v>8</v>
      </c>
      <c r="F464">
        <v>12</v>
      </c>
      <c r="G464" t="s">
        <v>7784</v>
      </c>
      <c r="H464" t="s">
        <v>8996</v>
      </c>
      <c r="I464" t="s">
        <v>4349</v>
      </c>
      <c r="J464" t="s">
        <v>9023</v>
      </c>
      <c r="K464" s="5">
        <v>45244</v>
      </c>
      <c r="L464" s="5">
        <v>46022</v>
      </c>
      <c r="M464" s="5">
        <v>46022</v>
      </c>
      <c r="N464">
        <v>1</v>
      </c>
      <c r="O464" t="s">
        <v>10330</v>
      </c>
    </row>
    <row r="465" spans="1:15" x14ac:dyDescent="0.25">
      <c r="A465">
        <v>415</v>
      </c>
      <c r="B465">
        <v>2</v>
      </c>
      <c r="C465">
        <v>211</v>
      </c>
      <c r="D465">
        <v>1</v>
      </c>
      <c r="E465">
        <v>1</v>
      </c>
      <c r="F465">
        <v>1</v>
      </c>
      <c r="G465" t="s">
        <v>7785</v>
      </c>
      <c r="H465" t="s">
        <v>8996</v>
      </c>
      <c r="I465" t="s">
        <v>4349</v>
      </c>
      <c r="K465" s="5">
        <v>45244</v>
      </c>
      <c r="L465" s="5">
        <v>45695</v>
      </c>
      <c r="M465" s="5">
        <v>45808</v>
      </c>
      <c r="N465">
        <v>0</v>
      </c>
      <c r="O465" t="s">
        <v>10331</v>
      </c>
    </row>
    <row r="466" spans="1:15" x14ac:dyDescent="0.25">
      <c r="A466">
        <v>416</v>
      </c>
      <c r="B466">
        <v>2</v>
      </c>
      <c r="C466">
        <v>147</v>
      </c>
      <c r="D466">
        <v>1</v>
      </c>
      <c r="E466">
        <v>36</v>
      </c>
      <c r="F466">
        <v>21</v>
      </c>
      <c r="G466" t="s">
        <v>7786</v>
      </c>
      <c r="H466" t="s">
        <v>8996</v>
      </c>
      <c r="K466" s="5">
        <v>45250</v>
      </c>
      <c r="L466" s="5">
        <v>45366</v>
      </c>
      <c r="M466" s="5">
        <v>45443</v>
      </c>
      <c r="N466">
        <v>0</v>
      </c>
      <c r="O466" t="s">
        <v>10332</v>
      </c>
    </row>
    <row r="467" spans="1:15" x14ac:dyDescent="0.25">
      <c r="A467">
        <v>417</v>
      </c>
      <c r="B467">
        <v>4</v>
      </c>
      <c r="C467">
        <v>246</v>
      </c>
      <c r="D467">
        <v>4</v>
      </c>
      <c r="E467">
        <v>1</v>
      </c>
      <c r="F467">
        <v>1</v>
      </c>
      <c r="H467" t="s">
        <v>8996</v>
      </c>
      <c r="K467" s="5">
        <v>45251</v>
      </c>
      <c r="L467" s="5">
        <v>45596</v>
      </c>
      <c r="M467" s="5" t="s">
        <v>4312</v>
      </c>
      <c r="N467">
        <v>0</v>
      </c>
      <c r="O467" t="s">
        <v>10726</v>
      </c>
    </row>
    <row r="468" spans="1:15" x14ac:dyDescent="0.25">
      <c r="A468">
        <v>418</v>
      </c>
      <c r="B468">
        <v>2</v>
      </c>
      <c r="C468">
        <v>27</v>
      </c>
      <c r="D468">
        <v>1</v>
      </c>
      <c r="E468">
        <v>1</v>
      </c>
      <c r="F468">
        <v>1</v>
      </c>
      <c r="G468" t="s">
        <v>7787</v>
      </c>
      <c r="H468" t="s">
        <v>8996</v>
      </c>
      <c r="K468" s="5">
        <v>45252</v>
      </c>
      <c r="L468" s="5">
        <v>45309</v>
      </c>
      <c r="M468" s="5">
        <v>45351</v>
      </c>
      <c r="N468">
        <v>0</v>
      </c>
      <c r="O468" t="s">
        <v>10333</v>
      </c>
    </row>
    <row r="469" spans="1:15" x14ac:dyDescent="0.25">
      <c r="A469">
        <v>419</v>
      </c>
      <c r="B469">
        <v>2</v>
      </c>
      <c r="C469">
        <v>189</v>
      </c>
      <c r="D469">
        <v>4</v>
      </c>
      <c r="E469">
        <v>1</v>
      </c>
      <c r="F469">
        <v>1</v>
      </c>
      <c r="G469" t="s">
        <v>7788</v>
      </c>
      <c r="H469" t="s">
        <v>8996</v>
      </c>
      <c r="K469" s="5">
        <v>45253</v>
      </c>
      <c r="L469" s="5">
        <v>45254</v>
      </c>
      <c r="M469" s="5">
        <v>45351</v>
      </c>
      <c r="N469">
        <v>0</v>
      </c>
      <c r="O469" t="s">
        <v>10334</v>
      </c>
    </row>
    <row r="470" spans="1:15" x14ac:dyDescent="0.25">
      <c r="A470">
        <v>420</v>
      </c>
      <c r="B470">
        <v>2</v>
      </c>
      <c r="C470">
        <v>211</v>
      </c>
      <c r="D470">
        <v>1</v>
      </c>
      <c r="E470">
        <v>1</v>
      </c>
      <c r="F470">
        <v>1</v>
      </c>
      <c r="G470" t="s">
        <v>7789</v>
      </c>
      <c r="H470" t="s">
        <v>8996</v>
      </c>
      <c r="I470" t="s">
        <v>4349</v>
      </c>
      <c r="J470" t="s">
        <v>9020</v>
      </c>
      <c r="K470" s="5">
        <v>45901</v>
      </c>
      <c r="L470" s="5" t="s">
        <v>4312</v>
      </c>
      <c r="M470" s="5">
        <v>45991</v>
      </c>
      <c r="N470">
        <v>1</v>
      </c>
      <c r="O470" t="s">
        <v>10727</v>
      </c>
    </row>
    <row r="471" spans="1:15" x14ac:dyDescent="0.25">
      <c r="A471">
        <v>421</v>
      </c>
      <c r="B471">
        <v>4</v>
      </c>
      <c r="C471">
        <v>246</v>
      </c>
      <c r="D471">
        <v>1</v>
      </c>
      <c r="E471">
        <v>1</v>
      </c>
      <c r="F471">
        <v>1</v>
      </c>
      <c r="G471" t="s">
        <v>7790</v>
      </c>
      <c r="H471" t="s">
        <v>8996</v>
      </c>
      <c r="I471" t="s">
        <v>4349</v>
      </c>
      <c r="J471" t="s">
        <v>9020</v>
      </c>
      <c r="K471" s="5">
        <v>45434</v>
      </c>
      <c r="L471" s="5" t="s">
        <v>4312</v>
      </c>
      <c r="M471" s="5" t="s">
        <v>4312</v>
      </c>
      <c r="N471">
        <v>1</v>
      </c>
      <c r="O471" t="s">
        <v>10728</v>
      </c>
    </row>
    <row r="472" spans="1:15" x14ac:dyDescent="0.25">
      <c r="A472">
        <v>366</v>
      </c>
      <c r="B472">
        <v>3</v>
      </c>
      <c r="C472">
        <v>164</v>
      </c>
      <c r="D472">
        <v>3</v>
      </c>
      <c r="E472">
        <v>4</v>
      </c>
      <c r="F472">
        <v>4</v>
      </c>
      <c r="G472" t="s">
        <v>7791</v>
      </c>
      <c r="H472" t="s">
        <v>8996</v>
      </c>
      <c r="I472" t="s">
        <v>4349</v>
      </c>
      <c r="J472" t="s">
        <v>9023</v>
      </c>
      <c r="K472" s="5">
        <v>45261</v>
      </c>
      <c r="L472" s="5" t="s">
        <v>4312</v>
      </c>
      <c r="M472" s="5">
        <v>46022</v>
      </c>
      <c r="N472">
        <v>1</v>
      </c>
      <c r="O472" t="s">
        <v>10729</v>
      </c>
    </row>
    <row r="473" spans="1:15" x14ac:dyDescent="0.25">
      <c r="A473">
        <v>422</v>
      </c>
      <c r="B473">
        <v>4</v>
      </c>
      <c r="C473">
        <v>249</v>
      </c>
      <c r="D473">
        <v>1</v>
      </c>
      <c r="E473">
        <v>38</v>
      </c>
      <c r="F473">
        <v>49</v>
      </c>
      <c r="G473" t="s">
        <v>7792</v>
      </c>
      <c r="H473" t="s">
        <v>8996</v>
      </c>
      <c r="K473" s="5">
        <v>45261</v>
      </c>
      <c r="L473" s="5">
        <v>45443</v>
      </c>
      <c r="M473" s="5" t="s">
        <v>4312</v>
      </c>
      <c r="N473">
        <v>0</v>
      </c>
      <c r="O473" t="s">
        <v>10730</v>
      </c>
    </row>
    <row r="474" spans="1:15" x14ac:dyDescent="0.25">
      <c r="A474">
        <v>199</v>
      </c>
      <c r="B474">
        <v>3</v>
      </c>
      <c r="C474">
        <v>150</v>
      </c>
      <c r="D474">
        <v>3</v>
      </c>
      <c r="E474">
        <v>34</v>
      </c>
      <c r="F474">
        <v>35</v>
      </c>
      <c r="G474" t="s">
        <v>7793</v>
      </c>
      <c r="H474" t="s">
        <v>8996</v>
      </c>
      <c r="J474" t="s">
        <v>9026</v>
      </c>
      <c r="K474" s="5">
        <v>45261</v>
      </c>
      <c r="L474" s="5">
        <v>45378</v>
      </c>
      <c r="M474" s="5">
        <v>45443</v>
      </c>
      <c r="N474">
        <v>0</v>
      </c>
      <c r="O474" t="s">
        <v>10335</v>
      </c>
    </row>
    <row r="475" spans="1:15" x14ac:dyDescent="0.25">
      <c r="A475">
        <v>423</v>
      </c>
      <c r="B475">
        <v>5</v>
      </c>
      <c r="C475">
        <v>71</v>
      </c>
      <c r="D475">
        <v>1</v>
      </c>
      <c r="E475">
        <v>1</v>
      </c>
      <c r="F475">
        <v>1</v>
      </c>
      <c r="G475" t="s">
        <v>7794</v>
      </c>
      <c r="H475" t="s">
        <v>8996</v>
      </c>
      <c r="K475" s="5">
        <v>45261</v>
      </c>
      <c r="L475" s="5">
        <v>45382</v>
      </c>
      <c r="M475" s="5">
        <v>45382</v>
      </c>
      <c r="N475">
        <v>0</v>
      </c>
      <c r="O475" t="s">
        <v>10336</v>
      </c>
    </row>
    <row r="476" spans="1:15" x14ac:dyDescent="0.25">
      <c r="A476">
        <v>424</v>
      </c>
      <c r="B476">
        <v>2</v>
      </c>
      <c r="C476">
        <v>212</v>
      </c>
      <c r="D476">
        <v>1</v>
      </c>
      <c r="E476">
        <v>1</v>
      </c>
      <c r="F476">
        <v>1</v>
      </c>
      <c r="G476" t="s">
        <v>7795</v>
      </c>
      <c r="H476" t="s">
        <v>8996</v>
      </c>
      <c r="I476" t="s">
        <v>4349</v>
      </c>
      <c r="J476" t="s">
        <v>9020</v>
      </c>
      <c r="K476" s="5">
        <v>45257</v>
      </c>
      <c r="L476" s="5" t="s">
        <v>4312</v>
      </c>
      <c r="M476" s="5">
        <v>45991</v>
      </c>
      <c r="N476">
        <v>1</v>
      </c>
      <c r="O476" t="s">
        <v>10731</v>
      </c>
    </row>
    <row r="477" spans="1:15" x14ac:dyDescent="0.25">
      <c r="A477">
        <v>425</v>
      </c>
      <c r="B477">
        <v>3</v>
      </c>
      <c r="C477">
        <v>132</v>
      </c>
      <c r="D477">
        <v>1</v>
      </c>
      <c r="E477">
        <v>36</v>
      </c>
      <c r="F477">
        <v>21</v>
      </c>
      <c r="G477" t="s">
        <v>7796</v>
      </c>
      <c r="H477" t="s">
        <v>8996</v>
      </c>
      <c r="K477" s="5">
        <v>45264</v>
      </c>
      <c r="L477" s="5">
        <v>45342</v>
      </c>
      <c r="M477" s="5">
        <v>45382</v>
      </c>
      <c r="N477">
        <v>0</v>
      </c>
      <c r="O477" t="s">
        <v>10337</v>
      </c>
    </row>
    <row r="478" spans="1:15" x14ac:dyDescent="0.25">
      <c r="A478">
        <v>82</v>
      </c>
      <c r="B478">
        <v>4</v>
      </c>
      <c r="C478">
        <v>64</v>
      </c>
      <c r="D478">
        <v>1</v>
      </c>
      <c r="E478">
        <v>1</v>
      </c>
      <c r="F478">
        <v>1</v>
      </c>
      <c r="H478" t="s">
        <v>8996</v>
      </c>
      <c r="K478" s="5">
        <v>45271</v>
      </c>
      <c r="L478" s="5">
        <v>45473</v>
      </c>
      <c r="M478" s="5" t="s">
        <v>4312</v>
      </c>
      <c r="N478">
        <v>0</v>
      </c>
      <c r="O478" t="s">
        <v>10732</v>
      </c>
    </row>
    <row r="479" spans="1:15" x14ac:dyDescent="0.25">
      <c r="A479">
        <v>426</v>
      </c>
      <c r="B479">
        <v>2</v>
      </c>
      <c r="C479">
        <v>239</v>
      </c>
      <c r="D479">
        <v>1</v>
      </c>
      <c r="E479">
        <v>1</v>
      </c>
      <c r="F479">
        <v>1</v>
      </c>
      <c r="G479" t="s">
        <v>7797</v>
      </c>
      <c r="H479" t="s">
        <v>8996</v>
      </c>
      <c r="I479" t="s">
        <v>4349</v>
      </c>
      <c r="J479" t="s">
        <v>9020</v>
      </c>
      <c r="K479" s="5">
        <v>45272</v>
      </c>
      <c r="L479" s="5" t="s">
        <v>4312</v>
      </c>
      <c r="M479" s="5">
        <v>46112</v>
      </c>
      <c r="N479">
        <v>1</v>
      </c>
      <c r="O479" t="s">
        <v>10733</v>
      </c>
    </row>
    <row r="480" spans="1:15" x14ac:dyDescent="0.25">
      <c r="A480">
        <v>427</v>
      </c>
      <c r="B480">
        <v>5</v>
      </c>
      <c r="C480">
        <v>74</v>
      </c>
      <c r="D480">
        <v>5</v>
      </c>
      <c r="E480">
        <v>1</v>
      </c>
      <c r="F480">
        <v>1</v>
      </c>
      <c r="G480" t="s">
        <v>7798</v>
      </c>
      <c r="H480" t="s">
        <v>8996</v>
      </c>
      <c r="K480" s="5">
        <v>45274</v>
      </c>
      <c r="L480" s="5">
        <v>45473</v>
      </c>
      <c r="M480" s="5">
        <v>45473</v>
      </c>
      <c r="N480">
        <v>0</v>
      </c>
      <c r="O480" t="s">
        <v>10338</v>
      </c>
    </row>
    <row r="481" spans="1:15" x14ac:dyDescent="0.25">
      <c r="A481">
        <v>223</v>
      </c>
      <c r="B481">
        <v>2</v>
      </c>
      <c r="C481">
        <v>240</v>
      </c>
      <c r="D481">
        <v>1</v>
      </c>
      <c r="E481">
        <v>1</v>
      </c>
      <c r="F481">
        <v>1</v>
      </c>
      <c r="G481" t="s">
        <v>7647</v>
      </c>
      <c r="H481" t="s">
        <v>8996</v>
      </c>
      <c r="I481" t="s">
        <v>4349</v>
      </c>
      <c r="J481" t="s">
        <v>9020</v>
      </c>
      <c r="K481" s="5">
        <v>45292</v>
      </c>
      <c r="L481" s="5" t="s">
        <v>4312</v>
      </c>
      <c r="M481" s="5">
        <v>46022</v>
      </c>
      <c r="N481">
        <v>1</v>
      </c>
      <c r="O481" t="s">
        <v>10734</v>
      </c>
    </row>
    <row r="482" spans="1:15" x14ac:dyDescent="0.25">
      <c r="A482">
        <v>428</v>
      </c>
      <c r="B482">
        <v>5</v>
      </c>
      <c r="C482">
        <v>74</v>
      </c>
      <c r="D482">
        <v>1</v>
      </c>
      <c r="E482">
        <v>1</v>
      </c>
      <c r="F482">
        <v>1</v>
      </c>
      <c r="G482" t="s">
        <v>7799</v>
      </c>
      <c r="H482" t="s">
        <v>8996</v>
      </c>
      <c r="K482" s="5">
        <v>45293</v>
      </c>
      <c r="L482" s="5">
        <v>45585</v>
      </c>
      <c r="M482" s="5">
        <v>45626</v>
      </c>
      <c r="N482">
        <v>0</v>
      </c>
      <c r="O482" t="s">
        <v>10339</v>
      </c>
    </row>
    <row r="483" spans="1:15" x14ac:dyDescent="0.25">
      <c r="A483">
        <v>429</v>
      </c>
      <c r="B483">
        <v>5</v>
      </c>
      <c r="C483">
        <v>92</v>
      </c>
      <c r="D483">
        <v>5</v>
      </c>
      <c r="E483">
        <v>1</v>
      </c>
      <c r="F483">
        <v>1</v>
      </c>
      <c r="G483" t="s">
        <v>7800</v>
      </c>
      <c r="H483" t="s">
        <v>8996</v>
      </c>
      <c r="K483" s="5">
        <v>45293</v>
      </c>
      <c r="L483" s="5">
        <v>45481</v>
      </c>
      <c r="M483" s="5">
        <v>45657</v>
      </c>
      <c r="N483">
        <v>0</v>
      </c>
      <c r="O483" t="s">
        <v>10340</v>
      </c>
    </row>
    <row r="484" spans="1:15" x14ac:dyDescent="0.25">
      <c r="A484">
        <v>430</v>
      </c>
      <c r="B484">
        <v>2</v>
      </c>
      <c r="C484">
        <v>5</v>
      </c>
      <c r="D484">
        <v>2</v>
      </c>
      <c r="E484">
        <v>1</v>
      </c>
      <c r="F484">
        <v>1</v>
      </c>
      <c r="G484" t="s">
        <v>7801</v>
      </c>
      <c r="H484" t="s">
        <v>8995</v>
      </c>
      <c r="I484" t="s">
        <v>4349</v>
      </c>
      <c r="J484" t="s">
        <v>9020</v>
      </c>
      <c r="K484" s="5">
        <v>45293</v>
      </c>
      <c r="L484" s="5">
        <v>45921</v>
      </c>
      <c r="M484" s="5">
        <v>45930</v>
      </c>
      <c r="N484">
        <v>0</v>
      </c>
      <c r="O484" t="s">
        <v>10341</v>
      </c>
    </row>
    <row r="485" spans="1:15" x14ac:dyDescent="0.25">
      <c r="A485">
        <v>431</v>
      </c>
      <c r="B485">
        <v>4</v>
      </c>
      <c r="C485">
        <v>64</v>
      </c>
      <c r="D485">
        <v>1</v>
      </c>
      <c r="E485">
        <v>1</v>
      </c>
      <c r="F485">
        <v>1</v>
      </c>
      <c r="H485" t="s">
        <v>8996</v>
      </c>
      <c r="K485" s="5">
        <v>45294</v>
      </c>
      <c r="L485" s="5">
        <v>45509</v>
      </c>
      <c r="M485" s="5" t="s">
        <v>4312</v>
      </c>
      <c r="N485">
        <v>0</v>
      </c>
      <c r="O485" t="s">
        <v>10735</v>
      </c>
    </row>
    <row r="486" spans="1:15" x14ac:dyDescent="0.25">
      <c r="A486">
        <v>432</v>
      </c>
      <c r="B486">
        <v>2</v>
      </c>
      <c r="C486">
        <v>107</v>
      </c>
      <c r="D486">
        <v>1</v>
      </c>
      <c r="E486">
        <v>1</v>
      </c>
      <c r="F486">
        <v>1</v>
      </c>
      <c r="G486" t="s">
        <v>7802</v>
      </c>
      <c r="H486" t="s">
        <v>8996</v>
      </c>
      <c r="I486" t="s">
        <v>4348</v>
      </c>
      <c r="J486" t="s">
        <v>9020</v>
      </c>
      <c r="K486" s="5">
        <v>45295</v>
      </c>
      <c r="L486" s="5" t="s">
        <v>4312</v>
      </c>
      <c r="M486" s="5">
        <v>46142</v>
      </c>
      <c r="N486">
        <v>1</v>
      </c>
      <c r="O486" t="s">
        <v>10736</v>
      </c>
    </row>
    <row r="487" spans="1:15" x14ac:dyDescent="0.25">
      <c r="A487">
        <v>433</v>
      </c>
      <c r="B487">
        <v>4</v>
      </c>
      <c r="C487">
        <v>160</v>
      </c>
      <c r="D487">
        <v>2</v>
      </c>
      <c r="E487">
        <v>38</v>
      </c>
      <c r="F487">
        <v>49</v>
      </c>
      <c r="G487" t="s">
        <v>7803</v>
      </c>
      <c r="H487" t="s">
        <v>8996</v>
      </c>
      <c r="I487" t="s">
        <v>4349</v>
      </c>
      <c r="K487" s="5">
        <v>45299</v>
      </c>
      <c r="L487" s="5">
        <v>45535</v>
      </c>
      <c r="M487" s="5" t="s">
        <v>4312</v>
      </c>
      <c r="N487">
        <v>0</v>
      </c>
      <c r="O487" t="s">
        <v>10737</v>
      </c>
    </row>
    <row r="488" spans="1:15" x14ac:dyDescent="0.25">
      <c r="A488">
        <v>434</v>
      </c>
      <c r="B488">
        <v>4</v>
      </c>
      <c r="C488">
        <v>161</v>
      </c>
      <c r="D488">
        <v>1</v>
      </c>
      <c r="E488">
        <v>38</v>
      </c>
      <c r="F488">
        <v>49</v>
      </c>
      <c r="G488" t="s">
        <v>7804</v>
      </c>
      <c r="H488" t="s">
        <v>8996</v>
      </c>
      <c r="I488" t="s">
        <v>4349</v>
      </c>
      <c r="K488" s="5">
        <v>45299</v>
      </c>
      <c r="L488" s="5">
        <v>45808</v>
      </c>
      <c r="M488" s="5" t="s">
        <v>4312</v>
      </c>
      <c r="N488">
        <v>0</v>
      </c>
      <c r="O488" t="s">
        <v>10738</v>
      </c>
    </row>
    <row r="489" spans="1:15" x14ac:dyDescent="0.25">
      <c r="A489">
        <v>435</v>
      </c>
      <c r="B489">
        <v>4</v>
      </c>
      <c r="C489">
        <v>161</v>
      </c>
      <c r="D489">
        <v>2</v>
      </c>
      <c r="E489">
        <v>38</v>
      </c>
      <c r="F489">
        <v>49</v>
      </c>
      <c r="G489" t="s">
        <v>7805</v>
      </c>
      <c r="H489" t="s">
        <v>8996</v>
      </c>
      <c r="I489" t="s">
        <v>4349</v>
      </c>
      <c r="K489" s="5">
        <v>45299</v>
      </c>
      <c r="L489" s="5">
        <v>45535</v>
      </c>
      <c r="M489" s="5" t="s">
        <v>4312</v>
      </c>
      <c r="N489">
        <v>0</v>
      </c>
      <c r="O489" t="s">
        <v>10739</v>
      </c>
    </row>
    <row r="490" spans="1:15" x14ac:dyDescent="0.25">
      <c r="A490">
        <v>436</v>
      </c>
      <c r="B490">
        <v>3</v>
      </c>
      <c r="C490">
        <v>150</v>
      </c>
      <c r="D490">
        <v>1</v>
      </c>
      <c r="E490">
        <v>36</v>
      </c>
      <c r="F490">
        <v>21</v>
      </c>
      <c r="G490" t="s">
        <v>7806</v>
      </c>
      <c r="H490" t="s">
        <v>8996</v>
      </c>
      <c r="K490" s="5">
        <v>45301</v>
      </c>
      <c r="L490" s="5">
        <v>45358</v>
      </c>
      <c r="M490" s="5">
        <v>45412</v>
      </c>
      <c r="N490">
        <v>0</v>
      </c>
      <c r="O490" t="s">
        <v>10342</v>
      </c>
    </row>
    <row r="491" spans="1:15" x14ac:dyDescent="0.25">
      <c r="A491">
        <v>437</v>
      </c>
      <c r="B491">
        <v>3</v>
      </c>
      <c r="C491">
        <v>138</v>
      </c>
      <c r="D491">
        <v>1</v>
      </c>
      <c r="E491">
        <v>36</v>
      </c>
      <c r="F491">
        <v>21</v>
      </c>
      <c r="G491" t="s">
        <v>7807</v>
      </c>
      <c r="H491" t="s">
        <v>8996</v>
      </c>
      <c r="K491" s="5">
        <v>45307</v>
      </c>
      <c r="L491" s="5">
        <v>45550</v>
      </c>
      <c r="M491" s="5">
        <v>45596</v>
      </c>
      <c r="N491">
        <v>0</v>
      </c>
      <c r="O491" t="s">
        <v>10343</v>
      </c>
    </row>
    <row r="492" spans="1:15" x14ac:dyDescent="0.25">
      <c r="A492">
        <v>438</v>
      </c>
      <c r="B492">
        <v>6</v>
      </c>
      <c r="C492">
        <v>72</v>
      </c>
      <c r="D492">
        <v>1</v>
      </c>
      <c r="E492">
        <v>1</v>
      </c>
      <c r="F492">
        <v>1</v>
      </c>
      <c r="G492" t="s">
        <v>7808</v>
      </c>
      <c r="H492" t="s">
        <v>8996</v>
      </c>
      <c r="K492" s="5">
        <v>45309</v>
      </c>
      <c r="L492" s="5">
        <v>45504</v>
      </c>
      <c r="M492" s="5">
        <v>45504</v>
      </c>
      <c r="N492">
        <v>0</v>
      </c>
      <c r="O492" t="s">
        <v>10344</v>
      </c>
    </row>
    <row r="493" spans="1:15" x14ac:dyDescent="0.25">
      <c r="A493">
        <v>368</v>
      </c>
      <c r="B493">
        <v>3</v>
      </c>
      <c r="C493">
        <v>212</v>
      </c>
      <c r="D493">
        <v>1</v>
      </c>
      <c r="E493">
        <v>36</v>
      </c>
      <c r="F493">
        <v>21</v>
      </c>
      <c r="G493" t="s">
        <v>7734</v>
      </c>
      <c r="H493" t="s">
        <v>8996</v>
      </c>
      <c r="I493" t="s">
        <v>4349</v>
      </c>
      <c r="J493" t="s">
        <v>9021</v>
      </c>
      <c r="K493" s="5">
        <v>45323</v>
      </c>
      <c r="L493" s="5" t="s">
        <v>4312</v>
      </c>
      <c r="M493" s="5">
        <v>46081</v>
      </c>
      <c r="N493">
        <v>1</v>
      </c>
      <c r="O493" t="s">
        <v>10740</v>
      </c>
    </row>
    <row r="494" spans="1:15" x14ac:dyDescent="0.25">
      <c r="A494">
        <v>439</v>
      </c>
      <c r="B494">
        <v>2</v>
      </c>
      <c r="C494">
        <v>25</v>
      </c>
      <c r="D494">
        <v>1</v>
      </c>
      <c r="E494">
        <v>1</v>
      </c>
      <c r="F494">
        <v>1</v>
      </c>
      <c r="G494" t="s">
        <v>7809</v>
      </c>
      <c r="H494" t="s">
        <v>8996</v>
      </c>
      <c r="I494" t="s">
        <v>4348</v>
      </c>
      <c r="K494" s="5">
        <v>45323</v>
      </c>
      <c r="L494" s="5">
        <v>45825</v>
      </c>
      <c r="M494" s="5">
        <v>45869</v>
      </c>
      <c r="N494">
        <v>0</v>
      </c>
      <c r="O494" t="s">
        <v>10345</v>
      </c>
    </row>
    <row r="495" spans="1:15" x14ac:dyDescent="0.25">
      <c r="A495">
        <v>440</v>
      </c>
      <c r="B495">
        <v>4</v>
      </c>
      <c r="C495">
        <v>161</v>
      </c>
      <c r="D495">
        <v>1</v>
      </c>
      <c r="E495">
        <v>38</v>
      </c>
      <c r="F495">
        <v>49</v>
      </c>
      <c r="G495" t="s">
        <v>7810</v>
      </c>
      <c r="H495" t="s">
        <v>8996</v>
      </c>
      <c r="K495" s="5">
        <v>45323</v>
      </c>
      <c r="L495" s="5">
        <v>45525</v>
      </c>
      <c r="M495" s="5" t="s">
        <v>4312</v>
      </c>
      <c r="N495">
        <v>0</v>
      </c>
      <c r="O495" t="s">
        <v>10741</v>
      </c>
    </row>
    <row r="496" spans="1:15" x14ac:dyDescent="0.25">
      <c r="A496">
        <v>441</v>
      </c>
      <c r="B496">
        <v>5</v>
      </c>
      <c r="C496">
        <v>85</v>
      </c>
      <c r="D496">
        <v>1</v>
      </c>
      <c r="E496">
        <v>1</v>
      </c>
      <c r="F496">
        <v>1</v>
      </c>
      <c r="G496" t="s">
        <v>7811</v>
      </c>
      <c r="H496" t="s">
        <v>8996</v>
      </c>
      <c r="I496" t="s">
        <v>4349</v>
      </c>
      <c r="K496" s="5">
        <v>45323</v>
      </c>
      <c r="L496" s="5">
        <v>45688</v>
      </c>
      <c r="M496" s="5">
        <v>45688</v>
      </c>
      <c r="N496">
        <v>0</v>
      </c>
      <c r="O496" t="s">
        <v>10346</v>
      </c>
    </row>
    <row r="497" spans="1:15" x14ac:dyDescent="0.25">
      <c r="A497">
        <v>442</v>
      </c>
      <c r="B497">
        <v>5</v>
      </c>
      <c r="C497">
        <v>71</v>
      </c>
      <c r="D497">
        <v>4</v>
      </c>
      <c r="E497">
        <v>1</v>
      </c>
      <c r="F497">
        <v>1</v>
      </c>
      <c r="G497" t="s">
        <v>7812</v>
      </c>
      <c r="H497" t="s">
        <v>8996</v>
      </c>
      <c r="I497" t="s">
        <v>4349</v>
      </c>
      <c r="K497" s="5">
        <v>45323</v>
      </c>
      <c r="L497" s="5">
        <v>45688</v>
      </c>
      <c r="M497" s="5">
        <v>45688</v>
      </c>
      <c r="N497">
        <v>0</v>
      </c>
      <c r="O497" t="s">
        <v>10347</v>
      </c>
    </row>
    <row r="498" spans="1:15" x14ac:dyDescent="0.25">
      <c r="A498">
        <v>443</v>
      </c>
      <c r="B498">
        <v>2</v>
      </c>
      <c r="C498">
        <v>237</v>
      </c>
      <c r="D498">
        <v>1</v>
      </c>
      <c r="E498">
        <v>1</v>
      </c>
      <c r="F498">
        <v>1</v>
      </c>
      <c r="G498" t="s">
        <v>7813</v>
      </c>
      <c r="H498" t="s">
        <v>8996</v>
      </c>
      <c r="I498" t="s">
        <v>4349</v>
      </c>
      <c r="J498" t="s">
        <v>9020</v>
      </c>
      <c r="K498" s="5">
        <v>45327</v>
      </c>
      <c r="L498" s="5" t="s">
        <v>4312</v>
      </c>
      <c r="M498" s="5">
        <v>46022</v>
      </c>
      <c r="N498">
        <v>1</v>
      </c>
      <c r="O498" t="s">
        <v>10742</v>
      </c>
    </row>
    <row r="499" spans="1:15" x14ac:dyDescent="0.25">
      <c r="A499">
        <v>444</v>
      </c>
      <c r="B499">
        <v>4</v>
      </c>
      <c r="C499">
        <v>161</v>
      </c>
      <c r="D499">
        <v>1</v>
      </c>
      <c r="E499">
        <v>38</v>
      </c>
      <c r="F499">
        <v>49</v>
      </c>
      <c r="G499" t="s">
        <v>7814</v>
      </c>
      <c r="H499" t="s">
        <v>8996</v>
      </c>
      <c r="K499" s="5">
        <v>45327</v>
      </c>
      <c r="L499" s="5">
        <v>45562</v>
      </c>
      <c r="M499" s="5" t="s">
        <v>4312</v>
      </c>
      <c r="N499">
        <v>0</v>
      </c>
      <c r="O499" t="s">
        <v>10743</v>
      </c>
    </row>
    <row r="500" spans="1:15" x14ac:dyDescent="0.25">
      <c r="A500">
        <v>445</v>
      </c>
      <c r="B500">
        <v>4</v>
      </c>
      <c r="C500">
        <v>161</v>
      </c>
      <c r="D500">
        <v>1</v>
      </c>
      <c r="E500">
        <v>38</v>
      </c>
      <c r="F500">
        <v>49</v>
      </c>
      <c r="G500" t="s">
        <v>7815</v>
      </c>
      <c r="H500" t="s">
        <v>8996</v>
      </c>
      <c r="I500" t="s">
        <v>4349</v>
      </c>
      <c r="K500" s="5">
        <v>45327</v>
      </c>
      <c r="L500" s="5">
        <v>45808</v>
      </c>
      <c r="M500" s="5" t="s">
        <v>4312</v>
      </c>
      <c r="N500">
        <v>0</v>
      </c>
      <c r="O500" t="s">
        <v>10744</v>
      </c>
    </row>
    <row r="501" spans="1:15" x14ac:dyDescent="0.25">
      <c r="A501">
        <v>245</v>
      </c>
      <c r="B501">
        <v>2</v>
      </c>
      <c r="C501">
        <v>168</v>
      </c>
      <c r="D501">
        <v>3</v>
      </c>
      <c r="E501">
        <v>38</v>
      </c>
      <c r="F501">
        <v>49</v>
      </c>
      <c r="G501" t="s">
        <v>7816</v>
      </c>
      <c r="H501" t="s">
        <v>8996</v>
      </c>
      <c r="I501" t="s">
        <v>4349</v>
      </c>
      <c r="J501" t="s">
        <v>9020</v>
      </c>
      <c r="K501" s="5">
        <v>45334</v>
      </c>
      <c r="L501" s="5">
        <v>45784</v>
      </c>
      <c r="M501" s="5">
        <v>45900</v>
      </c>
      <c r="N501">
        <v>0</v>
      </c>
      <c r="O501" t="s">
        <v>10348</v>
      </c>
    </row>
    <row r="502" spans="1:15" x14ac:dyDescent="0.25">
      <c r="A502">
        <v>446</v>
      </c>
      <c r="B502">
        <v>3</v>
      </c>
      <c r="C502">
        <v>138</v>
      </c>
      <c r="D502">
        <v>1</v>
      </c>
      <c r="E502">
        <v>36</v>
      </c>
      <c r="F502">
        <v>21</v>
      </c>
      <c r="G502" t="s">
        <v>7817</v>
      </c>
      <c r="H502" t="s">
        <v>8996</v>
      </c>
      <c r="K502" s="5">
        <v>45334</v>
      </c>
      <c r="L502" s="5">
        <v>45596</v>
      </c>
      <c r="M502" s="5">
        <v>45626</v>
      </c>
      <c r="N502">
        <v>0</v>
      </c>
      <c r="O502" t="s">
        <v>10349</v>
      </c>
    </row>
    <row r="503" spans="1:15" x14ac:dyDescent="0.25">
      <c r="A503">
        <v>447</v>
      </c>
      <c r="B503">
        <v>4</v>
      </c>
      <c r="C503">
        <v>249</v>
      </c>
      <c r="D503">
        <v>3</v>
      </c>
      <c r="E503">
        <v>38</v>
      </c>
      <c r="F503">
        <v>49</v>
      </c>
      <c r="H503" t="s">
        <v>8996</v>
      </c>
      <c r="K503" s="5">
        <v>45334</v>
      </c>
      <c r="L503" s="5">
        <v>45404</v>
      </c>
      <c r="M503" s="5" t="s">
        <v>4312</v>
      </c>
      <c r="N503">
        <v>0</v>
      </c>
      <c r="O503" t="s">
        <v>10745</v>
      </c>
    </row>
    <row r="504" spans="1:15" x14ac:dyDescent="0.25">
      <c r="A504">
        <v>448</v>
      </c>
      <c r="B504">
        <v>2</v>
      </c>
      <c r="C504">
        <v>175</v>
      </c>
      <c r="D504">
        <v>3</v>
      </c>
      <c r="E504">
        <v>1</v>
      </c>
      <c r="F504">
        <v>1</v>
      </c>
      <c r="G504" t="s">
        <v>7818</v>
      </c>
      <c r="H504" t="s">
        <v>8995</v>
      </c>
      <c r="K504" s="5">
        <v>45334</v>
      </c>
      <c r="L504" s="5">
        <v>45504</v>
      </c>
      <c r="M504" s="5">
        <v>45626</v>
      </c>
      <c r="N504">
        <v>0</v>
      </c>
      <c r="O504" t="s">
        <v>10350</v>
      </c>
    </row>
    <row r="505" spans="1:15" x14ac:dyDescent="0.25">
      <c r="A505">
        <v>449</v>
      </c>
      <c r="B505">
        <v>3</v>
      </c>
      <c r="C505">
        <v>157</v>
      </c>
      <c r="D505">
        <v>2</v>
      </c>
      <c r="E505">
        <v>23</v>
      </c>
      <c r="F505">
        <v>24</v>
      </c>
      <c r="G505" t="s">
        <v>7819</v>
      </c>
      <c r="H505" t="s">
        <v>8996</v>
      </c>
      <c r="I505" t="s">
        <v>4349</v>
      </c>
      <c r="J505" t="s">
        <v>9027</v>
      </c>
      <c r="K505" s="5">
        <v>45337</v>
      </c>
      <c r="L505" s="5" t="s">
        <v>4312</v>
      </c>
      <c r="M505" s="5">
        <v>45991</v>
      </c>
      <c r="N505">
        <v>1</v>
      </c>
      <c r="O505" t="s">
        <v>10746</v>
      </c>
    </row>
    <row r="506" spans="1:15" x14ac:dyDescent="0.25">
      <c r="A506">
        <v>450</v>
      </c>
      <c r="B506">
        <v>2</v>
      </c>
      <c r="C506">
        <v>197</v>
      </c>
      <c r="D506">
        <v>1</v>
      </c>
      <c r="E506">
        <v>1</v>
      </c>
      <c r="F506">
        <v>1</v>
      </c>
      <c r="G506" t="s">
        <v>7820</v>
      </c>
      <c r="H506" t="s">
        <v>8996</v>
      </c>
      <c r="I506" t="s">
        <v>4349</v>
      </c>
      <c r="J506" t="s">
        <v>9020</v>
      </c>
      <c r="K506" s="5">
        <v>45337</v>
      </c>
      <c r="L506" s="5" t="s">
        <v>4312</v>
      </c>
      <c r="M506" s="5">
        <v>45991</v>
      </c>
      <c r="N506">
        <v>1</v>
      </c>
      <c r="O506" t="s">
        <v>10747</v>
      </c>
    </row>
    <row r="507" spans="1:15" x14ac:dyDescent="0.25">
      <c r="A507">
        <v>451</v>
      </c>
      <c r="B507">
        <v>7</v>
      </c>
      <c r="C507">
        <v>178</v>
      </c>
      <c r="D507">
        <v>5</v>
      </c>
      <c r="E507">
        <v>1</v>
      </c>
      <c r="F507">
        <v>1</v>
      </c>
      <c r="G507" t="s">
        <v>7821</v>
      </c>
      <c r="H507" t="s">
        <v>8996</v>
      </c>
      <c r="K507" s="5">
        <v>45337</v>
      </c>
      <c r="L507" s="5">
        <v>45446</v>
      </c>
      <c r="M507" s="5">
        <v>45626</v>
      </c>
      <c r="N507">
        <v>0</v>
      </c>
      <c r="O507" t="s">
        <v>10351</v>
      </c>
    </row>
    <row r="508" spans="1:15" x14ac:dyDescent="0.25">
      <c r="A508">
        <v>452</v>
      </c>
      <c r="B508">
        <v>4</v>
      </c>
      <c r="C508">
        <v>161</v>
      </c>
      <c r="D508">
        <v>2</v>
      </c>
      <c r="E508">
        <v>38</v>
      </c>
      <c r="F508">
        <v>49</v>
      </c>
      <c r="G508" t="s">
        <v>7822</v>
      </c>
      <c r="H508" t="s">
        <v>8996</v>
      </c>
      <c r="I508" t="s">
        <v>4349</v>
      </c>
      <c r="K508" s="5">
        <v>45337</v>
      </c>
      <c r="L508" s="5">
        <v>45535</v>
      </c>
      <c r="M508" s="5" t="s">
        <v>4312</v>
      </c>
      <c r="N508">
        <v>0</v>
      </c>
      <c r="O508" t="s">
        <v>10748</v>
      </c>
    </row>
    <row r="509" spans="1:15" x14ac:dyDescent="0.25">
      <c r="A509">
        <v>299</v>
      </c>
      <c r="B509">
        <v>2</v>
      </c>
      <c r="C509">
        <v>206</v>
      </c>
      <c r="D509">
        <v>1</v>
      </c>
      <c r="E509">
        <v>1</v>
      </c>
      <c r="F509">
        <v>1</v>
      </c>
      <c r="G509" t="s">
        <v>7683</v>
      </c>
      <c r="H509" t="s">
        <v>8996</v>
      </c>
      <c r="I509" t="s">
        <v>4349</v>
      </c>
      <c r="J509" t="s">
        <v>9020</v>
      </c>
      <c r="K509" s="5">
        <v>45357</v>
      </c>
      <c r="L509" s="5" t="s">
        <v>4312</v>
      </c>
      <c r="M509" s="5">
        <v>46081</v>
      </c>
      <c r="N509">
        <v>1</v>
      </c>
      <c r="O509" t="s">
        <v>10749</v>
      </c>
    </row>
    <row r="510" spans="1:15" x14ac:dyDescent="0.25">
      <c r="A510">
        <v>453</v>
      </c>
      <c r="B510">
        <v>3</v>
      </c>
      <c r="C510">
        <v>164</v>
      </c>
      <c r="D510">
        <v>1</v>
      </c>
      <c r="E510">
        <v>36</v>
      </c>
      <c r="F510">
        <v>21</v>
      </c>
      <c r="G510" t="s">
        <v>7823</v>
      </c>
      <c r="H510" t="s">
        <v>8996</v>
      </c>
      <c r="I510" t="s">
        <v>4349</v>
      </c>
      <c r="J510" t="s">
        <v>9021</v>
      </c>
      <c r="K510" s="5">
        <v>45362</v>
      </c>
      <c r="L510" s="5" t="s">
        <v>4312</v>
      </c>
      <c r="M510" s="5">
        <v>46022</v>
      </c>
      <c r="N510">
        <v>1</v>
      </c>
      <c r="O510" t="s">
        <v>10750</v>
      </c>
    </row>
    <row r="511" spans="1:15" x14ac:dyDescent="0.25">
      <c r="A511">
        <v>454</v>
      </c>
      <c r="B511">
        <v>2</v>
      </c>
      <c r="C511">
        <v>184</v>
      </c>
      <c r="D511">
        <v>1</v>
      </c>
      <c r="E511">
        <v>1</v>
      </c>
      <c r="F511">
        <v>1</v>
      </c>
      <c r="G511" t="s">
        <v>7824</v>
      </c>
      <c r="H511" t="s">
        <v>8996</v>
      </c>
      <c r="K511" s="5">
        <v>45362</v>
      </c>
      <c r="L511" s="5">
        <v>45545</v>
      </c>
      <c r="M511" s="5">
        <v>45565</v>
      </c>
      <c r="N511">
        <v>0</v>
      </c>
      <c r="O511" t="s">
        <v>10352</v>
      </c>
    </row>
    <row r="512" spans="1:15" x14ac:dyDescent="0.25">
      <c r="A512">
        <v>455</v>
      </c>
      <c r="B512">
        <v>2</v>
      </c>
      <c r="C512">
        <v>27</v>
      </c>
      <c r="D512">
        <v>1</v>
      </c>
      <c r="E512">
        <v>1</v>
      </c>
      <c r="F512">
        <v>1</v>
      </c>
      <c r="G512" t="s">
        <v>7825</v>
      </c>
      <c r="H512" t="s">
        <v>8996</v>
      </c>
      <c r="K512" s="5">
        <v>45362</v>
      </c>
      <c r="L512" s="5">
        <v>45428</v>
      </c>
      <c r="M512" s="5">
        <v>45473</v>
      </c>
      <c r="N512">
        <v>0</v>
      </c>
      <c r="O512" t="s">
        <v>10353</v>
      </c>
    </row>
    <row r="513" spans="1:15" x14ac:dyDescent="0.25">
      <c r="A513">
        <v>456</v>
      </c>
      <c r="B513">
        <v>3</v>
      </c>
      <c r="C513">
        <v>154</v>
      </c>
      <c r="D513">
        <v>1</v>
      </c>
      <c r="E513">
        <v>31</v>
      </c>
      <c r="F513">
        <v>33</v>
      </c>
      <c r="G513" t="s">
        <v>7826</v>
      </c>
      <c r="H513" t="s">
        <v>8996</v>
      </c>
      <c r="K513" s="5">
        <v>45370</v>
      </c>
      <c r="L513" s="5">
        <v>45473</v>
      </c>
      <c r="M513" s="5">
        <v>45565</v>
      </c>
      <c r="N513">
        <v>0</v>
      </c>
      <c r="O513" t="s">
        <v>10354</v>
      </c>
    </row>
    <row r="514" spans="1:15" x14ac:dyDescent="0.25">
      <c r="A514">
        <v>457</v>
      </c>
      <c r="B514">
        <v>2</v>
      </c>
      <c r="C514">
        <v>175</v>
      </c>
      <c r="D514">
        <v>3</v>
      </c>
      <c r="E514">
        <v>1</v>
      </c>
      <c r="F514">
        <v>1</v>
      </c>
      <c r="G514" t="s">
        <v>7827</v>
      </c>
      <c r="H514" t="s">
        <v>8995</v>
      </c>
      <c r="I514" t="s">
        <v>4349</v>
      </c>
      <c r="J514" t="s">
        <v>9020</v>
      </c>
      <c r="K514" s="5">
        <v>45376</v>
      </c>
      <c r="L514" s="5" t="s">
        <v>4312</v>
      </c>
      <c r="M514" s="5">
        <v>46053</v>
      </c>
      <c r="N514">
        <v>1</v>
      </c>
      <c r="O514" t="s">
        <v>10751</v>
      </c>
    </row>
    <row r="515" spans="1:15" x14ac:dyDescent="0.25">
      <c r="A515">
        <v>458</v>
      </c>
      <c r="B515">
        <v>2</v>
      </c>
      <c r="C515">
        <v>193</v>
      </c>
      <c r="D515">
        <v>1</v>
      </c>
      <c r="E515">
        <v>1</v>
      </c>
      <c r="F515">
        <v>1</v>
      </c>
      <c r="G515" t="s">
        <v>7828</v>
      </c>
      <c r="H515" t="s">
        <v>8996</v>
      </c>
      <c r="K515" s="5">
        <v>45383</v>
      </c>
      <c r="L515" s="5">
        <v>45596</v>
      </c>
      <c r="M515" s="5">
        <v>45657</v>
      </c>
      <c r="N515">
        <v>0</v>
      </c>
      <c r="O515" t="s">
        <v>10355</v>
      </c>
    </row>
    <row r="516" spans="1:15" x14ac:dyDescent="0.25">
      <c r="A516">
        <v>374</v>
      </c>
      <c r="B516">
        <v>2</v>
      </c>
      <c r="C516">
        <v>205</v>
      </c>
      <c r="D516">
        <v>1</v>
      </c>
      <c r="E516">
        <v>1</v>
      </c>
      <c r="F516">
        <v>1</v>
      </c>
      <c r="G516" t="s">
        <v>7829</v>
      </c>
      <c r="H516" t="s">
        <v>8996</v>
      </c>
      <c r="J516" t="s">
        <v>9020</v>
      </c>
      <c r="K516" s="5">
        <v>45383</v>
      </c>
      <c r="L516" s="5">
        <v>45565</v>
      </c>
      <c r="M516" s="5">
        <v>45596</v>
      </c>
      <c r="N516">
        <v>0</v>
      </c>
      <c r="O516" t="s">
        <v>10356</v>
      </c>
    </row>
    <row r="517" spans="1:15" x14ac:dyDescent="0.25">
      <c r="A517">
        <v>459</v>
      </c>
      <c r="B517">
        <v>4</v>
      </c>
      <c r="C517">
        <v>161</v>
      </c>
      <c r="D517">
        <v>4</v>
      </c>
      <c r="E517">
        <v>38</v>
      </c>
      <c r="F517">
        <v>49</v>
      </c>
      <c r="G517" t="s">
        <v>7830</v>
      </c>
      <c r="H517" t="s">
        <v>8996</v>
      </c>
      <c r="I517" t="s">
        <v>4349</v>
      </c>
      <c r="K517" s="5">
        <v>45383</v>
      </c>
      <c r="L517" s="5">
        <v>45709</v>
      </c>
      <c r="M517" s="5" t="s">
        <v>4312</v>
      </c>
      <c r="N517">
        <v>0</v>
      </c>
      <c r="O517" t="s">
        <v>10752</v>
      </c>
    </row>
    <row r="518" spans="1:15" x14ac:dyDescent="0.25">
      <c r="A518">
        <v>460</v>
      </c>
      <c r="B518">
        <v>2</v>
      </c>
      <c r="C518">
        <v>212</v>
      </c>
      <c r="D518">
        <v>1</v>
      </c>
      <c r="E518">
        <v>1</v>
      </c>
      <c r="F518">
        <v>1</v>
      </c>
      <c r="G518" t="s">
        <v>7831</v>
      </c>
      <c r="H518" t="s">
        <v>8996</v>
      </c>
      <c r="I518" t="s">
        <v>4349</v>
      </c>
      <c r="J518" t="s">
        <v>9020</v>
      </c>
      <c r="K518" s="5">
        <v>45693</v>
      </c>
      <c r="L518" s="5">
        <v>45968</v>
      </c>
      <c r="M518" s="5">
        <v>46081</v>
      </c>
      <c r="N518">
        <v>0</v>
      </c>
      <c r="O518" t="s">
        <v>10357</v>
      </c>
    </row>
    <row r="519" spans="1:15" x14ac:dyDescent="0.25">
      <c r="A519">
        <v>461</v>
      </c>
      <c r="B519">
        <v>3</v>
      </c>
      <c r="C519">
        <v>154</v>
      </c>
      <c r="D519">
        <v>1</v>
      </c>
      <c r="E519">
        <v>34</v>
      </c>
      <c r="F519">
        <v>43</v>
      </c>
      <c r="G519" t="s">
        <v>7832</v>
      </c>
      <c r="H519" t="s">
        <v>8996</v>
      </c>
      <c r="I519" t="s">
        <v>4349</v>
      </c>
      <c r="K519" s="5">
        <v>45385</v>
      </c>
      <c r="L519" s="5">
        <v>45930</v>
      </c>
      <c r="M519" s="5">
        <v>45961</v>
      </c>
      <c r="N519">
        <v>0</v>
      </c>
      <c r="O519" t="s">
        <v>10358</v>
      </c>
    </row>
    <row r="520" spans="1:15" x14ac:dyDescent="0.25">
      <c r="A520">
        <v>462</v>
      </c>
      <c r="B520">
        <v>3</v>
      </c>
      <c r="C520">
        <v>154</v>
      </c>
      <c r="D520">
        <v>2</v>
      </c>
      <c r="E520">
        <v>33</v>
      </c>
      <c r="F520">
        <v>36</v>
      </c>
      <c r="G520" t="s">
        <v>7833</v>
      </c>
      <c r="H520" t="s">
        <v>8996</v>
      </c>
      <c r="I520" t="s">
        <v>4349</v>
      </c>
      <c r="K520" s="5">
        <v>45386</v>
      </c>
      <c r="L520" s="5">
        <v>45911</v>
      </c>
      <c r="M520" s="5">
        <v>45961</v>
      </c>
      <c r="N520">
        <v>0</v>
      </c>
      <c r="O520" t="s">
        <v>10359</v>
      </c>
    </row>
    <row r="521" spans="1:15" x14ac:dyDescent="0.25">
      <c r="A521">
        <v>463</v>
      </c>
      <c r="B521">
        <v>3</v>
      </c>
      <c r="C521">
        <v>154</v>
      </c>
      <c r="D521">
        <v>2</v>
      </c>
      <c r="E521">
        <v>27</v>
      </c>
      <c r="F521">
        <v>28</v>
      </c>
      <c r="G521" t="s">
        <v>7834</v>
      </c>
      <c r="H521" t="s">
        <v>8996</v>
      </c>
      <c r="K521" s="5">
        <v>45392</v>
      </c>
      <c r="L521" s="5">
        <v>45499</v>
      </c>
      <c r="M521" s="5">
        <v>45596</v>
      </c>
      <c r="N521">
        <v>0</v>
      </c>
      <c r="O521" t="s">
        <v>10360</v>
      </c>
    </row>
    <row r="522" spans="1:15" x14ac:dyDescent="0.25">
      <c r="A522">
        <v>464</v>
      </c>
      <c r="B522">
        <v>3</v>
      </c>
      <c r="C522">
        <v>154</v>
      </c>
      <c r="D522">
        <v>1</v>
      </c>
      <c r="E522">
        <v>31</v>
      </c>
      <c r="F522">
        <v>6</v>
      </c>
      <c r="G522" t="s">
        <v>7835</v>
      </c>
      <c r="H522" t="s">
        <v>8996</v>
      </c>
      <c r="K522" s="5">
        <v>45397</v>
      </c>
      <c r="L522" s="5">
        <v>45478</v>
      </c>
      <c r="M522" s="5">
        <v>45504</v>
      </c>
      <c r="N522">
        <v>0</v>
      </c>
      <c r="O522" t="s">
        <v>10361</v>
      </c>
    </row>
    <row r="523" spans="1:15" x14ac:dyDescent="0.25">
      <c r="A523">
        <v>465</v>
      </c>
      <c r="B523">
        <v>3</v>
      </c>
      <c r="C523">
        <v>164</v>
      </c>
      <c r="D523">
        <v>1</v>
      </c>
      <c r="E523">
        <v>36</v>
      </c>
      <c r="F523">
        <v>21</v>
      </c>
      <c r="G523" t="s">
        <v>7836</v>
      </c>
      <c r="H523" t="s">
        <v>8996</v>
      </c>
      <c r="I523" t="s">
        <v>4349</v>
      </c>
      <c r="J523" t="s">
        <v>9021</v>
      </c>
      <c r="K523" s="5">
        <v>45398</v>
      </c>
      <c r="L523" s="5" t="s">
        <v>4312</v>
      </c>
      <c r="M523" s="5">
        <v>46022</v>
      </c>
      <c r="N523">
        <v>1</v>
      </c>
      <c r="O523" t="s">
        <v>10753</v>
      </c>
    </row>
    <row r="524" spans="1:15" x14ac:dyDescent="0.25">
      <c r="A524">
        <v>466</v>
      </c>
      <c r="B524">
        <v>3</v>
      </c>
      <c r="C524">
        <v>212</v>
      </c>
      <c r="D524">
        <v>1</v>
      </c>
      <c r="E524">
        <v>36</v>
      </c>
      <c r="F524">
        <v>21</v>
      </c>
      <c r="G524" t="s">
        <v>7837</v>
      </c>
      <c r="H524" t="s">
        <v>8996</v>
      </c>
      <c r="I524" t="s">
        <v>4349</v>
      </c>
      <c r="J524" t="s">
        <v>9021</v>
      </c>
      <c r="K524" s="5">
        <v>45735</v>
      </c>
      <c r="L524" s="5" t="s">
        <v>4312</v>
      </c>
      <c r="M524" s="5">
        <v>46053</v>
      </c>
      <c r="N524">
        <v>1</v>
      </c>
      <c r="O524" t="s">
        <v>10754</v>
      </c>
    </row>
    <row r="525" spans="1:15" x14ac:dyDescent="0.25">
      <c r="A525">
        <v>467</v>
      </c>
      <c r="B525">
        <v>2</v>
      </c>
      <c r="C525">
        <v>203</v>
      </c>
      <c r="D525">
        <v>2</v>
      </c>
      <c r="E525">
        <v>1</v>
      </c>
      <c r="F525">
        <v>1</v>
      </c>
      <c r="G525" t="s">
        <v>7838</v>
      </c>
      <c r="H525" t="s">
        <v>8996</v>
      </c>
      <c r="K525" s="5">
        <v>45401</v>
      </c>
      <c r="L525" s="5">
        <v>45416</v>
      </c>
      <c r="M525" s="5">
        <v>45504</v>
      </c>
      <c r="N525">
        <v>0</v>
      </c>
      <c r="O525" t="s">
        <v>10362</v>
      </c>
    </row>
    <row r="526" spans="1:15" x14ac:dyDescent="0.25">
      <c r="A526">
        <v>163</v>
      </c>
      <c r="B526">
        <v>2</v>
      </c>
      <c r="C526">
        <v>107</v>
      </c>
      <c r="D526">
        <v>4</v>
      </c>
      <c r="E526">
        <v>1</v>
      </c>
      <c r="F526">
        <v>1</v>
      </c>
      <c r="G526" t="s">
        <v>7839</v>
      </c>
      <c r="H526" t="s">
        <v>8996</v>
      </c>
      <c r="I526" t="s">
        <v>4348</v>
      </c>
      <c r="J526" t="s">
        <v>9020</v>
      </c>
      <c r="K526" s="5">
        <v>45413</v>
      </c>
      <c r="L526" s="5" t="s">
        <v>4312</v>
      </c>
      <c r="M526" s="5">
        <v>46053</v>
      </c>
      <c r="N526">
        <v>1</v>
      </c>
      <c r="O526" t="s">
        <v>10755</v>
      </c>
    </row>
    <row r="527" spans="1:15" x14ac:dyDescent="0.25">
      <c r="A527">
        <v>226</v>
      </c>
      <c r="B527">
        <v>3</v>
      </c>
      <c r="C527">
        <v>157</v>
      </c>
      <c r="D527">
        <v>1</v>
      </c>
      <c r="E527">
        <v>24</v>
      </c>
      <c r="F527">
        <v>25</v>
      </c>
      <c r="G527" t="s">
        <v>7840</v>
      </c>
      <c r="H527" t="s">
        <v>8996</v>
      </c>
      <c r="I527" t="s">
        <v>4349</v>
      </c>
      <c r="J527" t="s">
        <v>9025</v>
      </c>
      <c r="K527" s="5">
        <v>45414</v>
      </c>
      <c r="L527" s="5" t="s">
        <v>4312</v>
      </c>
      <c r="M527" s="5">
        <v>46022</v>
      </c>
      <c r="N527">
        <v>1</v>
      </c>
      <c r="O527" t="s">
        <v>10756</v>
      </c>
    </row>
    <row r="528" spans="1:15" x14ac:dyDescent="0.25">
      <c r="A528">
        <v>468</v>
      </c>
      <c r="B528">
        <v>2</v>
      </c>
      <c r="C528">
        <v>219</v>
      </c>
      <c r="D528">
        <v>1</v>
      </c>
      <c r="E528">
        <v>1</v>
      </c>
      <c r="F528">
        <v>1</v>
      </c>
      <c r="G528" t="s">
        <v>7841</v>
      </c>
      <c r="H528" t="s">
        <v>8996</v>
      </c>
      <c r="I528" t="s">
        <v>4349</v>
      </c>
      <c r="J528" t="s">
        <v>9020</v>
      </c>
      <c r="K528" s="5">
        <v>45414</v>
      </c>
      <c r="L528" s="5" t="s">
        <v>4312</v>
      </c>
      <c r="M528" s="5">
        <v>46053</v>
      </c>
      <c r="N528">
        <v>1</v>
      </c>
      <c r="O528" t="s">
        <v>10757</v>
      </c>
    </row>
    <row r="529" spans="1:15" x14ac:dyDescent="0.25">
      <c r="A529">
        <v>469</v>
      </c>
      <c r="B529">
        <v>3</v>
      </c>
      <c r="C529">
        <v>164</v>
      </c>
      <c r="D529">
        <v>2</v>
      </c>
      <c r="E529">
        <v>34</v>
      </c>
      <c r="F529">
        <v>35</v>
      </c>
      <c r="G529" t="s">
        <v>7842</v>
      </c>
      <c r="H529" t="s">
        <v>8996</v>
      </c>
      <c r="I529" t="s">
        <v>4349</v>
      </c>
      <c r="J529" t="s">
        <v>9025</v>
      </c>
      <c r="K529" s="5">
        <v>45418</v>
      </c>
      <c r="L529" s="5" t="s">
        <v>4312</v>
      </c>
      <c r="M529" s="5">
        <v>45991</v>
      </c>
      <c r="N529">
        <v>1</v>
      </c>
      <c r="O529" t="s">
        <v>10758</v>
      </c>
    </row>
    <row r="530" spans="1:15" x14ac:dyDescent="0.25">
      <c r="A530">
        <v>441</v>
      </c>
      <c r="B530">
        <v>2</v>
      </c>
      <c r="C530">
        <v>212</v>
      </c>
      <c r="D530">
        <v>1</v>
      </c>
      <c r="E530">
        <v>1</v>
      </c>
      <c r="F530">
        <v>1</v>
      </c>
      <c r="G530" t="s">
        <v>7811</v>
      </c>
      <c r="H530" t="s">
        <v>8996</v>
      </c>
      <c r="I530" t="s">
        <v>4349</v>
      </c>
      <c r="J530" t="s">
        <v>9020</v>
      </c>
      <c r="K530" s="5">
        <v>45954</v>
      </c>
      <c r="L530" s="5" t="s">
        <v>4312</v>
      </c>
      <c r="M530" s="5">
        <v>46142</v>
      </c>
      <c r="N530">
        <v>1</v>
      </c>
      <c r="O530" t="s">
        <v>10759</v>
      </c>
    </row>
    <row r="531" spans="1:15" x14ac:dyDescent="0.25">
      <c r="A531">
        <v>470</v>
      </c>
      <c r="B531">
        <v>3</v>
      </c>
      <c r="C531">
        <v>157</v>
      </c>
      <c r="D531">
        <v>1</v>
      </c>
      <c r="E531">
        <v>36</v>
      </c>
      <c r="F531">
        <v>21</v>
      </c>
      <c r="G531" t="s">
        <v>7843</v>
      </c>
      <c r="H531" t="s">
        <v>8996</v>
      </c>
      <c r="I531" t="s">
        <v>4349</v>
      </c>
      <c r="J531" t="s">
        <v>9021</v>
      </c>
      <c r="K531" s="5">
        <v>45418</v>
      </c>
      <c r="L531" s="5" t="s">
        <v>4312</v>
      </c>
      <c r="M531" s="5">
        <v>46022</v>
      </c>
      <c r="N531">
        <v>1</v>
      </c>
      <c r="O531" t="s">
        <v>10760</v>
      </c>
    </row>
    <row r="532" spans="1:15" x14ac:dyDescent="0.25">
      <c r="A532">
        <v>471</v>
      </c>
      <c r="B532">
        <v>2</v>
      </c>
      <c r="C532">
        <v>55</v>
      </c>
      <c r="D532">
        <v>1</v>
      </c>
      <c r="E532">
        <v>1</v>
      </c>
      <c r="F532">
        <v>1</v>
      </c>
      <c r="G532" t="s">
        <v>7844</v>
      </c>
      <c r="H532" t="s">
        <v>8996</v>
      </c>
      <c r="I532" t="s">
        <v>4349</v>
      </c>
      <c r="K532" s="5">
        <v>45418</v>
      </c>
      <c r="L532" s="5">
        <v>45716</v>
      </c>
      <c r="M532" s="5">
        <v>45716</v>
      </c>
      <c r="N532">
        <v>0</v>
      </c>
      <c r="O532" t="s">
        <v>10363</v>
      </c>
    </row>
    <row r="533" spans="1:15" x14ac:dyDescent="0.25">
      <c r="A533">
        <v>472</v>
      </c>
      <c r="B533">
        <v>2</v>
      </c>
      <c r="C533">
        <v>178</v>
      </c>
      <c r="D533">
        <v>2</v>
      </c>
      <c r="E533">
        <v>1</v>
      </c>
      <c r="F533">
        <v>1</v>
      </c>
      <c r="G533" t="s">
        <v>7845</v>
      </c>
      <c r="H533" t="s">
        <v>8996</v>
      </c>
      <c r="K533" s="5">
        <v>45418</v>
      </c>
      <c r="L533" s="5">
        <v>45596</v>
      </c>
      <c r="M533" s="5">
        <v>45596</v>
      </c>
      <c r="N533">
        <v>0</v>
      </c>
      <c r="O533" t="s">
        <v>10364</v>
      </c>
    </row>
    <row r="534" spans="1:15" x14ac:dyDescent="0.25">
      <c r="A534">
        <v>473</v>
      </c>
      <c r="B534">
        <v>3</v>
      </c>
      <c r="C534">
        <v>156</v>
      </c>
      <c r="D534">
        <v>1</v>
      </c>
      <c r="E534">
        <v>10</v>
      </c>
      <c r="F534">
        <v>14</v>
      </c>
      <c r="G534" t="s">
        <v>7846</v>
      </c>
      <c r="H534" t="s">
        <v>8996</v>
      </c>
      <c r="I534" t="s">
        <v>4349</v>
      </c>
      <c r="J534" t="s">
        <v>9025</v>
      </c>
      <c r="K534" s="5">
        <v>45418</v>
      </c>
      <c r="L534" s="5" t="s">
        <v>4312</v>
      </c>
      <c r="M534" s="5">
        <v>45991</v>
      </c>
      <c r="N534">
        <v>1</v>
      </c>
      <c r="O534" t="s">
        <v>10761</v>
      </c>
    </row>
    <row r="535" spans="1:15" x14ac:dyDescent="0.25">
      <c r="A535">
        <v>474</v>
      </c>
      <c r="B535">
        <v>3</v>
      </c>
      <c r="C535">
        <v>157</v>
      </c>
      <c r="D535">
        <v>1</v>
      </c>
      <c r="E535">
        <v>36</v>
      </c>
      <c r="F535">
        <v>21</v>
      </c>
      <c r="G535" t="s">
        <v>7847</v>
      </c>
      <c r="H535" t="s">
        <v>8996</v>
      </c>
      <c r="I535" t="s">
        <v>4349</v>
      </c>
      <c r="J535" t="s">
        <v>9021</v>
      </c>
      <c r="K535" s="5">
        <v>45425</v>
      </c>
      <c r="L535" s="5" t="s">
        <v>4312</v>
      </c>
      <c r="M535" s="5">
        <v>46022</v>
      </c>
      <c r="N535">
        <v>1</v>
      </c>
      <c r="O535" t="s">
        <v>10762</v>
      </c>
    </row>
    <row r="536" spans="1:15" x14ac:dyDescent="0.25">
      <c r="A536">
        <v>475</v>
      </c>
      <c r="B536">
        <v>2</v>
      </c>
      <c r="C536">
        <v>178</v>
      </c>
      <c r="D536">
        <v>5</v>
      </c>
      <c r="E536">
        <v>1</v>
      </c>
      <c r="F536">
        <v>1</v>
      </c>
      <c r="G536" t="s">
        <v>7848</v>
      </c>
      <c r="H536" t="s">
        <v>8996</v>
      </c>
      <c r="I536" t="s">
        <v>4349</v>
      </c>
      <c r="K536" s="5">
        <v>45425</v>
      </c>
      <c r="L536" s="5">
        <v>45930</v>
      </c>
      <c r="M536" s="5">
        <v>45930</v>
      </c>
      <c r="N536">
        <v>0</v>
      </c>
      <c r="O536" t="s">
        <v>10365</v>
      </c>
    </row>
    <row r="537" spans="1:15" x14ac:dyDescent="0.25">
      <c r="A537">
        <v>476</v>
      </c>
      <c r="B537">
        <v>2</v>
      </c>
      <c r="C537">
        <v>203</v>
      </c>
      <c r="D537">
        <v>2</v>
      </c>
      <c r="E537">
        <v>1</v>
      </c>
      <c r="F537">
        <v>1</v>
      </c>
      <c r="H537" t="s">
        <v>8996</v>
      </c>
      <c r="K537" s="5">
        <v>45425</v>
      </c>
      <c r="L537" s="5">
        <v>45427</v>
      </c>
      <c r="M537" s="5">
        <v>45535</v>
      </c>
      <c r="N537">
        <v>0</v>
      </c>
      <c r="O537" t="s">
        <v>10366</v>
      </c>
    </row>
    <row r="538" spans="1:15" x14ac:dyDescent="0.25">
      <c r="A538">
        <v>477</v>
      </c>
      <c r="B538">
        <v>3</v>
      </c>
      <c r="C538">
        <v>154</v>
      </c>
      <c r="D538">
        <v>1</v>
      </c>
      <c r="E538">
        <v>36</v>
      </c>
      <c r="F538">
        <v>21</v>
      </c>
      <c r="G538" t="s">
        <v>7849</v>
      </c>
      <c r="H538" t="s">
        <v>8996</v>
      </c>
      <c r="I538" t="s">
        <v>4349</v>
      </c>
      <c r="K538" s="5">
        <v>45426</v>
      </c>
      <c r="L538" s="5">
        <v>45900</v>
      </c>
      <c r="M538" s="5">
        <v>45900</v>
      </c>
      <c r="N538">
        <v>0</v>
      </c>
      <c r="O538" t="s">
        <v>10367</v>
      </c>
    </row>
    <row r="539" spans="1:15" x14ac:dyDescent="0.25">
      <c r="A539">
        <v>478</v>
      </c>
      <c r="B539">
        <v>5</v>
      </c>
      <c r="C539">
        <v>71</v>
      </c>
      <c r="D539">
        <v>2</v>
      </c>
      <c r="E539">
        <v>1</v>
      </c>
      <c r="F539">
        <v>1</v>
      </c>
      <c r="G539" t="s">
        <v>7850</v>
      </c>
      <c r="H539" t="s">
        <v>8996</v>
      </c>
      <c r="K539" s="5">
        <v>45432</v>
      </c>
      <c r="L539" s="5">
        <v>45626</v>
      </c>
      <c r="M539" s="5">
        <v>45626</v>
      </c>
      <c r="N539">
        <v>0</v>
      </c>
      <c r="O539" t="s">
        <v>10368</v>
      </c>
    </row>
    <row r="540" spans="1:15" x14ac:dyDescent="0.25">
      <c r="A540">
        <v>479</v>
      </c>
      <c r="B540">
        <v>5</v>
      </c>
      <c r="C540">
        <v>85</v>
      </c>
      <c r="D540">
        <v>3</v>
      </c>
      <c r="E540">
        <v>1</v>
      </c>
      <c r="F540">
        <v>1</v>
      </c>
      <c r="G540" t="s">
        <v>7851</v>
      </c>
      <c r="H540" t="s">
        <v>8996</v>
      </c>
      <c r="I540" t="s">
        <v>4349</v>
      </c>
      <c r="K540" s="5">
        <v>45432</v>
      </c>
      <c r="L540" s="5">
        <v>45808</v>
      </c>
      <c r="M540" s="5">
        <v>45808</v>
      </c>
      <c r="N540">
        <v>0</v>
      </c>
      <c r="O540" t="s">
        <v>10369</v>
      </c>
    </row>
    <row r="541" spans="1:15" x14ac:dyDescent="0.25">
      <c r="A541">
        <v>480</v>
      </c>
      <c r="B541">
        <v>4</v>
      </c>
      <c r="C541">
        <v>246</v>
      </c>
      <c r="D541">
        <v>4</v>
      </c>
      <c r="E541">
        <v>1</v>
      </c>
      <c r="F541">
        <v>1</v>
      </c>
      <c r="G541" t="s">
        <v>7852</v>
      </c>
      <c r="H541" t="s">
        <v>8996</v>
      </c>
      <c r="I541" t="s">
        <v>4349</v>
      </c>
      <c r="J541" t="s">
        <v>9020</v>
      </c>
      <c r="K541" s="5">
        <v>45467</v>
      </c>
      <c r="L541" s="5" t="s">
        <v>4312</v>
      </c>
      <c r="M541" s="5" t="s">
        <v>4312</v>
      </c>
      <c r="N541">
        <v>1</v>
      </c>
      <c r="O541" t="s">
        <v>10763</v>
      </c>
    </row>
    <row r="542" spans="1:15" x14ac:dyDescent="0.25">
      <c r="A542">
        <v>481</v>
      </c>
      <c r="B542">
        <v>4</v>
      </c>
      <c r="C542">
        <v>246</v>
      </c>
      <c r="D542">
        <v>1</v>
      </c>
      <c r="E542">
        <v>1</v>
      </c>
      <c r="F542">
        <v>1</v>
      </c>
      <c r="H542" t="s">
        <v>8996</v>
      </c>
      <c r="K542" s="5">
        <v>45434</v>
      </c>
      <c r="L542" s="5">
        <v>45540</v>
      </c>
      <c r="M542" s="5" t="s">
        <v>4312</v>
      </c>
      <c r="N542">
        <v>0</v>
      </c>
      <c r="O542" t="s">
        <v>10764</v>
      </c>
    </row>
    <row r="543" spans="1:15" x14ac:dyDescent="0.25">
      <c r="A543">
        <v>482</v>
      </c>
      <c r="B543">
        <v>3</v>
      </c>
      <c r="C543">
        <v>154</v>
      </c>
      <c r="D543">
        <v>1</v>
      </c>
      <c r="E543">
        <v>36</v>
      </c>
      <c r="F543">
        <v>21</v>
      </c>
      <c r="G543" t="s">
        <v>7853</v>
      </c>
      <c r="H543" t="s">
        <v>8996</v>
      </c>
      <c r="K543" s="5">
        <v>45434</v>
      </c>
      <c r="L543" s="5">
        <v>45535</v>
      </c>
      <c r="M543" s="5">
        <v>45535</v>
      </c>
      <c r="N543">
        <v>0</v>
      </c>
      <c r="O543" t="s">
        <v>10370</v>
      </c>
    </row>
    <row r="544" spans="1:15" x14ac:dyDescent="0.25">
      <c r="A544">
        <v>238</v>
      </c>
      <c r="B544">
        <v>4</v>
      </c>
      <c r="C544">
        <v>246</v>
      </c>
      <c r="D544">
        <v>1</v>
      </c>
      <c r="E544">
        <v>1</v>
      </c>
      <c r="F544">
        <v>1</v>
      </c>
      <c r="H544" t="s">
        <v>8996</v>
      </c>
      <c r="I544" t="s">
        <v>4349</v>
      </c>
      <c r="K544" s="5">
        <v>45434</v>
      </c>
      <c r="L544" s="5">
        <v>45808</v>
      </c>
      <c r="M544" s="5" t="s">
        <v>4312</v>
      </c>
      <c r="N544">
        <v>0</v>
      </c>
      <c r="O544" t="s">
        <v>10765</v>
      </c>
    </row>
    <row r="545" spans="1:15" x14ac:dyDescent="0.25">
      <c r="A545">
        <v>484</v>
      </c>
      <c r="B545">
        <v>4</v>
      </c>
      <c r="C545">
        <v>246</v>
      </c>
      <c r="D545">
        <v>1</v>
      </c>
      <c r="E545">
        <v>1</v>
      </c>
      <c r="F545">
        <v>1</v>
      </c>
      <c r="H545" t="s">
        <v>8996</v>
      </c>
      <c r="K545" s="5">
        <v>45434</v>
      </c>
      <c r="L545" s="5">
        <v>45596</v>
      </c>
      <c r="M545" s="5" t="s">
        <v>4312</v>
      </c>
      <c r="N545">
        <v>0</v>
      </c>
      <c r="O545" t="s">
        <v>10766</v>
      </c>
    </row>
    <row r="546" spans="1:15" x14ac:dyDescent="0.25">
      <c r="A546">
        <v>485</v>
      </c>
      <c r="B546">
        <v>2</v>
      </c>
      <c r="C546">
        <v>161</v>
      </c>
      <c r="D546">
        <v>1</v>
      </c>
      <c r="E546">
        <v>38</v>
      </c>
      <c r="F546">
        <v>49</v>
      </c>
      <c r="G546" t="s">
        <v>7854</v>
      </c>
      <c r="H546" t="s">
        <v>8996</v>
      </c>
      <c r="I546" t="s">
        <v>4349</v>
      </c>
      <c r="K546" s="5">
        <v>45434</v>
      </c>
      <c r="L546" s="5">
        <v>45808</v>
      </c>
      <c r="M546" s="5">
        <v>45808</v>
      </c>
      <c r="N546">
        <v>0</v>
      </c>
      <c r="O546" t="s">
        <v>10371</v>
      </c>
    </row>
    <row r="547" spans="1:15" x14ac:dyDescent="0.25">
      <c r="A547">
        <v>159</v>
      </c>
      <c r="B547">
        <v>2</v>
      </c>
      <c r="C547">
        <v>107</v>
      </c>
      <c r="D547">
        <v>1</v>
      </c>
      <c r="E547">
        <v>1</v>
      </c>
      <c r="F547">
        <v>1</v>
      </c>
      <c r="G547" t="s">
        <v>7855</v>
      </c>
      <c r="H547" t="s">
        <v>8996</v>
      </c>
      <c r="I547" t="s">
        <v>4348</v>
      </c>
      <c r="J547" t="s">
        <v>9020</v>
      </c>
      <c r="K547" s="5">
        <v>45435</v>
      </c>
      <c r="L547" s="5" t="s">
        <v>4312</v>
      </c>
      <c r="M547" s="5">
        <v>46081</v>
      </c>
      <c r="N547">
        <v>1</v>
      </c>
      <c r="O547" t="s">
        <v>10767</v>
      </c>
    </row>
    <row r="548" spans="1:15" x14ac:dyDescent="0.25">
      <c r="A548">
        <v>486</v>
      </c>
      <c r="B548">
        <v>2</v>
      </c>
      <c r="C548">
        <v>193</v>
      </c>
      <c r="D548">
        <v>1</v>
      </c>
      <c r="E548">
        <v>1</v>
      </c>
      <c r="F548">
        <v>1</v>
      </c>
      <c r="G548" t="s">
        <v>7856</v>
      </c>
      <c r="H548" t="s">
        <v>8996</v>
      </c>
      <c r="K548" s="5">
        <v>45436</v>
      </c>
      <c r="L548" s="5">
        <v>45626</v>
      </c>
      <c r="M548" s="5">
        <v>45626</v>
      </c>
      <c r="N548">
        <v>0</v>
      </c>
      <c r="O548" t="s">
        <v>10372</v>
      </c>
    </row>
    <row r="549" spans="1:15" x14ac:dyDescent="0.25">
      <c r="A549">
        <v>487</v>
      </c>
      <c r="B549">
        <v>3</v>
      </c>
      <c r="C549">
        <v>154</v>
      </c>
      <c r="D549">
        <v>2</v>
      </c>
      <c r="E549">
        <v>34</v>
      </c>
      <c r="F549">
        <v>35</v>
      </c>
      <c r="G549" t="s">
        <v>7857</v>
      </c>
      <c r="H549" t="s">
        <v>8996</v>
      </c>
      <c r="K549" s="5">
        <v>45436</v>
      </c>
      <c r="L549" s="5">
        <v>45555</v>
      </c>
      <c r="M549" s="5">
        <v>45626</v>
      </c>
      <c r="N549">
        <v>0</v>
      </c>
      <c r="O549" t="s">
        <v>10373</v>
      </c>
    </row>
    <row r="550" spans="1:15" x14ac:dyDescent="0.25">
      <c r="A550">
        <v>488</v>
      </c>
      <c r="B550">
        <v>2</v>
      </c>
      <c r="C550">
        <v>158</v>
      </c>
      <c r="D550">
        <v>1</v>
      </c>
      <c r="E550">
        <v>38</v>
      </c>
      <c r="F550">
        <v>49</v>
      </c>
      <c r="G550" t="s">
        <v>7858</v>
      </c>
      <c r="H550" t="s">
        <v>8996</v>
      </c>
      <c r="I550" t="s">
        <v>4349</v>
      </c>
      <c r="K550" s="5">
        <v>45446</v>
      </c>
      <c r="L550" s="5">
        <v>45808</v>
      </c>
      <c r="M550" s="5">
        <v>45808</v>
      </c>
      <c r="N550">
        <v>0</v>
      </c>
      <c r="O550" t="s">
        <v>10374</v>
      </c>
    </row>
    <row r="551" spans="1:15" x14ac:dyDescent="0.25">
      <c r="A551">
        <v>680</v>
      </c>
      <c r="B551">
        <v>2</v>
      </c>
      <c r="C551">
        <v>213</v>
      </c>
      <c r="D551">
        <v>2</v>
      </c>
      <c r="E551">
        <v>1</v>
      </c>
      <c r="F551">
        <v>1</v>
      </c>
      <c r="G551" t="s">
        <v>7859</v>
      </c>
      <c r="H551" t="s">
        <v>8996</v>
      </c>
      <c r="I551" t="s">
        <v>4349</v>
      </c>
      <c r="J551" t="s">
        <v>9020</v>
      </c>
      <c r="K551" s="5">
        <v>44928</v>
      </c>
      <c r="L551" s="5" t="s">
        <v>4312</v>
      </c>
      <c r="M551" s="5">
        <v>46022</v>
      </c>
      <c r="N551">
        <v>1</v>
      </c>
      <c r="O551" t="s">
        <v>10768</v>
      </c>
    </row>
    <row r="552" spans="1:15" x14ac:dyDescent="0.25">
      <c r="A552">
        <v>489</v>
      </c>
      <c r="B552">
        <v>3</v>
      </c>
      <c r="C552">
        <v>154</v>
      </c>
      <c r="D552">
        <v>1</v>
      </c>
      <c r="E552">
        <v>11</v>
      </c>
      <c r="F552">
        <v>15</v>
      </c>
      <c r="G552" t="s">
        <v>7860</v>
      </c>
      <c r="H552" t="s">
        <v>8996</v>
      </c>
      <c r="K552" s="5">
        <v>45447</v>
      </c>
      <c r="L552" s="5">
        <v>45615</v>
      </c>
      <c r="M552" s="5">
        <v>45657</v>
      </c>
      <c r="N552">
        <v>0</v>
      </c>
      <c r="O552" t="s">
        <v>10375</v>
      </c>
    </row>
    <row r="553" spans="1:15" x14ac:dyDescent="0.25">
      <c r="A553">
        <v>490</v>
      </c>
      <c r="B553">
        <v>2</v>
      </c>
      <c r="C553">
        <v>178</v>
      </c>
      <c r="D553">
        <v>5</v>
      </c>
      <c r="E553">
        <v>1</v>
      </c>
      <c r="F553">
        <v>1</v>
      </c>
      <c r="G553" t="s">
        <v>7861</v>
      </c>
      <c r="H553" t="s">
        <v>8996</v>
      </c>
      <c r="K553" s="5">
        <v>45453</v>
      </c>
      <c r="L553" s="5">
        <v>45596</v>
      </c>
      <c r="M553" s="5">
        <v>45596</v>
      </c>
      <c r="N553">
        <v>0</v>
      </c>
      <c r="O553" t="s">
        <v>10376</v>
      </c>
    </row>
    <row r="554" spans="1:15" x14ac:dyDescent="0.25">
      <c r="A554">
        <v>491</v>
      </c>
      <c r="B554">
        <v>3</v>
      </c>
      <c r="C554">
        <v>154</v>
      </c>
      <c r="D554">
        <v>1</v>
      </c>
      <c r="E554">
        <v>36</v>
      </c>
      <c r="F554">
        <v>21</v>
      </c>
      <c r="G554" t="s">
        <v>7862</v>
      </c>
      <c r="H554" t="s">
        <v>8996</v>
      </c>
      <c r="I554" t="s">
        <v>4349</v>
      </c>
      <c r="K554" s="5">
        <v>45453</v>
      </c>
      <c r="L554" s="5">
        <v>45769</v>
      </c>
      <c r="M554" s="5">
        <v>45838</v>
      </c>
      <c r="N554">
        <v>0</v>
      </c>
      <c r="O554" t="s">
        <v>10377</v>
      </c>
    </row>
    <row r="555" spans="1:15" x14ac:dyDescent="0.25">
      <c r="A555">
        <v>492</v>
      </c>
      <c r="B555">
        <v>4</v>
      </c>
      <c r="C555">
        <v>161</v>
      </c>
      <c r="D555">
        <v>3</v>
      </c>
      <c r="E555">
        <v>38</v>
      </c>
      <c r="F555">
        <v>49</v>
      </c>
      <c r="G555" t="s">
        <v>7863</v>
      </c>
      <c r="H555" t="s">
        <v>8996</v>
      </c>
      <c r="I555" t="s">
        <v>4349</v>
      </c>
      <c r="K555" s="5">
        <v>45454</v>
      </c>
      <c r="L555" s="5">
        <v>45808</v>
      </c>
      <c r="M555" s="5" t="s">
        <v>4312</v>
      </c>
      <c r="N555">
        <v>0</v>
      </c>
      <c r="O555" t="s">
        <v>10769</v>
      </c>
    </row>
    <row r="556" spans="1:15" x14ac:dyDescent="0.25">
      <c r="A556">
        <v>493</v>
      </c>
      <c r="B556">
        <v>4</v>
      </c>
      <c r="C556">
        <v>160</v>
      </c>
      <c r="D556">
        <v>2</v>
      </c>
      <c r="E556">
        <v>38</v>
      </c>
      <c r="F556">
        <v>49</v>
      </c>
      <c r="G556" t="s">
        <v>7864</v>
      </c>
      <c r="H556" t="s">
        <v>8996</v>
      </c>
      <c r="I556" t="s">
        <v>4349</v>
      </c>
      <c r="K556" s="5">
        <v>45454</v>
      </c>
      <c r="L556" s="5">
        <v>45747</v>
      </c>
      <c r="M556" s="5" t="s">
        <v>4312</v>
      </c>
      <c r="N556">
        <v>0</v>
      </c>
      <c r="O556" t="s">
        <v>10770</v>
      </c>
    </row>
    <row r="557" spans="1:15" x14ac:dyDescent="0.25">
      <c r="A557">
        <v>494</v>
      </c>
      <c r="B557">
        <v>4</v>
      </c>
      <c r="C557">
        <v>161</v>
      </c>
      <c r="D557">
        <v>2</v>
      </c>
      <c r="E557">
        <v>38</v>
      </c>
      <c r="F557">
        <v>49</v>
      </c>
      <c r="G557" t="s">
        <v>7865</v>
      </c>
      <c r="H557" t="s">
        <v>8996</v>
      </c>
      <c r="I557" t="s">
        <v>4349</v>
      </c>
      <c r="K557" s="5">
        <v>45454</v>
      </c>
      <c r="L557" s="5">
        <v>45688</v>
      </c>
      <c r="M557" s="5" t="s">
        <v>4312</v>
      </c>
      <c r="N557">
        <v>0</v>
      </c>
      <c r="O557" t="s">
        <v>10771</v>
      </c>
    </row>
    <row r="558" spans="1:15" x14ac:dyDescent="0.25">
      <c r="A558">
        <v>495</v>
      </c>
      <c r="B558">
        <v>4</v>
      </c>
      <c r="C558">
        <v>161</v>
      </c>
      <c r="D558">
        <v>3</v>
      </c>
      <c r="E558">
        <v>38</v>
      </c>
      <c r="F558">
        <v>49</v>
      </c>
      <c r="G558" t="s">
        <v>7866</v>
      </c>
      <c r="H558" t="s">
        <v>8996</v>
      </c>
      <c r="I558" t="s">
        <v>4349</v>
      </c>
      <c r="K558" s="5">
        <v>45454</v>
      </c>
      <c r="L558" s="5">
        <v>45808</v>
      </c>
      <c r="M558" s="5" t="s">
        <v>4312</v>
      </c>
      <c r="N558">
        <v>0</v>
      </c>
      <c r="O558" t="s">
        <v>10772</v>
      </c>
    </row>
    <row r="559" spans="1:15" x14ac:dyDescent="0.25">
      <c r="A559">
        <v>496</v>
      </c>
      <c r="B559">
        <v>4</v>
      </c>
      <c r="C559">
        <v>161</v>
      </c>
      <c r="D559">
        <v>1</v>
      </c>
      <c r="E559">
        <v>38</v>
      </c>
      <c r="F559">
        <v>49</v>
      </c>
      <c r="G559" t="s">
        <v>7867</v>
      </c>
      <c r="H559" t="s">
        <v>8996</v>
      </c>
      <c r="I559" t="s">
        <v>4349</v>
      </c>
      <c r="K559" s="5">
        <v>45454</v>
      </c>
      <c r="L559" s="5">
        <v>45791</v>
      </c>
      <c r="M559" s="5" t="s">
        <v>4312</v>
      </c>
      <c r="N559">
        <v>0</v>
      </c>
      <c r="O559" t="s">
        <v>10773</v>
      </c>
    </row>
    <row r="560" spans="1:15" x14ac:dyDescent="0.25">
      <c r="A560">
        <v>497</v>
      </c>
      <c r="B560">
        <v>4</v>
      </c>
      <c r="C560">
        <v>161</v>
      </c>
      <c r="D560">
        <v>1</v>
      </c>
      <c r="E560">
        <v>38</v>
      </c>
      <c r="F560">
        <v>49</v>
      </c>
      <c r="G560" t="s">
        <v>7868</v>
      </c>
      <c r="H560" t="s">
        <v>8996</v>
      </c>
      <c r="I560" t="s">
        <v>4349</v>
      </c>
      <c r="K560" s="5">
        <v>45456</v>
      </c>
      <c r="L560" s="5">
        <v>45803</v>
      </c>
      <c r="M560" s="5" t="s">
        <v>4312</v>
      </c>
      <c r="N560">
        <v>0</v>
      </c>
      <c r="O560" t="s">
        <v>10774</v>
      </c>
    </row>
    <row r="561" spans="1:15" x14ac:dyDescent="0.25">
      <c r="A561">
        <v>498</v>
      </c>
      <c r="B561">
        <v>4</v>
      </c>
      <c r="C561">
        <v>190</v>
      </c>
      <c r="D561">
        <v>3</v>
      </c>
      <c r="E561">
        <v>1</v>
      </c>
      <c r="F561">
        <v>1</v>
      </c>
      <c r="H561" t="s">
        <v>8996</v>
      </c>
      <c r="I561" t="s">
        <v>4349</v>
      </c>
      <c r="K561" s="5">
        <v>45456</v>
      </c>
      <c r="L561" s="5">
        <v>45808</v>
      </c>
      <c r="M561" s="5" t="s">
        <v>4312</v>
      </c>
      <c r="N561">
        <v>0</v>
      </c>
      <c r="O561" t="s">
        <v>10775</v>
      </c>
    </row>
    <row r="562" spans="1:15" x14ac:dyDescent="0.25">
      <c r="A562">
        <v>365</v>
      </c>
      <c r="B562">
        <v>3</v>
      </c>
      <c r="C562">
        <v>154</v>
      </c>
      <c r="D562">
        <v>2</v>
      </c>
      <c r="E562">
        <v>22</v>
      </c>
      <c r="F562">
        <v>24</v>
      </c>
      <c r="G562" t="s">
        <v>7869</v>
      </c>
      <c r="H562" t="s">
        <v>8996</v>
      </c>
      <c r="K562" s="5">
        <v>45457</v>
      </c>
      <c r="L562" s="5">
        <v>45550</v>
      </c>
      <c r="M562" s="5">
        <v>45565</v>
      </c>
      <c r="N562">
        <v>0</v>
      </c>
      <c r="O562" t="s">
        <v>10378</v>
      </c>
    </row>
    <row r="563" spans="1:15" x14ac:dyDescent="0.25">
      <c r="A563">
        <v>499</v>
      </c>
      <c r="B563">
        <v>2</v>
      </c>
      <c r="C563">
        <v>16</v>
      </c>
      <c r="D563">
        <v>1</v>
      </c>
      <c r="E563">
        <v>1</v>
      </c>
      <c r="F563">
        <v>1</v>
      </c>
      <c r="G563" t="s">
        <v>7870</v>
      </c>
      <c r="H563" t="s">
        <v>8996</v>
      </c>
      <c r="I563" t="s">
        <v>4349</v>
      </c>
      <c r="J563" t="s">
        <v>9020</v>
      </c>
      <c r="K563" s="5">
        <v>45461</v>
      </c>
      <c r="L563" s="5" t="s">
        <v>4312</v>
      </c>
      <c r="M563" s="5">
        <v>46022</v>
      </c>
      <c r="N563">
        <v>1</v>
      </c>
      <c r="O563" t="s">
        <v>10776</v>
      </c>
    </row>
    <row r="564" spans="1:15" x14ac:dyDescent="0.25">
      <c r="A564">
        <v>500</v>
      </c>
      <c r="B564">
        <v>5</v>
      </c>
      <c r="C564">
        <v>95</v>
      </c>
      <c r="D564">
        <v>1</v>
      </c>
      <c r="E564">
        <v>1</v>
      </c>
      <c r="F564">
        <v>1</v>
      </c>
      <c r="G564" t="s">
        <v>7871</v>
      </c>
      <c r="H564" t="s">
        <v>8996</v>
      </c>
      <c r="K564" s="5">
        <v>45463</v>
      </c>
      <c r="L564" s="5">
        <v>45657</v>
      </c>
      <c r="M564" s="5">
        <v>45657</v>
      </c>
      <c r="N564">
        <v>0</v>
      </c>
      <c r="O564" t="s">
        <v>10379</v>
      </c>
    </row>
    <row r="565" spans="1:15" x14ac:dyDescent="0.25">
      <c r="A565">
        <v>501</v>
      </c>
      <c r="B565">
        <v>2</v>
      </c>
      <c r="C565">
        <v>179</v>
      </c>
      <c r="D565">
        <v>1</v>
      </c>
      <c r="E565">
        <v>1</v>
      </c>
      <c r="F565">
        <v>1</v>
      </c>
      <c r="G565" t="s">
        <v>7872</v>
      </c>
      <c r="H565" t="s">
        <v>8996</v>
      </c>
      <c r="I565" t="s">
        <v>4349</v>
      </c>
      <c r="J565" t="s">
        <v>9020</v>
      </c>
      <c r="K565" s="5">
        <v>45464</v>
      </c>
      <c r="L565" s="5" t="s">
        <v>4312</v>
      </c>
      <c r="M565" s="5">
        <v>46112</v>
      </c>
      <c r="N565">
        <v>1</v>
      </c>
      <c r="O565" t="s">
        <v>10777</v>
      </c>
    </row>
    <row r="566" spans="1:15" x14ac:dyDescent="0.25">
      <c r="A566">
        <v>502</v>
      </c>
      <c r="B566">
        <v>3</v>
      </c>
      <c r="C566">
        <v>154</v>
      </c>
      <c r="D566">
        <v>4</v>
      </c>
      <c r="E566">
        <v>20</v>
      </c>
      <c r="F566">
        <v>11</v>
      </c>
      <c r="G566" t="s">
        <v>7873</v>
      </c>
      <c r="H566" t="s">
        <v>8996</v>
      </c>
      <c r="K566" s="5">
        <v>45464</v>
      </c>
      <c r="L566" s="5">
        <v>45504</v>
      </c>
      <c r="M566" s="5">
        <v>45565</v>
      </c>
      <c r="N566">
        <v>0</v>
      </c>
      <c r="O566" t="s">
        <v>10380</v>
      </c>
    </row>
    <row r="567" spans="1:15" x14ac:dyDescent="0.25">
      <c r="A567">
        <v>386</v>
      </c>
      <c r="B567">
        <v>4</v>
      </c>
      <c r="C567">
        <v>66</v>
      </c>
      <c r="D567">
        <v>4</v>
      </c>
      <c r="E567">
        <v>1</v>
      </c>
      <c r="F567">
        <v>1</v>
      </c>
      <c r="G567" t="s">
        <v>7874</v>
      </c>
      <c r="H567" t="s">
        <v>8996</v>
      </c>
      <c r="I567" t="s">
        <v>4349</v>
      </c>
      <c r="J567" t="s">
        <v>9020</v>
      </c>
      <c r="K567" s="5">
        <v>45476</v>
      </c>
      <c r="L567" s="5" t="s">
        <v>4312</v>
      </c>
      <c r="M567" s="5" t="s">
        <v>4312</v>
      </c>
      <c r="N567">
        <v>1</v>
      </c>
      <c r="O567" t="s">
        <v>10778</v>
      </c>
    </row>
    <row r="568" spans="1:15" x14ac:dyDescent="0.25">
      <c r="A568">
        <v>503</v>
      </c>
      <c r="B568">
        <v>2</v>
      </c>
      <c r="C568">
        <v>213</v>
      </c>
      <c r="D568">
        <v>1</v>
      </c>
      <c r="E568">
        <v>1</v>
      </c>
      <c r="F568">
        <v>1</v>
      </c>
      <c r="G568" t="s">
        <v>7875</v>
      </c>
      <c r="H568" t="s">
        <v>8996</v>
      </c>
      <c r="I568" t="s">
        <v>4349</v>
      </c>
      <c r="J568" t="s">
        <v>9020</v>
      </c>
      <c r="K568" s="5">
        <v>45509</v>
      </c>
      <c r="L568" s="5" t="s">
        <v>4312</v>
      </c>
      <c r="M568" s="5">
        <v>45991</v>
      </c>
      <c r="N568">
        <v>1</v>
      </c>
      <c r="O568" t="s">
        <v>10779</v>
      </c>
    </row>
    <row r="569" spans="1:15" x14ac:dyDescent="0.25">
      <c r="A569">
        <v>504</v>
      </c>
      <c r="B569">
        <v>4</v>
      </c>
      <c r="C569">
        <v>121</v>
      </c>
      <c r="D569">
        <v>1</v>
      </c>
      <c r="E569">
        <v>38</v>
      </c>
      <c r="F569">
        <v>49</v>
      </c>
      <c r="G569" t="s">
        <v>7876</v>
      </c>
      <c r="H569" t="s">
        <v>8996</v>
      </c>
      <c r="I569" t="s">
        <v>4349</v>
      </c>
      <c r="K569" s="5">
        <v>45468</v>
      </c>
      <c r="L569" s="5">
        <v>45808</v>
      </c>
      <c r="M569" s="5" t="s">
        <v>4312</v>
      </c>
      <c r="N569">
        <v>0</v>
      </c>
      <c r="O569" t="s">
        <v>10780</v>
      </c>
    </row>
    <row r="570" spans="1:15" x14ac:dyDescent="0.25">
      <c r="A570">
        <v>505</v>
      </c>
      <c r="B570">
        <v>4</v>
      </c>
      <c r="C570">
        <v>246</v>
      </c>
      <c r="D570">
        <v>1</v>
      </c>
      <c r="E570">
        <v>1</v>
      </c>
      <c r="F570">
        <v>1</v>
      </c>
      <c r="H570" t="s">
        <v>8996</v>
      </c>
      <c r="I570" t="s">
        <v>4349</v>
      </c>
      <c r="K570" s="5">
        <v>45474</v>
      </c>
      <c r="L570" s="5">
        <v>45900</v>
      </c>
      <c r="M570" s="5" t="s">
        <v>4312</v>
      </c>
      <c r="N570">
        <v>0</v>
      </c>
      <c r="O570" t="s">
        <v>10781</v>
      </c>
    </row>
    <row r="571" spans="1:15" x14ac:dyDescent="0.25">
      <c r="A571">
        <v>506</v>
      </c>
      <c r="B571">
        <v>2</v>
      </c>
      <c r="C571">
        <v>254</v>
      </c>
      <c r="D571">
        <v>2</v>
      </c>
      <c r="E571">
        <v>1</v>
      </c>
      <c r="F571">
        <v>1</v>
      </c>
      <c r="G571" t="s">
        <v>7877</v>
      </c>
      <c r="H571" t="s">
        <v>8996</v>
      </c>
      <c r="I571" t="s">
        <v>4349</v>
      </c>
      <c r="J571" t="s">
        <v>9020</v>
      </c>
      <c r="K571" s="5">
        <v>45474</v>
      </c>
      <c r="L571" s="5" t="s">
        <v>4312</v>
      </c>
      <c r="M571" s="5">
        <v>46081</v>
      </c>
      <c r="N571">
        <v>1</v>
      </c>
      <c r="O571" t="s">
        <v>10782</v>
      </c>
    </row>
    <row r="572" spans="1:15" x14ac:dyDescent="0.25">
      <c r="A572">
        <v>507</v>
      </c>
      <c r="B572">
        <v>3</v>
      </c>
      <c r="C572">
        <v>157</v>
      </c>
      <c r="D572">
        <v>2</v>
      </c>
      <c r="E572">
        <v>34</v>
      </c>
      <c r="F572">
        <v>35</v>
      </c>
      <c r="G572" t="s">
        <v>7878</v>
      </c>
      <c r="H572" t="s">
        <v>8996</v>
      </c>
      <c r="I572" t="s">
        <v>4349</v>
      </c>
      <c r="J572" t="s">
        <v>9029</v>
      </c>
      <c r="K572" s="5">
        <v>45476</v>
      </c>
      <c r="L572" s="5">
        <v>45991</v>
      </c>
      <c r="M572" s="5">
        <v>46081</v>
      </c>
      <c r="N572">
        <v>0</v>
      </c>
      <c r="O572" t="s">
        <v>10381</v>
      </c>
    </row>
    <row r="573" spans="1:15" x14ac:dyDescent="0.25">
      <c r="A573">
        <v>508</v>
      </c>
      <c r="B573">
        <v>4</v>
      </c>
      <c r="C573">
        <v>161</v>
      </c>
      <c r="D573">
        <v>1</v>
      </c>
      <c r="E573">
        <v>38</v>
      </c>
      <c r="F573">
        <v>49</v>
      </c>
      <c r="G573" t="s">
        <v>7879</v>
      </c>
      <c r="H573" t="s">
        <v>8996</v>
      </c>
      <c r="I573" t="s">
        <v>4349</v>
      </c>
      <c r="J573" t="s">
        <v>9020</v>
      </c>
      <c r="K573" s="5">
        <v>45526</v>
      </c>
      <c r="L573" s="5">
        <v>45974</v>
      </c>
      <c r="M573" s="5" t="s">
        <v>4312</v>
      </c>
      <c r="N573">
        <v>0</v>
      </c>
      <c r="O573" t="s">
        <v>10783</v>
      </c>
    </row>
    <row r="574" spans="1:15" x14ac:dyDescent="0.25">
      <c r="A574">
        <v>509</v>
      </c>
      <c r="B574">
        <v>3</v>
      </c>
      <c r="C574">
        <v>154</v>
      </c>
      <c r="D574">
        <v>1</v>
      </c>
      <c r="E574">
        <v>11</v>
      </c>
      <c r="F574">
        <v>15</v>
      </c>
      <c r="G574" t="s">
        <v>7880</v>
      </c>
      <c r="H574" t="s">
        <v>8996</v>
      </c>
      <c r="K574" s="5">
        <v>45477</v>
      </c>
      <c r="L574" s="5">
        <v>45506</v>
      </c>
      <c r="M574" s="5">
        <v>45596</v>
      </c>
      <c r="N574">
        <v>0</v>
      </c>
      <c r="O574" t="s">
        <v>10382</v>
      </c>
    </row>
    <row r="575" spans="1:15" x14ac:dyDescent="0.25">
      <c r="A575">
        <v>510</v>
      </c>
      <c r="B575">
        <v>2</v>
      </c>
      <c r="C575">
        <v>253</v>
      </c>
      <c r="D575">
        <v>1</v>
      </c>
      <c r="E575">
        <v>1</v>
      </c>
      <c r="F575">
        <v>1</v>
      </c>
      <c r="G575" t="s">
        <v>7881</v>
      </c>
      <c r="H575" t="s">
        <v>8996</v>
      </c>
      <c r="I575" t="s">
        <v>4349</v>
      </c>
      <c r="J575" t="s">
        <v>9020</v>
      </c>
      <c r="K575" s="5">
        <v>45483</v>
      </c>
      <c r="L575" s="5" t="s">
        <v>4312</v>
      </c>
      <c r="M575" s="5">
        <v>46142</v>
      </c>
      <c r="N575">
        <v>1</v>
      </c>
      <c r="O575" t="s">
        <v>10784</v>
      </c>
    </row>
    <row r="576" spans="1:15" x14ac:dyDescent="0.25">
      <c r="A576">
        <v>511</v>
      </c>
      <c r="B576">
        <v>2</v>
      </c>
      <c r="C576">
        <v>207</v>
      </c>
      <c r="D576">
        <v>1</v>
      </c>
      <c r="E576">
        <v>1</v>
      </c>
      <c r="F576">
        <v>1</v>
      </c>
      <c r="G576" t="s">
        <v>7882</v>
      </c>
      <c r="H576" t="s">
        <v>8996</v>
      </c>
      <c r="I576" t="s">
        <v>4349</v>
      </c>
      <c r="J576" t="s">
        <v>9020</v>
      </c>
      <c r="K576" s="5">
        <v>45484</v>
      </c>
      <c r="L576" s="5" t="s">
        <v>4312</v>
      </c>
      <c r="M576" s="5">
        <v>46142</v>
      </c>
      <c r="N576">
        <v>1</v>
      </c>
      <c r="O576" t="s">
        <v>10785</v>
      </c>
    </row>
    <row r="577" spans="1:15" x14ac:dyDescent="0.25">
      <c r="A577">
        <v>512</v>
      </c>
      <c r="B577">
        <v>4</v>
      </c>
      <c r="C577">
        <v>121</v>
      </c>
      <c r="D577">
        <v>1</v>
      </c>
      <c r="E577">
        <v>38</v>
      </c>
      <c r="F577">
        <v>49</v>
      </c>
      <c r="G577" t="s">
        <v>7883</v>
      </c>
      <c r="H577" t="s">
        <v>8996</v>
      </c>
      <c r="I577" t="s">
        <v>4349</v>
      </c>
      <c r="K577" s="5">
        <v>45484</v>
      </c>
      <c r="L577" s="5">
        <v>45876</v>
      </c>
      <c r="M577" s="5" t="s">
        <v>4312</v>
      </c>
      <c r="N577">
        <v>0</v>
      </c>
      <c r="O577" t="s">
        <v>10786</v>
      </c>
    </row>
    <row r="578" spans="1:15" x14ac:dyDescent="0.25">
      <c r="A578">
        <v>513</v>
      </c>
      <c r="B578">
        <v>2</v>
      </c>
      <c r="C578">
        <v>153</v>
      </c>
      <c r="D578">
        <v>1</v>
      </c>
      <c r="E578">
        <v>1</v>
      </c>
      <c r="F578">
        <v>1</v>
      </c>
      <c r="G578" t="s">
        <v>7884</v>
      </c>
      <c r="H578" t="s">
        <v>8996</v>
      </c>
      <c r="K578" s="5">
        <v>45485</v>
      </c>
      <c r="L578" s="5">
        <v>45596</v>
      </c>
      <c r="M578" s="5">
        <v>45596</v>
      </c>
      <c r="N578">
        <v>0</v>
      </c>
      <c r="O578" t="s">
        <v>10383</v>
      </c>
    </row>
    <row r="579" spans="1:15" x14ac:dyDescent="0.25">
      <c r="A579">
        <v>199</v>
      </c>
      <c r="B579">
        <v>9</v>
      </c>
      <c r="C579">
        <v>150</v>
      </c>
      <c r="D579">
        <v>3</v>
      </c>
      <c r="E579">
        <v>37</v>
      </c>
      <c r="F579">
        <v>48</v>
      </c>
      <c r="H579" t="s">
        <v>8996</v>
      </c>
      <c r="K579" s="5">
        <v>45485</v>
      </c>
      <c r="L579" s="5">
        <v>45596</v>
      </c>
      <c r="M579" s="5" t="s">
        <v>4312</v>
      </c>
      <c r="N579">
        <v>0</v>
      </c>
      <c r="O579" t="s">
        <v>10787</v>
      </c>
    </row>
    <row r="580" spans="1:15" x14ac:dyDescent="0.25">
      <c r="A580">
        <v>514</v>
      </c>
      <c r="B580">
        <v>4</v>
      </c>
      <c r="C580">
        <v>187</v>
      </c>
      <c r="D580">
        <v>1</v>
      </c>
      <c r="E580">
        <v>1</v>
      </c>
      <c r="F580">
        <v>1</v>
      </c>
      <c r="H580" t="s">
        <v>8996</v>
      </c>
      <c r="K580" s="5">
        <v>45495</v>
      </c>
      <c r="L580" s="5">
        <v>45657</v>
      </c>
      <c r="M580" s="5" t="s">
        <v>4312</v>
      </c>
      <c r="N580">
        <v>0</v>
      </c>
      <c r="O580" t="s">
        <v>10788</v>
      </c>
    </row>
    <row r="581" spans="1:15" x14ac:dyDescent="0.25">
      <c r="A581">
        <v>515</v>
      </c>
      <c r="B581">
        <v>5</v>
      </c>
      <c r="C581">
        <v>74</v>
      </c>
      <c r="D581">
        <v>1</v>
      </c>
      <c r="E581">
        <v>1</v>
      </c>
      <c r="F581">
        <v>1</v>
      </c>
      <c r="G581" t="s">
        <v>7885</v>
      </c>
      <c r="H581" t="s">
        <v>8996</v>
      </c>
      <c r="K581" s="5">
        <v>45498</v>
      </c>
      <c r="L581" s="5">
        <v>45590</v>
      </c>
      <c r="M581" s="5">
        <v>45596</v>
      </c>
      <c r="N581">
        <v>0</v>
      </c>
      <c r="O581" t="s">
        <v>10384</v>
      </c>
    </row>
    <row r="582" spans="1:15" x14ac:dyDescent="0.25">
      <c r="A582">
        <v>516</v>
      </c>
      <c r="B582">
        <v>4</v>
      </c>
      <c r="C582">
        <v>65</v>
      </c>
      <c r="D582">
        <v>1</v>
      </c>
      <c r="E582">
        <v>1</v>
      </c>
      <c r="F582">
        <v>1</v>
      </c>
      <c r="G582" t="s">
        <v>7886</v>
      </c>
      <c r="H582" t="s">
        <v>8996</v>
      </c>
      <c r="I582" t="s">
        <v>4349</v>
      </c>
      <c r="K582" s="5">
        <v>45499</v>
      </c>
      <c r="L582" s="5">
        <v>45900</v>
      </c>
      <c r="M582" s="5" t="s">
        <v>4312</v>
      </c>
      <c r="N582">
        <v>0</v>
      </c>
      <c r="O582" t="s">
        <v>10789</v>
      </c>
    </row>
    <row r="583" spans="1:15" x14ac:dyDescent="0.25">
      <c r="A583">
        <v>517</v>
      </c>
      <c r="B583">
        <v>5</v>
      </c>
      <c r="C583">
        <v>93</v>
      </c>
      <c r="D583">
        <v>1</v>
      </c>
      <c r="E583">
        <v>1</v>
      </c>
      <c r="F583">
        <v>1</v>
      </c>
      <c r="G583" t="s">
        <v>7887</v>
      </c>
      <c r="H583" t="s">
        <v>8996</v>
      </c>
      <c r="K583" s="5">
        <v>45499</v>
      </c>
      <c r="L583" s="5">
        <v>45585</v>
      </c>
      <c r="M583" s="5">
        <v>45657</v>
      </c>
      <c r="N583">
        <v>0</v>
      </c>
      <c r="O583" t="s">
        <v>10385</v>
      </c>
    </row>
    <row r="584" spans="1:15" x14ac:dyDescent="0.25">
      <c r="A584">
        <v>363</v>
      </c>
      <c r="B584">
        <v>2</v>
      </c>
      <c r="C584">
        <v>235</v>
      </c>
      <c r="D584">
        <v>1</v>
      </c>
      <c r="E584">
        <v>1</v>
      </c>
      <c r="F584">
        <v>1</v>
      </c>
      <c r="G584" t="s">
        <v>7730</v>
      </c>
      <c r="H584" t="s">
        <v>8996</v>
      </c>
      <c r="I584" t="s">
        <v>4349</v>
      </c>
      <c r="J584" t="s">
        <v>9020</v>
      </c>
      <c r="K584" s="5">
        <v>45505</v>
      </c>
      <c r="L584" s="5" t="s">
        <v>4312</v>
      </c>
      <c r="M584" s="5">
        <v>46022</v>
      </c>
      <c r="N584">
        <v>1</v>
      </c>
      <c r="O584" t="s">
        <v>10790</v>
      </c>
    </row>
    <row r="585" spans="1:15" x14ac:dyDescent="0.25">
      <c r="A585">
        <v>279</v>
      </c>
      <c r="B585">
        <v>2</v>
      </c>
      <c r="C585">
        <v>125</v>
      </c>
      <c r="D585">
        <v>2</v>
      </c>
      <c r="E585">
        <v>38</v>
      </c>
      <c r="F585">
        <v>49</v>
      </c>
      <c r="G585" t="s">
        <v>7888</v>
      </c>
      <c r="H585" t="s">
        <v>8996</v>
      </c>
      <c r="I585" t="s">
        <v>4349</v>
      </c>
      <c r="J585" t="s">
        <v>9020</v>
      </c>
      <c r="K585" s="5">
        <v>45505</v>
      </c>
      <c r="L585" s="5" t="s">
        <v>4312</v>
      </c>
      <c r="M585" s="5">
        <v>46053</v>
      </c>
      <c r="N585">
        <v>1</v>
      </c>
      <c r="O585" t="s">
        <v>10791</v>
      </c>
    </row>
    <row r="586" spans="1:15" x14ac:dyDescent="0.25">
      <c r="A586">
        <v>222</v>
      </c>
      <c r="B586">
        <v>2</v>
      </c>
      <c r="C586">
        <v>168</v>
      </c>
      <c r="D586">
        <v>2</v>
      </c>
      <c r="E586">
        <v>38</v>
      </c>
      <c r="F586">
        <v>49</v>
      </c>
      <c r="G586" t="s">
        <v>7889</v>
      </c>
      <c r="H586" t="s">
        <v>8996</v>
      </c>
      <c r="I586" t="s">
        <v>4349</v>
      </c>
      <c r="J586" t="s">
        <v>9020</v>
      </c>
      <c r="K586" s="5">
        <v>45505</v>
      </c>
      <c r="L586" s="5" t="s">
        <v>4312</v>
      </c>
      <c r="M586" s="5">
        <v>46053</v>
      </c>
      <c r="N586">
        <v>1</v>
      </c>
      <c r="O586" t="s">
        <v>10792</v>
      </c>
    </row>
    <row r="587" spans="1:15" x14ac:dyDescent="0.25">
      <c r="A587">
        <v>518</v>
      </c>
      <c r="B587">
        <v>2</v>
      </c>
      <c r="C587">
        <v>112</v>
      </c>
      <c r="D587">
        <v>1</v>
      </c>
      <c r="E587">
        <v>1</v>
      </c>
      <c r="F587">
        <v>1</v>
      </c>
      <c r="G587" t="s">
        <v>7890</v>
      </c>
      <c r="H587" t="s">
        <v>8996</v>
      </c>
      <c r="I587" t="s">
        <v>4348</v>
      </c>
      <c r="J587" t="s">
        <v>9020</v>
      </c>
      <c r="K587" s="5">
        <v>45505</v>
      </c>
      <c r="L587" s="5" t="s">
        <v>4312</v>
      </c>
      <c r="M587" s="5">
        <v>46142</v>
      </c>
      <c r="N587">
        <v>1</v>
      </c>
      <c r="O587" t="s">
        <v>10793</v>
      </c>
    </row>
    <row r="588" spans="1:15" x14ac:dyDescent="0.25">
      <c r="A588">
        <v>519</v>
      </c>
      <c r="B588">
        <v>3</v>
      </c>
      <c r="C588">
        <v>154</v>
      </c>
      <c r="D588">
        <v>2</v>
      </c>
      <c r="E588">
        <v>25</v>
      </c>
      <c r="F588">
        <v>26</v>
      </c>
      <c r="G588" t="s">
        <v>7891</v>
      </c>
      <c r="H588" t="s">
        <v>8996</v>
      </c>
      <c r="I588" t="s">
        <v>4349</v>
      </c>
      <c r="K588" s="5">
        <v>45505</v>
      </c>
      <c r="L588" s="5">
        <v>45852</v>
      </c>
      <c r="M588" s="5">
        <v>45869</v>
      </c>
      <c r="N588">
        <v>0</v>
      </c>
      <c r="O588" t="s">
        <v>10386</v>
      </c>
    </row>
    <row r="589" spans="1:15" x14ac:dyDescent="0.25">
      <c r="A589">
        <v>282</v>
      </c>
      <c r="B589">
        <v>2</v>
      </c>
      <c r="C589">
        <v>214</v>
      </c>
      <c r="D589">
        <v>1</v>
      </c>
      <c r="E589">
        <v>1</v>
      </c>
      <c r="F589">
        <v>1</v>
      </c>
      <c r="G589" t="s">
        <v>7892</v>
      </c>
      <c r="H589" t="s">
        <v>8996</v>
      </c>
      <c r="I589" t="s">
        <v>4349</v>
      </c>
      <c r="J589" t="s">
        <v>9020</v>
      </c>
      <c r="K589" s="5">
        <v>45689</v>
      </c>
      <c r="L589" s="5" t="s">
        <v>4312</v>
      </c>
      <c r="M589" s="5">
        <v>46142</v>
      </c>
      <c r="N589">
        <v>1</v>
      </c>
      <c r="O589" t="s">
        <v>10794</v>
      </c>
    </row>
    <row r="590" spans="1:15" x14ac:dyDescent="0.25">
      <c r="A590">
        <v>520</v>
      </c>
      <c r="B590">
        <v>2</v>
      </c>
      <c r="C590">
        <v>229</v>
      </c>
      <c r="D590">
        <v>1</v>
      </c>
      <c r="E590">
        <v>1</v>
      </c>
      <c r="F590">
        <v>1</v>
      </c>
      <c r="G590" t="s">
        <v>7893</v>
      </c>
      <c r="H590" t="s">
        <v>8996</v>
      </c>
      <c r="K590" s="5">
        <v>45509</v>
      </c>
      <c r="L590" s="5">
        <v>45534</v>
      </c>
      <c r="M590" s="5">
        <v>45626</v>
      </c>
      <c r="N590">
        <v>0</v>
      </c>
      <c r="O590" t="s">
        <v>10387</v>
      </c>
    </row>
    <row r="591" spans="1:15" x14ac:dyDescent="0.25">
      <c r="A591">
        <v>193</v>
      </c>
      <c r="B591">
        <v>3</v>
      </c>
      <c r="C591">
        <v>157</v>
      </c>
      <c r="D591">
        <v>1</v>
      </c>
      <c r="E591">
        <v>2</v>
      </c>
      <c r="F591">
        <v>2</v>
      </c>
      <c r="G591" t="s">
        <v>7894</v>
      </c>
      <c r="H591" t="s">
        <v>8996</v>
      </c>
      <c r="I591" t="s">
        <v>4349</v>
      </c>
      <c r="J591" t="s">
        <v>9025</v>
      </c>
      <c r="K591" s="5">
        <v>45511</v>
      </c>
      <c r="L591" s="5" t="s">
        <v>4312</v>
      </c>
      <c r="M591" s="5">
        <v>46053</v>
      </c>
      <c r="N591">
        <v>1</v>
      </c>
      <c r="O591" t="s">
        <v>10795</v>
      </c>
    </row>
    <row r="592" spans="1:15" x14ac:dyDescent="0.25">
      <c r="A592">
        <v>522</v>
      </c>
      <c r="B592">
        <v>2</v>
      </c>
      <c r="C592">
        <v>227</v>
      </c>
      <c r="D592">
        <v>1</v>
      </c>
      <c r="E592">
        <v>1</v>
      </c>
      <c r="F592">
        <v>1</v>
      </c>
      <c r="G592" t="s">
        <v>7895</v>
      </c>
      <c r="H592" t="s">
        <v>8996</v>
      </c>
      <c r="J592" t="s">
        <v>9020</v>
      </c>
      <c r="K592" s="5">
        <v>45512</v>
      </c>
      <c r="L592" s="5">
        <v>45565</v>
      </c>
      <c r="M592" s="5">
        <v>45626</v>
      </c>
      <c r="N592">
        <v>0</v>
      </c>
      <c r="O592" t="s">
        <v>10388</v>
      </c>
    </row>
    <row r="593" spans="1:15" x14ac:dyDescent="0.25">
      <c r="A593">
        <v>523</v>
      </c>
      <c r="B593">
        <v>9</v>
      </c>
      <c r="C593">
        <v>154</v>
      </c>
      <c r="D593">
        <v>3</v>
      </c>
      <c r="E593">
        <v>37</v>
      </c>
      <c r="F593">
        <v>48</v>
      </c>
      <c r="H593" t="s">
        <v>8996</v>
      </c>
      <c r="K593" s="5">
        <v>45513</v>
      </c>
      <c r="L593" s="5">
        <v>45596</v>
      </c>
      <c r="M593" s="5" t="s">
        <v>4312</v>
      </c>
      <c r="N593">
        <v>0</v>
      </c>
      <c r="O593" t="s">
        <v>10796</v>
      </c>
    </row>
    <row r="594" spans="1:15" x14ac:dyDescent="0.25">
      <c r="A594">
        <v>380</v>
      </c>
      <c r="B594">
        <v>4</v>
      </c>
      <c r="C594">
        <v>246</v>
      </c>
      <c r="D594">
        <v>1</v>
      </c>
      <c r="E594">
        <v>1</v>
      </c>
      <c r="F594">
        <v>1</v>
      </c>
      <c r="H594" t="s">
        <v>8996</v>
      </c>
      <c r="I594" t="s">
        <v>4349</v>
      </c>
      <c r="K594" s="5">
        <v>45519</v>
      </c>
      <c r="L594" s="5">
        <v>45808</v>
      </c>
      <c r="M594" s="5" t="s">
        <v>4312</v>
      </c>
      <c r="N594">
        <v>0</v>
      </c>
      <c r="O594" t="s">
        <v>10797</v>
      </c>
    </row>
    <row r="595" spans="1:15" x14ac:dyDescent="0.25">
      <c r="A595">
        <v>524</v>
      </c>
      <c r="B595">
        <v>3</v>
      </c>
      <c r="C595">
        <v>154</v>
      </c>
      <c r="D595">
        <v>1</v>
      </c>
      <c r="E595">
        <v>36</v>
      </c>
      <c r="F595">
        <v>21</v>
      </c>
      <c r="G595" t="s">
        <v>7896</v>
      </c>
      <c r="H595" t="s">
        <v>8996</v>
      </c>
      <c r="K595" s="5">
        <v>45519</v>
      </c>
      <c r="L595" s="5">
        <v>45526</v>
      </c>
      <c r="M595" s="5">
        <v>45626</v>
      </c>
      <c r="N595">
        <v>0</v>
      </c>
      <c r="O595" t="s">
        <v>10389</v>
      </c>
    </row>
    <row r="596" spans="1:15" x14ac:dyDescent="0.25">
      <c r="A596">
        <v>525</v>
      </c>
      <c r="B596">
        <v>2</v>
      </c>
      <c r="C596">
        <v>260</v>
      </c>
      <c r="D596">
        <v>1</v>
      </c>
      <c r="E596">
        <v>1</v>
      </c>
      <c r="F596">
        <v>1</v>
      </c>
      <c r="G596" t="s">
        <v>7897</v>
      </c>
      <c r="H596" t="s">
        <v>8995</v>
      </c>
      <c r="I596" t="s">
        <v>4349</v>
      </c>
      <c r="J596" t="s">
        <v>9020</v>
      </c>
      <c r="K596" s="5">
        <v>45520</v>
      </c>
      <c r="L596" s="5" t="s">
        <v>4312</v>
      </c>
      <c r="M596" s="5">
        <v>46265</v>
      </c>
      <c r="N596">
        <v>1</v>
      </c>
      <c r="O596" t="s">
        <v>10798</v>
      </c>
    </row>
    <row r="597" spans="1:15" x14ac:dyDescent="0.25">
      <c r="A597">
        <v>82</v>
      </c>
      <c r="B597">
        <v>4</v>
      </c>
      <c r="C597">
        <v>64</v>
      </c>
      <c r="D597">
        <v>1</v>
      </c>
      <c r="E597">
        <v>1</v>
      </c>
      <c r="F597">
        <v>1</v>
      </c>
      <c r="G597" t="s">
        <v>7898</v>
      </c>
      <c r="H597" t="s">
        <v>8996</v>
      </c>
      <c r="I597" t="s">
        <v>4349</v>
      </c>
      <c r="K597" s="5">
        <v>45523</v>
      </c>
      <c r="L597" s="5">
        <v>45808</v>
      </c>
      <c r="M597" s="5" t="s">
        <v>4312</v>
      </c>
      <c r="N597">
        <v>0</v>
      </c>
      <c r="O597" t="s">
        <v>10799</v>
      </c>
    </row>
    <row r="598" spans="1:15" x14ac:dyDescent="0.25">
      <c r="A598">
        <v>526</v>
      </c>
      <c r="B598">
        <v>2</v>
      </c>
      <c r="C598">
        <v>39</v>
      </c>
      <c r="D598">
        <v>1</v>
      </c>
      <c r="E598">
        <v>1</v>
      </c>
      <c r="F598">
        <v>1</v>
      </c>
      <c r="G598" t="s">
        <v>7899</v>
      </c>
      <c r="H598" t="s">
        <v>8996</v>
      </c>
      <c r="I598" t="s">
        <v>4349</v>
      </c>
      <c r="J598" t="s">
        <v>9020</v>
      </c>
      <c r="K598" s="5">
        <v>45525</v>
      </c>
      <c r="L598" s="5" t="s">
        <v>4312</v>
      </c>
      <c r="M598" s="5">
        <v>46081</v>
      </c>
      <c r="N598">
        <v>1</v>
      </c>
      <c r="O598" t="s">
        <v>10800</v>
      </c>
    </row>
    <row r="599" spans="1:15" x14ac:dyDescent="0.25">
      <c r="A599">
        <v>527</v>
      </c>
      <c r="B599">
        <v>2</v>
      </c>
      <c r="C599">
        <v>27</v>
      </c>
      <c r="D599">
        <v>1</v>
      </c>
      <c r="E599">
        <v>1</v>
      </c>
      <c r="F599">
        <v>1</v>
      </c>
      <c r="G599" t="s">
        <v>7900</v>
      </c>
      <c r="H599" t="s">
        <v>8996</v>
      </c>
      <c r="I599" t="s">
        <v>4349</v>
      </c>
      <c r="K599" s="5">
        <v>45525</v>
      </c>
      <c r="L599" s="5">
        <v>45841</v>
      </c>
      <c r="M599" s="5">
        <v>45900</v>
      </c>
      <c r="N599">
        <v>0</v>
      </c>
      <c r="O599" t="s">
        <v>10390</v>
      </c>
    </row>
    <row r="600" spans="1:15" x14ac:dyDescent="0.25">
      <c r="A600">
        <v>528</v>
      </c>
      <c r="B600">
        <v>4</v>
      </c>
      <c r="C600">
        <v>122</v>
      </c>
      <c r="D600">
        <v>4</v>
      </c>
      <c r="E600">
        <v>38</v>
      </c>
      <c r="F600">
        <v>49</v>
      </c>
      <c r="G600" t="s">
        <v>7901</v>
      </c>
      <c r="H600" t="s">
        <v>8996</v>
      </c>
      <c r="I600" t="s">
        <v>4349</v>
      </c>
      <c r="J600" t="s">
        <v>9020</v>
      </c>
      <c r="K600" s="5">
        <v>45600</v>
      </c>
      <c r="L600" s="5" t="s">
        <v>4312</v>
      </c>
      <c r="M600" s="5" t="s">
        <v>4312</v>
      </c>
      <c r="N600">
        <v>1</v>
      </c>
      <c r="O600" t="s">
        <v>10801</v>
      </c>
    </row>
    <row r="601" spans="1:15" x14ac:dyDescent="0.25">
      <c r="A601">
        <v>529</v>
      </c>
      <c r="B601">
        <v>3</v>
      </c>
      <c r="C601">
        <v>154</v>
      </c>
      <c r="D601">
        <v>3</v>
      </c>
      <c r="E601">
        <v>4</v>
      </c>
      <c r="F601">
        <v>4</v>
      </c>
      <c r="G601" t="s">
        <v>7902</v>
      </c>
      <c r="H601" t="s">
        <v>8996</v>
      </c>
      <c r="I601" t="s">
        <v>4349</v>
      </c>
      <c r="J601" t="s">
        <v>9023</v>
      </c>
      <c r="K601" s="5">
        <v>45526</v>
      </c>
      <c r="L601" s="5">
        <v>45875</v>
      </c>
      <c r="M601" s="5">
        <v>45900</v>
      </c>
      <c r="N601">
        <v>0</v>
      </c>
      <c r="O601" t="s">
        <v>10391</v>
      </c>
    </row>
    <row r="602" spans="1:15" x14ac:dyDescent="0.25">
      <c r="A602">
        <v>530</v>
      </c>
      <c r="B602">
        <v>3</v>
      </c>
      <c r="C602">
        <v>154</v>
      </c>
      <c r="D602">
        <v>2</v>
      </c>
      <c r="E602">
        <v>22</v>
      </c>
      <c r="F602">
        <v>24</v>
      </c>
      <c r="G602" t="s">
        <v>7903</v>
      </c>
      <c r="H602" t="s">
        <v>8996</v>
      </c>
      <c r="I602" t="s">
        <v>4349</v>
      </c>
      <c r="K602" s="5">
        <v>45527</v>
      </c>
      <c r="L602" s="5">
        <v>45900</v>
      </c>
      <c r="M602" s="5">
        <v>45900</v>
      </c>
      <c r="N602">
        <v>0</v>
      </c>
      <c r="O602" t="s">
        <v>10392</v>
      </c>
    </row>
    <row r="603" spans="1:15" x14ac:dyDescent="0.25">
      <c r="A603">
        <v>433</v>
      </c>
      <c r="B603">
        <v>2</v>
      </c>
      <c r="C603">
        <v>160</v>
      </c>
      <c r="D603">
        <v>2</v>
      </c>
      <c r="E603">
        <v>38</v>
      </c>
      <c r="F603">
        <v>49</v>
      </c>
      <c r="G603" t="s">
        <v>7904</v>
      </c>
      <c r="H603" t="s">
        <v>8996</v>
      </c>
      <c r="I603" t="s">
        <v>4349</v>
      </c>
      <c r="J603" t="s">
        <v>9020</v>
      </c>
      <c r="K603" s="5">
        <v>45536</v>
      </c>
      <c r="L603" s="5" t="s">
        <v>4312</v>
      </c>
      <c r="M603" s="5">
        <v>46022</v>
      </c>
      <c r="N603">
        <v>1</v>
      </c>
      <c r="O603" t="s">
        <v>10802</v>
      </c>
    </row>
    <row r="604" spans="1:15" x14ac:dyDescent="0.25">
      <c r="A604">
        <v>74</v>
      </c>
      <c r="B604">
        <v>2</v>
      </c>
      <c r="C604">
        <v>23</v>
      </c>
      <c r="D604">
        <v>1</v>
      </c>
      <c r="E604">
        <v>1</v>
      </c>
      <c r="F604">
        <v>1</v>
      </c>
      <c r="G604" t="s">
        <v>7905</v>
      </c>
      <c r="H604" t="s">
        <v>8996</v>
      </c>
      <c r="I604" t="s">
        <v>4349</v>
      </c>
      <c r="J604" t="s">
        <v>9020</v>
      </c>
      <c r="K604" s="5">
        <v>45536</v>
      </c>
      <c r="L604" s="5" t="s">
        <v>4312</v>
      </c>
      <c r="M604" s="5">
        <v>45991</v>
      </c>
      <c r="N604">
        <v>1</v>
      </c>
      <c r="O604" t="s">
        <v>10803</v>
      </c>
    </row>
    <row r="605" spans="1:15" x14ac:dyDescent="0.25">
      <c r="A605">
        <v>435</v>
      </c>
      <c r="B605">
        <v>2</v>
      </c>
      <c r="C605">
        <v>161</v>
      </c>
      <c r="D605">
        <v>2</v>
      </c>
      <c r="E605">
        <v>38</v>
      </c>
      <c r="F605">
        <v>49</v>
      </c>
      <c r="G605" t="s">
        <v>7906</v>
      </c>
      <c r="H605" t="s">
        <v>8996</v>
      </c>
      <c r="I605" t="s">
        <v>4349</v>
      </c>
      <c r="J605" t="s">
        <v>9020</v>
      </c>
      <c r="K605" s="5">
        <v>45536</v>
      </c>
      <c r="L605" s="5" t="s">
        <v>4312</v>
      </c>
      <c r="M605" s="5">
        <v>46022</v>
      </c>
      <c r="N605">
        <v>1</v>
      </c>
      <c r="O605" t="s">
        <v>10804</v>
      </c>
    </row>
    <row r="606" spans="1:15" x14ac:dyDescent="0.25">
      <c r="A606">
        <v>371</v>
      </c>
      <c r="B606">
        <v>2</v>
      </c>
      <c r="C606">
        <v>254</v>
      </c>
      <c r="D606">
        <v>4</v>
      </c>
      <c r="E606">
        <v>1</v>
      </c>
      <c r="F606">
        <v>1</v>
      </c>
      <c r="G606" t="s">
        <v>7737</v>
      </c>
      <c r="H606" t="s">
        <v>8996</v>
      </c>
      <c r="I606" t="s">
        <v>4349</v>
      </c>
      <c r="J606" t="s">
        <v>9022</v>
      </c>
      <c r="K606" s="5">
        <v>45536</v>
      </c>
      <c r="L606" s="5" t="s">
        <v>4312</v>
      </c>
      <c r="M606" s="5">
        <v>46081</v>
      </c>
      <c r="N606">
        <v>1</v>
      </c>
      <c r="O606" t="s">
        <v>10805</v>
      </c>
    </row>
    <row r="607" spans="1:15" x14ac:dyDescent="0.25">
      <c r="A607">
        <v>452</v>
      </c>
      <c r="B607">
        <v>2</v>
      </c>
      <c r="C607">
        <v>161</v>
      </c>
      <c r="D607">
        <v>2</v>
      </c>
      <c r="E607">
        <v>38</v>
      </c>
      <c r="F607">
        <v>49</v>
      </c>
      <c r="G607" t="s">
        <v>7907</v>
      </c>
      <c r="H607" t="s">
        <v>8996</v>
      </c>
      <c r="I607" t="s">
        <v>4349</v>
      </c>
      <c r="K607" s="5">
        <v>45536</v>
      </c>
      <c r="L607" s="5">
        <v>45639</v>
      </c>
      <c r="M607" s="5">
        <v>45716</v>
      </c>
      <c r="N607">
        <v>0</v>
      </c>
      <c r="O607" t="s">
        <v>10393</v>
      </c>
    </row>
    <row r="608" spans="1:15" x14ac:dyDescent="0.25">
      <c r="A608">
        <v>531</v>
      </c>
      <c r="B608">
        <v>2</v>
      </c>
      <c r="C608">
        <v>5</v>
      </c>
      <c r="D608">
        <v>1</v>
      </c>
      <c r="E608">
        <v>1</v>
      </c>
      <c r="F608">
        <v>1</v>
      </c>
      <c r="G608" t="s">
        <v>7908</v>
      </c>
      <c r="H608" t="s">
        <v>8995</v>
      </c>
      <c r="I608" t="s">
        <v>4349</v>
      </c>
      <c r="K608" s="5">
        <v>45537</v>
      </c>
      <c r="L608" s="5">
        <v>45900</v>
      </c>
      <c r="M608" s="5">
        <v>46022</v>
      </c>
      <c r="N608">
        <v>0</v>
      </c>
      <c r="O608" t="s">
        <v>10394</v>
      </c>
    </row>
    <row r="609" spans="1:15" x14ac:dyDescent="0.25">
      <c r="A609">
        <v>532</v>
      </c>
      <c r="B609">
        <v>2</v>
      </c>
      <c r="C609">
        <v>175</v>
      </c>
      <c r="D609">
        <v>1</v>
      </c>
      <c r="E609">
        <v>1</v>
      </c>
      <c r="F609">
        <v>1</v>
      </c>
      <c r="G609" t="s">
        <v>7909</v>
      </c>
      <c r="H609" t="s">
        <v>8995</v>
      </c>
      <c r="K609" s="5">
        <v>45537</v>
      </c>
      <c r="L609" s="5">
        <v>45657</v>
      </c>
      <c r="M609" s="5">
        <v>45657</v>
      </c>
      <c r="N609">
        <v>0</v>
      </c>
      <c r="O609" t="s">
        <v>10395</v>
      </c>
    </row>
    <row r="610" spans="1:15" x14ac:dyDescent="0.25">
      <c r="A610">
        <v>533</v>
      </c>
      <c r="B610">
        <v>4</v>
      </c>
      <c r="C610">
        <v>65</v>
      </c>
      <c r="D610">
        <v>2</v>
      </c>
      <c r="E610">
        <v>1</v>
      </c>
      <c r="F610">
        <v>1</v>
      </c>
      <c r="H610" t="s">
        <v>8996</v>
      </c>
      <c r="I610" t="s">
        <v>4349</v>
      </c>
      <c r="K610" s="5">
        <v>45537</v>
      </c>
      <c r="L610" s="5">
        <v>45808</v>
      </c>
      <c r="M610" s="5" t="s">
        <v>4312</v>
      </c>
      <c r="N610">
        <v>0</v>
      </c>
      <c r="O610" t="s">
        <v>10806</v>
      </c>
    </row>
    <row r="611" spans="1:15" x14ac:dyDescent="0.25">
      <c r="A611">
        <v>534</v>
      </c>
      <c r="B611">
        <v>2</v>
      </c>
      <c r="C611">
        <v>189</v>
      </c>
      <c r="D611">
        <v>2</v>
      </c>
      <c r="E611">
        <v>1</v>
      </c>
      <c r="F611">
        <v>1</v>
      </c>
      <c r="G611" t="s">
        <v>7910</v>
      </c>
      <c r="H611" t="s">
        <v>8996</v>
      </c>
      <c r="K611" s="5">
        <v>45539</v>
      </c>
      <c r="L611" s="5">
        <v>45596</v>
      </c>
      <c r="M611" s="5">
        <v>45657</v>
      </c>
      <c r="N611">
        <v>0</v>
      </c>
      <c r="O611" t="s">
        <v>10396</v>
      </c>
    </row>
    <row r="612" spans="1:15" x14ac:dyDescent="0.25">
      <c r="A612">
        <v>535</v>
      </c>
      <c r="B612">
        <v>3</v>
      </c>
      <c r="C612">
        <v>161</v>
      </c>
      <c r="D612">
        <v>4</v>
      </c>
      <c r="E612">
        <v>38</v>
      </c>
      <c r="F612">
        <v>49</v>
      </c>
      <c r="G612" t="s">
        <v>7911</v>
      </c>
      <c r="H612" t="s">
        <v>8996</v>
      </c>
      <c r="I612" t="s">
        <v>4349</v>
      </c>
      <c r="J612" t="s">
        <v>9020</v>
      </c>
      <c r="K612" s="5">
        <v>45540</v>
      </c>
      <c r="L612" s="5" t="s">
        <v>4312</v>
      </c>
      <c r="M612" s="5">
        <v>46112</v>
      </c>
      <c r="N612">
        <v>1</v>
      </c>
      <c r="O612" t="s">
        <v>10807</v>
      </c>
    </row>
    <row r="613" spans="1:15" x14ac:dyDescent="0.25">
      <c r="A613">
        <v>536</v>
      </c>
      <c r="B613">
        <v>3</v>
      </c>
      <c r="C613">
        <v>157</v>
      </c>
      <c r="D613">
        <v>1</v>
      </c>
      <c r="E613">
        <v>36</v>
      </c>
      <c r="F613">
        <v>21</v>
      </c>
      <c r="G613" t="s">
        <v>7912</v>
      </c>
      <c r="H613" t="s">
        <v>8996</v>
      </c>
      <c r="I613" t="s">
        <v>4349</v>
      </c>
      <c r="J613" t="s">
        <v>9021</v>
      </c>
      <c r="K613" s="5">
        <v>45544</v>
      </c>
      <c r="L613" s="5">
        <v>45961</v>
      </c>
      <c r="M613" s="5">
        <v>45961</v>
      </c>
      <c r="N613">
        <v>0</v>
      </c>
      <c r="O613" t="s">
        <v>10397</v>
      </c>
    </row>
    <row r="614" spans="1:15" x14ac:dyDescent="0.25">
      <c r="A614">
        <v>537</v>
      </c>
      <c r="B614">
        <v>3</v>
      </c>
      <c r="C614">
        <v>154</v>
      </c>
      <c r="D614">
        <v>2</v>
      </c>
      <c r="E614">
        <v>27</v>
      </c>
      <c r="F614">
        <v>28</v>
      </c>
      <c r="G614" t="s">
        <v>7913</v>
      </c>
      <c r="H614" t="s">
        <v>8996</v>
      </c>
      <c r="K614" s="5">
        <v>45545</v>
      </c>
      <c r="L614" s="5">
        <v>45549</v>
      </c>
      <c r="M614" s="5">
        <v>45657</v>
      </c>
      <c r="N614">
        <v>0</v>
      </c>
      <c r="O614" t="s">
        <v>10398</v>
      </c>
    </row>
    <row r="615" spans="1:15" x14ac:dyDescent="0.25">
      <c r="A615">
        <v>538</v>
      </c>
      <c r="B615">
        <v>5</v>
      </c>
      <c r="C615">
        <v>75</v>
      </c>
      <c r="D615">
        <v>1</v>
      </c>
      <c r="E615">
        <v>1</v>
      </c>
      <c r="F615">
        <v>1</v>
      </c>
      <c r="G615" t="s">
        <v>7914</v>
      </c>
      <c r="H615" t="s">
        <v>8996</v>
      </c>
      <c r="I615" t="s">
        <v>4349</v>
      </c>
      <c r="K615" s="5">
        <v>45546</v>
      </c>
      <c r="L615" s="5">
        <v>45747</v>
      </c>
      <c r="M615" s="5">
        <v>45747</v>
      </c>
      <c r="N615">
        <v>0</v>
      </c>
      <c r="O615" t="s">
        <v>10399</v>
      </c>
    </row>
    <row r="616" spans="1:15" x14ac:dyDescent="0.25">
      <c r="A616">
        <v>539</v>
      </c>
      <c r="B616">
        <v>4</v>
      </c>
      <c r="C616">
        <v>122</v>
      </c>
      <c r="D616">
        <v>1</v>
      </c>
      <c r="E616">
        <v>38</v>
      </c>
      <c r="F616">
        <v>49</v>
      </c>
      <c r="G616" t="s">
        <v>7915</v>
      </c>
      <c r="H616" t="s">
        <v>8996</v>
      </c>
      <c r="I616" t="s">
        <v>4349</v>
      </c>
      <c r="K616" s="5">
        <v>45546</v>
      </c>
      <c r="L616" s="5">
        <v>45716</v>
      </c>
      <c r="M616" s="5" t="s">
        <v>4312</v>
      </c>
      <c r="N616">
        <v>0</v>
      </c>
      <c r="O616" t="s">
        <v>10808</v>
      </c>
    </row>
    <row r="617" spans="1:15" x14ac:dyDescent="0.25">
      <c r="A617">
        <v>540</v>
      </c>
      <c r="B617">
        <v>10</v>
      </c>
      <c r="C617">
        <v>180</v>
      </c>
      <c r="D617">
        <v>1</v>
      </c>
      <c r="E617">
        <v>1</v>
      </c>
      <c r="F617">
        <v>1</v>
      </c>
      <c r="G617" t="s">
        <v>7916</v>
      </c>
      <c r="H617" t="s">
        <v>8996</v>
      </c>
      <c r="I617" t="s">
        <v>4349</v>
      </c>
      <c r="K617" s="5">
        <v>45551</v>
      </c>
      <c r="L617" s="5">
        <v>45930</v>
      </c>
      <c r="M617" s="5">
        <v>45930</v>
      </c>
      <c r="N617">
        <v>0</v>
      </c>
      <c r="O617" t="s">
        <v>10400</v>
      </c>
    </row>
    <row r="618" spans="1:15" x14ac:dyDescent="0.25">
      <c r="A618">
        <v>541</v>
      </c>
      <c r="B618">
        <v>1</v>
      </c>
      <c r="C618">
        <v>116</v>
      </c>
      <c r="D618">
        <v>1</v>
      </c>
      <c r="E618">
        <v>1</v>
      </c>
      <c r="F618">
        <v>1</v>
      </c>
      <c r="G618" t="s">
        <v>7917</v>
      </c>
      <c r="H618" t="s">
        <v>8996</v>
      </c>
      <c r="I618" t="s">
        <v>4348</v>
      </c>
      <c r="J618" t="s">
        <v>9020</v>
      </c>
      <c r="K618" s="5">
        <v>45551</v>
      </c>
      <c r="L618" s="5">
        <v>45812</v>
      </c>
      <c r="M618" s="5" t="s">
        <v>4312</v>
      </c>
      <c r="N618">
        <v>0</v>
      </c>
      <c r="O618" t="s">
        <v>10809</v>
      </c>
    </row>
    <row r="619" spans="1:15" x14ac:dyDescent="0.25">
      <c r="A619">
        <v>147</v>
      </c>
      <c r="B619">
        <v>2</v>
      </c>
      <c r="C619">
        <v>14</v>
      </c>
      <c r="D619">
        <v>1</v>
      </c>
      <c r="E619">
        <v>1</v>
      </c>
      <c r="F619">
        <v>1</v>
      </c>
      <c r="G619" t="s">
        <v>7918</v>
      </c>
      <c r="H619" t="s">
        <v>8996</v>
      </c>
      <c r="K619" s="5">
        <v>45551</v>
      </c>
      <c r="L619" s="5">
        <v>45657</v>
      </c>
      <c r="M619" s="5">
        <v>45657</v>
      </c>
      <c r="N619">
        <v>0</v>
      </c>
      <c r="O619" t="s">
        <v>10401</v>
      </c>
    </row>
    <row r="620" spans="1:15" x14ac:dyDescent="0.25">
      <c r="A620">
        <v>543</v>
      </c>
      <c r="B620">
        <v>4</v>
      </c>
      <c r="C620">
        <v>60</v>
      </c>
      <c r="D620">
        <v>1</v>
      </c>
      <c r="E620">
        <v>38</v>
      </c>
      <c r="F620">
        <v>49</v>
      </c>
      <c r="G620" t="s">
        <v>7919</v>
      </c>
      <c r="H620" t="s">
        <v>8996</v>
      </c>
      <c r="I620" t="s">
        <v>4349</v>
      </c>
      <c r="K620" s="5">
        <v>45555</v>
      </c>
      <c r="L620" s="5">
        <v>45626</v>
      </c>
      <c r="M620" s="5" t="s">
        <v>4312</v>
      </c>
      <c r="N620">
        <v>0</v>
      </c>
      <c r="O620" t="s">
        <v>10810</v>
      </c>
    </row>
    <row r="621" spans="1:15" x14ac:dyDescent="0.25">
      <c r="A621">
        <v>544</v>
      </c>
      <c r="B621">
        <v>3</v>
      </c>
      <c r="C621">
        <v>154</v>
      </c>
      <c r="D621">
        <v>3</v>
      </c>
      <c r="E621">
        <v>4</v>
      </c>
      <c r="F621">
        <v>4</v>
      </c>
      <c r="G621" t="s">
        <v>7920</v>
      </c>
      <c r="H621" t="s">
        <v>8996</v>
      </c>
      <c r="I621" t="s">
        <v>4349</v>
      </c>
      <c r="K621" s="5">
        <v>45555</v>
      </c>
      <c r="L621" s="5">
        <v>45747</v>
      </c>
      <c r="M621" s="5">
        <v>45747</v>
      </c>
      <c r="N621">
        <v>0</v>
      </c>
      <c r="O621" t="s">
        <v>10402</v>
      </c>
    </row>
    <row r="622" spans="1:15" x14ac:dyDescent="0.25">
      <c r="A622">
        <v>235</v>
      </c>
      <c r="B622">
        <v>3</v>
      </c>
      <c r="C622">
        <v>154</v>
      </c>
      <c r="D622">
        <v>2</v>
      </c>
      <c r="E622">
        <v>27</v>
      </c>
      <c r="F622">
        <v>28</v>
      </c>
      <c r="G622" t="s">
        <v>7921</v>
      </c>
      <c r="H622" t="s">
        <v>8996</v>
      </c>
      <c r="I622" t="s">
        <v>4349</v>
      </c>
      <c r="K622" s="5">
        <v>45556</v>
      </c>
      <c r="L622" s="5">
        <v>45747</v>
      </c>
      <c r="M622" s="5">
        <v>45747</v>
      </c>
      <c r="N622">
        <v>0</v>
      </c>
      <c r="O622" t="s">
        <v>10403</v>
      </c>
    </row>
    <row r="623" spans="1:15" x14ac:dyDescent="0.25">
      <c r="A623">
        <v>545</v>
      </c>
      <c r="B623">
        <v>4</v>
      </c>
      <c r="C623">
        <v>168</v>
      </c>
      <c r="D623">
        <v>1</v>
      </c>
      <c r="E623">
        <v>38</v>
      </c>
      <c r="F623">
        <v>49</v>
      </c>
      <c r="G623" t="s">
        <v>7922</v>
      </c>
      <c r="H623" t="s">
        <v>8996</v>
      </c>
      <c r="I623" t="s">
        <v>4349</v>
      </c>
      <c r="K623" s="5">
        <v>45558</v>
      </c>
      <c r="L623" s="5">
        <v>45807</v>
      </c>
      <c r="M623" s="5" t="s">
        <v>4312</v>
      </c>
      <c r="N623">
        <v>0</v>
      </c>
      <c r="O623" t="s">
        <v>10811</v>
      </c>
    </row>
    <row r="624" spans="1:15" x14ac:dyDescent="0.25">
      <c r="A624">
        <v>546</v>
      </c>
      <c r="B624">
        <v>3</v>
      </c>
      <c r="C624">
        <v>154</v>
      </c>
      <c r="D624">
        <v>1</v>
      </c>
      <c r="E624">
        <v>36</v>
      </c>
      <c r="F624">
        <v>21</v>
      </c>
      <c r="G624" t="s">
        <v>7923</v>
      </c>
      <c r="H624" t="s">
        <v>8996</v>
      </c>
      <c r="I624" t="s">
        <v>4349</v>
      </c>
      <c r="K624" s="5">
        <v>45558</v>
      </c>
      <c r="L624" s="5">
        <v>45733</v>
      </c>
      <c r="M624" s="5">
        <v>45747</v>
      </c>
      <c r="N624">
        <v>0</v>
      </c>
      <c r="O624" t="s">
        <v>10404</v>
      </c>
    </row>
    <row r="625" spans="1:15" x14ac:dyDescent="0.25">
      <c r="A625">
        <v>547</v>
      </c>
      <c r="B625">
        <v>2</v>
      </c>
      <c r="C625">
        <v>230</v>
      </c>
      <c r="D625">
        <v>1</v>
      </c>
      <c r="E625">
        <v>1</v>
      </c>
      <c r="F625">
        <v>1</v>
      </c>
      <c r="G625" t="s">
        <v>7924</v>
      </c>
      <c r="H625" t="s">
        <v>8996</v>
      </c>
      <c r="I625" t="s">
        <v>4348</v>
      </c>
      <c r="K625" s="5">
        <v>45560</v>
      </c>
      <c r="L625" s="5">
        <v>45669</v>
      </c>
      <c r="M625" s="5">
        <v>45688</v>
      </c>
      <c r="N625">
        <v>0</v>
      </c>
      <c r="O625" t="s">
        <v>10405</v>
      </c>
    </row>
    <row r="626" spans="1:15" x14ac:dyDescent="0.25">
      <c r="A626">
        <v>548</v>
      </c>
      <c r="B626">
        <v>4</v>
      </c>
      <c r="C626">
        <v>161</v>
      </c>
      <c r="D626">
        <v>2</v>
      </c>
      <c r="E626">
        <v>38</v>
      </c>
      <c r="F626">
        <v>49</v>
      </c>
      <c r="G626" t="s">
        <v>7925</v>
      </c>
      <c r="H626" t="s">
        <v>8996</v>
      </c>
      <c r="I626" t="s">
        <v>4349</v>
      </c>
      <c r="K626" s="5">
        <v>45560</v>
      </c>
      <c r="L626" s="5">
        <v>45626</v>
      </c>
      <c r="M626" s="5" t="s">
        <v>4312</v>
      </c>
      <c r="N626">
        <v>0</v>
      </c>
      <c r="O626" t="s">
        <v>10812</v>
      </c>
    </row>
    <row r="627" spans="1:15" x14ac:dyDescent="0.25">
      <c r="A627">
        <v>549</v>
      </c>
      <c r="B627">
        <v>2</v>
      </c>
      <c r="C627">
        <v>175</v>
      </c>
      <c r="D627">
        <v>1</v>
      </c>
      <c r="E627">
        <v>1</v>
      </c>
      <c r="F627">
        <v>1</v>
      </c>
      <c r="G627" t="s">
        <v>7926</v>
      </c>
      <c r="H627" t="s">
        <v>8995</v>
      </c>
      <c r="I627" t="s">
        <v>4349</v>
      </c>
      <c r="K627" s="5">
        <v>45560</v>
      </c>
      <c r="L627" s="5">
        <v>45728</v>
      </c>
      <c r="M627" s="5">
        <v>45747</v>
      </c>
      <c r="N627">
        <v>0</v>
      </c>
      <c r="O627" t="s">
        <v>10406</v>
      </c>
    </row>
    <row r="628" spans="1:15" x14ac:dyDescent="0.25">
      <c r="A628">
        <v>550</v>
      </c>
      <c r="B628">
        <v>2</v>
      </c>
      <c r="C628">
        <v>178</v>
      </c>
      <c r="D628">
        <v>4</v>
      </c>
      <c r="E628">
        <v>1</v>
      </c>
      <c r="F628">
        <v>1</v>
      </c>
      <c r="G628" t="s">
        <v>7927</v>
      </c>
      <c r="H628" t="s">
        <v>8996</v>
      </c>
      <c r="I628" t="s">
        <v>4349</v>
      </c>
      <c r="J628" t="s">
        <v>9020</v>
      </c>
      <c r="K628" s="5">
        <v>45566</v>
      </c>
      <c r="L628" s="5" t="s">
        <v>4312</v>
      </c>
      <c r="M628" s="5">
        <v>45991</v>
      </c>
      <c r="N628">
        <v>1</v>
      </c>
      <c r="O628" t="s">
        <v>10813</v>
      </c>
    </row>
    <row r="629" spans="1:15" x14ac:dyDescent="0.25">
      <c r="A629">
        <v>551</v>
      </c>
      <c r="B629">
        <v>4</v>
      </c>
      <c r="C629">
        <v>161</v>
      </c>
      <c r="D629">
        <v>1</v>
      </c>
      <c r="E629">
        <v>38</v>
      </c>
      <c r="F629">
        <v>49</v>
      </c>
      <c r="G629" t="s">
        <v>7928</v>
      </c>
      <c r="H629" t="s">
        <v>8996</v>
      </c>
      <c r="I629" t="s">
        <v>4349</v>
      </c>
      <c r="J629" t="s">
        <v>9020</v>
      </c>
      <c r="K629" s="5">
        <v>45566</v>
      </c>
      <c r="L629" s="5">
        <v>45945</v>
      </c>
      <c r="M629" s="5" t="s">
        <v>4312</v>
      </c>
      <c r="N629">
        <v>0</v>
      </c>
      <c r="O629" t="s">
        <v>10814</v>
      </c>
    </row>
    <row r="630" spans="1:15" x14ac:dyDescent="0.25">
      <c r="A630">
        <v>552</v>
      </c>
      <c r="B630">
        <v>2</v>
      </c>
      <c r="C630">
        <v>226</v>
      </c>
      <c r="D630">
        <v>1</v>
      </c>
      <c r="E630">
        <v>1</v>
      </c>
      <c r="F630">
        <v>1</v>
      </c>
      <c r="G630" t="s">
        <v>7929</v>
      </c>
      <c r="H630" t="s">
        <v>8996</v>
      </c>
      <c r="I630" t="s">
        <v>4349</v>
      </c>
      <c r="J630" t="s">
        <v>9020</v>
      </c>
      <c r="K630" s="5">
        <v>45566</v>
      </c>
      <c r="L630" s="5">
        <v>45838</v>
      </c>
      <c r="M630" s="5">
        <v>45838</v>
      </c>
      <c r="N630">
        <v>0</v>
      </c>
      <c r="O630" t="s">
        <v>10407</v>
      </c>
    </row>
    <row r="631" spans="1:15" x14ac:dyDescent="0.25">
      <c r="A631">
        <v>553</v>
      </c>
      <c r="B631">
        <v>4</v>
      </c>
      <c r="C631">
        <v>161</v>
      </c>
      <c r="D631">
        <v>1</v>
      </c>
      <c r="E631">
        <v>38</v>
      </c>
      <c r="F631">
        <v>49</v>
      </c>
      <c r="G631" t="s">
        <v>7930</v>
      </c>
      <c r="H631" t="s">
        <v>8996</v>
      </c>
      <c r="I631" t="s">
        <v>4349</v>
      </c>
      <c r="J631" t="s">
        <v>9020</v>
      </c>
      <c r="K631" s="5">
        <v>45566</v>
      </c>
      <c r="L631" s="5">
        <v>45930</v>
      </c>
      <c r="M631" s="5" t="s">
        <v>4312</v>
      </c>
      <c r="N631">
        <v>0</v>
      </c>
      <c r="O631" t="s">
        <v>10815</v>
      </c>
    </row>
    <row r="632" spans="1:15" x14ac:dyDescent="0.25">
      <c r="A632">
        <v>554</v>
      </c>
      <c r="B632">
        <v>3</v>
      </c>
      <c r="C632">
        <v>154</v>
      </c>
      <c r="D632">
        <v>2</v>
      </c>
      <c r="E632">
        <v>13</v>
      </c>
      <c r="F632">
        <v>17</v>
      </c>
      <c r="G632" t="s">
        <v>7931</v>
      </c>
      <c r="H632" t="s">
        <v>8996</v>
      </c>
      <c r="I632" t="s">
        <v>4349</v>
      </c>
      <c r="K632" s="5">
        <v>45572</v>
      </c>
      <c r="L632" s="5">
        <v>45709</v>
      </c>
      <c r="M632" s="5">
        <v>45777</v>
      </c>
      <c r="N632">
        <v>0</v>
      </c>
      <c r="O632" t="s">
        <v>10408</v>
      </c>
    </row>
    <row r="633" spans="1:15" x14ac:dyDescent="0.25">
      <c r="A633">
        <v>555</v>
      </c>
      <c r="B633">
        <v>5</v>
      </c>
      <c r="C633">
        <v>83</v>
      </c>
      <c r="D633">
        <v>1</v>
      </c>
      <c r="E633">
        <v>1</v>
      </c>
      <c r="F633">
        <v>1</v>
      </c>
      <c r="G633" t="s">
        <v>7932</v>
      </c>
      <c r="H633" t="s">
        <v>8996</v>
      </c>
      <c r="I633" t="s">
        <v>4349</v>
      </c>
      <c r="K633" s="5">
        <v>45572</v>
      </c>
      <c r="L633" s="5">
        <v>45808</v>
      </c>
      <c r="M633" s="5">
        <v>45808</v>
      </c>
      <c r="N633">
        <v>0</v>
      </c>
      <c r="O633" t="s">
        <v>10409</v>
      </c>
    </row>
    <row r="634" spans="1:15" x14ac:dyDescent="0.25">
      <c r="A634">
        <v>556</v>
      </c>
      <c r="B634">
        <v>5</v>
      </c>
      <c r="C634">
        <v>93</v>
      </c>
      <c r="D634">
        <v>1</v>
      </c>
      <c r="E634">
        <v>1</v>
      </c>
      <c r="F634">
        <v>1</v>
      </c>
      <c r="G634" t="s">
        <v>7933</v>
      </c>
      <c r="H634" t="s">
        <v>8996</v>
      </c>
      <c r="I634" t="s">
        <v>4348</v>
      </c>
      <c r="K634" s="5">
        <v>45580</v>
      </c>
      <c r="L634" s="5">
        <v>45725</v>
      </c>
      <c r="M634" s="5">
        <v>45777</v>
      </c>
      <c r="N634">
        <v>0</v>
      </c>
      <c r="O634" t="s">
        <v>10410</v>
      </c>
    </row>
    <row r="635" spans="1:15" x14ac:dyDescent="0.25">
      <c r="A635">
        <v>557</v>
      </c>
      <c r="B635">
        <v>2</v>
      </c>
      <c r="C635">
        <v>187</v>
      </c>
      <c r="D635">
        <v>1</v>
      </c>
      <c r="E635">
        <v>1</v>
      </c>
      <c r="F635">
        <v>1</v>
      </c>
      <c r="G635" t="s">
        <v>7934</v>
      </c>
      <c r="H635" t="s">
        <v>8996</v>
      </c>
      <c r="I635" t="s">
        <v>4349</v>
      </c>
      <c r="J635" t="s">
        <v>9020</v>
      </c>
      <c r="K635" s="5">
        <v>45581</v>
      </c>
      <c r="L635" s="5" t="s">
        <v>4312</v>
      </c>
      <c r="M635" s="5">
        <v>46053</v>
      </c>
      <c r="N635">
        <v>1</v>
      </c>
      <c r="O635" t="s">
        <v>10816</v>
      </c>
    </row>
    <row r="636" spans="1:15" x14ac:dyDescent="0.25">
      <c r="A636">
        <v>558</v>
      </c>
      <c r="B636">
        <v>2</v>
      </c>
      <c r="C636">
        <v>5</v>
      </c>
      <c r="D636">
        <v>1</v>
      </c>
      <c r="E636">
        <v>1</v>
      </c>
      <c r="F636">
        <v>1</v>
      </c>
      <c r="G636" t="s">
        <v>7935</v>
      </c>
      <c r="H636" t="s">
        <v>8995</v>
      </c>
      <c r="I636" t="s">
        <v>4349</v>
      </c>
      <c r="J636" t="s">
        <v>9020</v>
      </c>
      <c r="K636" s="5">
        <v>45581</v>
      </c>
      <c r="L636" s="5" t="s">
        <v>4312</v>
      </c>
      <c r="M636" s="5">
        <v>46234</v>
      </c>
      <c r="N636">
        <v>1</v>
      </c>
      <c r="O636" t="s">
        <v>10817</v>
      </c>
    </row>
    <row r="637" spans="1:15" x14ac:dyDescent="0.25">
      <c r="A637">
        <v>559</v>
      </c>
      <c r="B637">
        <v>2</v>
      </c>
      <c r="C637">
        <v>107</v>
      </c>
      <c r="D637">
        <v>2</v>
      </c>
      <c r="E637">
        <v>1</v>
      </c>
      <c r="F637">
        <v>1</v>
      </c>
      <c r="G637" t="s">
        <v>7936</v>
      </c>
      <c r="H637" t="s">
        <v>8996</v>
      </c>
      <c r="I637" t="s">
        <v>4348</v>
      </c>
      <c r="J637" t="s">
        <v>9020</v>
      </c>
      <c r="K637" s="5">
        <v>45582</v>
      </c>
      <c r="L637" s="5" t="s">
        <v>4312</v>
      </c>
      <c r="M637" s="5">
        <v>46053</v>
      </c>
      <c r="N637">
        <v>1</v>
      </c>
      <c r="O637" t="s">
        <v>10818</v>
      </c>
    </row>
    <row r="638" spans="1:15" x14ac:dyDescent="0.25">
      <c r="A638">
        <v>560</v>
      </c>
      <c r="B638">
        <v>2</v>
      </c>
      <c r="C638">
        <v>41</v>
      </c>
      <c r="D638">
        <v>1</v>
      </c>
      <c r="E638">
        <v>1</v>
      </c>
      <c r="F638">
        <v>1</v>
      </c>
      <c r="G638" t="s">
        <v>7937</v>
      </c>
      <c r="H638" t="s">
        <v>8996</v>
      </c>
      <c r="I638" t="s">
        <v>4349</v>
      </c>
      <c r="J638" t="s">
        <v>9020</v>
      </c>
      <c r="K638" s="5">
        <v>45586</v>
      </c>
      <c r="L638" s="5" t="s">
        <v>4312</v>
      </c>
      <c r="M638" s="5">
        <v>46081</v>
      </c>
      <c r="N638">
        <v>1</v>
      </c>
      <c r="O638" t="s">
        <v>10819</v>
      </c>
    </row>
    <row r="639" spans="1:15" x14ac:dyDescent="0.25">
      <c r="A639">
        <v>481</v>
      </c>
      <c r="B639">
        <v>4</v>
      </c>
      <c r="C639">
        <v>189</v>
      </c>
      <c r="D639">
        <v>1</v>
      </c>
      <c r="E639">
        <v>1</v>
      </c>
      <c r="F639">
        <v>1</v>
      </c>
      <c r="H639" t="s">
        <v>8996</v>
      </c>
      <c r="I639" t="s">
        <v>4349</v>
      </c>
      <c r="K639" s="5">
        <v>45586</v>
      </c>
      <c r="L639" s="5">
        <v>45673</v>
      </c>
      <c r="M639" s="5" t="s">
        <v>4312</v>
      </c>
      <c r="N639">
        <v>0</v>
      </c>
      <c r="O639" t="s">
        <v>10820</v>
      </c>
    </row>
    <row r="640" spans="1:15" x14ac:dyDescent="0.25">
      <c r="A640">
        <v>561</v>
      </c>
      <c r="B640">
        <v>5</v>
      </c>
      <c r="C640">
        <v>94</v>
      </c>
      <c r="D640">
        <v>2</v>
      </c>
      <c r="E640">
        <v>1</v>
      </c>
      <c r="F640">
        <v>1</v>
      </c>
      <c r="G640" t="s">
        <v>7938</v>
      </c>
      <c r="H640" t="s">
        <v>8996</v>
      </c>
      <c r="K640" s="5">
        <v>45586</v>
      </c>
      <c r="L640" s="5">
        <v>45656</v>
      </c>
      <c r="M640" s="5">
        <v>45688</v>
      </c>
      <c r="N640">
        <v>0</v>
      </c>
      <c r="O640" t="s">
        <v>10411</v>
      </c>
    </row>
    <row r="641" spans="1:15" x14ac:dyDescent="0.25">
      <c r="A641">
        <v>562</v>
      </c>
      <c r="B641">
        <v>3</v>
      </c>
      <c r="C641">
        <v>157</v>
      </c>
      <c r="D641">
        <v>2</v>
      </c>
      <c r="E641">
        <v>32</v>
      </c>
      <c r="F641">
        <v>34</v>
      </c>
      <c r="G641" t="s">
        <v>7939</v>
      </c>
      <c r="H641" t="s">
        <v>8996</v>
      </c>
      <c r="I641" t="s">
        <v>4349</v>
      </c>
      <c r="J641" t="s">
        <v>9027</v>
      </c>
      <c r="K641" s="5">
        <v>45586</v>
      </c>
      <c r="L641" s="5" t="s">
        <v>4312</v>
      </c>
      <c r="M641" s="5">
        <v>46081</v>
      </c>
      <c r="N641">
        <v>1</v>
      </c>
      <c r="O641" t="s">
        <v>10821</v>
      </c>
    </row>
    <row r="642" spans="1:15" x14ac:dyDescent="0.25">
      <c r="A642">
        <v>563</v>
      </c>
      <c r="B642">
        <v>4</v>
      </c>
      <c r="C642">
        <v>161</v>
      </c>
      <c r="D642">
        <v>2</v>
      </c>
      <c r="E642">
        <v>38</v>
      </c>
      <c r="F642">
        <v>49</v>
      </c>
      <c r="G642" t="s">
        <v>7940</v>
      </c>
      <c r="H642" t="s">
        <v>8996</v>
      </c>
      <c r="I642" t="s">
        <v>4349</v>
      </c>
      <c r="K642" s="5">
        <v>45589</v>
      </c>
      <c r="L642" s="5">
        <v>45688</v>
      </c>
      <c r="M642" s="5" t="s">
        <v>4312</v>
      </c>
      <c r="N642">
        <v>0</v>
      </c>
      <c r="O642" t="s">
        <v>10822</v>
      </c>
    </row>
    <row r="643" spans="1:15" x14ac:dyDescent="0.25">
      <c r="A643">
        <v>564</v>
      </c>
      <c r="B643">
        <v>1</v>
      </c>
      <c r="C643">
        <v>261</v>
      </c>
      <c r="D643">
        <v>1</v>
      </c>
      <c r="E643">
        <v>1</v>
      </c>
      <c r="F643">
        <v>1</v>
      </c>
      <c r="G643" t="s">
        <v>7941</v>
      </c>
      <c r="H643" t="s">
        <v>8996</v>
      </c>
      <c r="I643" t="s">
        <v>4348</v>
      </c>
      <c r="J643" t="s">
        <v>9020</v>
      </c>
      <c r="K643" s="5">
        <v>42170</v>
      </c>
      <c r="L643" s="5" t="s">
        <v>4312</v>
      </c>
      <c r="M643" s="5" t="s">
        <v>4312</v>
      </c>
      <c r="N643">
        <v>1</v>
      </c>
      <c r="O643" t="s">
        <v>10823</v>
      </c>
    </row>
    <row r="644" spans="1:15" x14ac:dyDescent="0.25">
      <c r="A644">
        <v>565</v>
      </c>
      <c r="B644">
        <v>2</v>
      </c>
      <c r="C644">
        <v>193</v>
      </c>
      <c r="D644">
        <v>1</v>
      </c>
      <c r="E644">
        <v>1</v>
      </c>
      <c r="F644">
        <v>1</v>
      </c>
      <c r="G644" t="s">
        <v>7942</v>
      </c>
      <c r="H644" t="s">
        <v>8996</v>
      </c>
      <c r="I644" t="s">
        <v>4349</v>
      </c>
      <c r="J644" t="s">
        <v>9020</v>
      </c>
      <c r="K644" s="5">
        <v>45593</v>
      </c>
      <c r="L644" s="5">
        <v>45919</v>
      </c>
      <c r="M644" s="5">
        <v>45961</v>
      </c>
      <c r="N644">
        <v>0</v>
      </c>
      <c r="O644" t="s">
        <v>10412</v>
      </c>
    </row>
    <row r="645" spans="1:15" x14ac:dyDescent="0.25">
      <c r="A645">
        <v>484</v>
      </c>
      <c r="B645">
        <v>2</v>
      </c>
      <c r="C645">
        <v>255</v>
      </c>
      <c r="D645">
        <v>1</v>
      </c>
      <c r="E645">
        <v>1</v>
      </c>
      <c r="F645">
        <v>1</v>
      </c>
      <c r="G645" t="s">
        <v>7943</v>
      </c>
      <c r="H645" t="s">
        <v>8996</v>
      </c>
      <c r="I645" t="s">
        <v>4349</v>
      </c>
      <c r="J645" t="s">
        <v>9020</v>
      </c>
      <c r="K645" s="5">
        <v>45597</v>
      </c>
      <c r="L645" s="5" t="s">
        <v>4312</v>
      </c>
      <c r="M645" s="5">
        <v>46081</v>
      </c>
      <c r="N645">
        <v>1</v>
      </c>
      <c r="O645" t="s">
        <v>10824</v>
      </c>
    </row>
    <row r="646" spans="1:15" x14ac:dyDescent="0.25">
      <c r="A646">
        <v>118</v>
      </c>
      <c r="B646">
        <v>2</v>
      </c>
      <c r="C646">
        <v>123</v>
      </c>
      <c r="D646">
        <v>1</v>
      </c>
      <c r="E646">
        <v>38</v>
      </c>
      <c r="F646">
        <v>49</v>
      </c>
      <c r="G646" t="s">
        <v>7944</v>
      </c>
      <c r="H646" t="s">
        <v>8996</v>
      </c>
      <c r="I646" t="s">
        <v>4349</v>
      </c>
      <c r="J646" t="s">
        <v>9020</v>
      </c>
      <c r="K646" s="5">
        <v>45597</v>
      </c>
      <c r="L646" s="5" t="s">
        <v>4312</v>
      </c>
      <c r="M646" s="5">
        <v>46142</v>
      </c>
      <c r="N646">
        <v>1</v>
      </c>
      <c r="O646" t="s">
        <v>10825</v>
      </c>
    </row>
    <row r="647" spans="1:15" x14ac:dyDescent="0.25">
      <c r="A647">
        <v>534</v>
      </c>
      <c r="B647">
        <v>4</v>
      </c>
      <c r="C647">
        <v>191</v>
      </c>
      <c r="D647">
        <v>2</v>
      </c>
      <c r="E647">
        <v>1</v>
      </c>
      <c r="F647">
        <v>1</v>
      </c>
      <c r="H647" t="s">
        <v>8996</v>
      </c>
      <c r="I647" t="s">
        <v>4349</v>
      </c>
      <c r="K647" s="5">
        <v>45597</v>
      </c>
      <c r="L647" s="5">
        <v>45900</v>
      </c>
      <c r="M647" s="5" t="s">
        <v>4312</v>
      </c>
      <c r="N647">
        <v>0</v>
      </c>
      <c r="O647" t="s">
        <v>10826</v>
      </c>
    </row>
    <row r="648" spans="1:15" x14ac:dyDescent="0.25">
      <c r="A648">
        <v>98</v>
      </c>
      <c r="B648">
        <v>3</v>
      </c>
      <c r="C648">
        <v>164</v>
      </c>
      <c r="D648">
        <v>1</v>
      </c>
      <c r="E648">
        <v>34</v>
      </c>
      <c r="F648">
        <v>37</v>
      </c>
      <c r="G648" t="s">
        <v>7590</v>
      </c>
      <c r="H648" t="s">
        <v>8996</v>
      </c>
      <c r="I648" t="s">
        <v>4349</v>
      </c>
      <c r="J648" t="s">
        <v>9025</v>
      </c>
      <c r="K648" s="5">
        <v>45600</v>
      </c>
      <c r="L648" s="5" t="s">
        <v>4312</v>
      </c>
      <c r="M648" s="5">
        <v>45991</v>
      </c>
      <c r="N648">
        <v>1</v>
      </c>
      <c r="O648" t="s">
        <v>10827</v>
      </c>
    </row>
    <row r="649" spans="1:15" x14ac:dyDescent="0.25">
      <c r="A649">
        <v>566</v>
      </c>
      <c r="B649">
        <v>3</v>
      </c>
      <c r="C649">
        <v>157</v>
      </c>
      <c r="D649">
        <v>1</v>
      </c>
      <c r="E649">
        <v>36</v>
      </c>
      <c r="F649">
        <v>21</v>
      </c>
      <c r="G649" t="s">
        <v>7945</v>
      </c>
      <c r="H649" t="s">
        <v>8996</v>
      </c>
      <c r="I649" t="s">
        <v>4349</v>
      </c>
      <c r="J649" t="s">
        <v>9021</v>
      </c>
      <c r="K649" s="5">
        <v>45600</v>
      </c>
      <c r="L649" s="5" t="s">
        <v>4312</v>
      </c>
      <c r="M649" s="5">
        <v>45991</v>
      </c>
      <c r="N649">
        <v>1</v>
      </c>
      <c r="O649" t="s">
        <v>10828</v>
      </c>
    </row>
    <row r="650" spans="1:15" x14ac:dyDescent="0.25">
      <c r="A650">
        <v>567</v>
      </c>
      <c r="B650">
        <v>4</v>
      </c>
      <c r="C650">
        <v>246</v>
      </c>
      <c r="D650">
        <v>1</v>
      </c>
      <c r="E650">
        <v>1</v>
      </c>
      <c r="F650">
        <v>1</v>
      </c>
      <c r="G650" t="s">
        <v>7946</v>
      </c>
      <c r="H650" t="s">
        <v>8996</v>
      </c>
      <c r="I650" t="s">
        <v>4349</v>
      </c>
      <c r="J650" t="s">
        <v>9020</v>
      </c>
      <c r="K650" s="5">
        <v>45607</v>
      </c>
      <c r="L650" s="5" t="s">
        <v>4312</v>
      </c>
      <c r="M650" s="5" t="s">
        <v>4312</v>
      </c>
      <c r="N650">
        <v>1</v>
      </c>
      <c r="O650" t="s">
        <v>10829</v>
      </c>
    </row>
    <row r="651" spans="1:15" x14ac:dyDescent="0.25">
      <c r="A651">
        <v>568</v>
      </c>
      <c r="B651">
        <v>2</v>
      </c>
      <c r="C651">
        <v>11</v>
      </c>
      <c r="D651">
        <v>1</v>
      </c>
      <c r="E651">
        <v>1</v>
      </c>
      <c r="F651">
        <v>1</v>
      </c>
      <c r="G651" t="s">
        <v>7947</v>
      </c>
      <c r="H651" t="s">
        <v>8996</v>
      </c>
      <c r="I651" t="s">
        <v>4349</v>
      </c>
      <c r="J651" t="s">
        <v>9020</v>
      </c>
      <c r="K651" s="5">
        <v>45467</v>
      </c>
      <c r="L651" s="5" t="s">
        <v>4312</v>
      </c>
      <c r="M651" s="5">
        <v>46142</v>
      </c>
      <c r="N651">
        <v>1</v>
      </c>
      <c r="O651" t="s">
        <v>10830</v>
      </c>
    </row>
    <row r="652" spans="1:15" x14ac:dyDescent="0.25">
      <c r="A652">
        <v>569</v>
      </c>
      <c r="B652">
        <v>2</v>
      </c>
      <c r="C652">
        <v>178</v>
      </c>
      <c r="D652">
        <v>2</v>
      </c>
      <c r="E652">
        <v>1</v>
      </c>
      <c r="F652">
        <v>1</v>
      </c>
      <c r="G652" t="s">
        <v>7948</v>
      </c>
      <c r="H652" t="s">
        <v>8996</v>
      </c>
      <c r="I652" t="s">
        <v>4349</v>
      </c>
      <c r="K652" s="5">
        <v>45600</v>
      </c>
      <c r="L652" s="5">
        <v>45716</v>
      </c>
      <c r="M652" s="5">
        <v>45716</v>
      </c>
      <c r="N652">
        <v>0</v>
      </c>
      <c r="O652" t="s">
        <v>10413</v>
      </c>
    </row>
    <row r="653" spans="1:15" x14ac:dyDescent="0.25">
      <c r="A653">
        <v>570</v>
      </c>
      <c r="B653">
        <v>3</v>
      </c>
      <c r="C653">
        <v>154</v>
      </c>
      <c r="D653">
        <v>1</v>
      </c>
      <c r="E653">
        <v>36</v>
      </c>
      <c r="F653">
        <v>21</v>
      </c>
      <c r="G653" t="s">
        <v>7949</v>
      </c>
      <c r="H653" t="s">
        <v>8996</v>
      </c>
      <c r="I653" t="s">
        <v>4349</v>
      </c>
      <c r="K653" s="5">
        <v>45601</v>
      </c>
      <c r="L653" s="5">
        <v>45900</v>
      </c>
      <c r="M653" s="5">
        <v>45900</v>
      </c>
      <c r="N653">
        <v>0</v>
      </c>
      <c r="O653" t="s">
        <v>10414</v>
      </c>
    </row>
    <row r="654" spans="1:15" x14ac:dyDescent="0.25">
      <c r="A654">
        <v>571</v>
      </c>
      <c r="B654">
        <v>2</v>
      </c>
      <c r="C654">
        <v>165</v>
      </c>
      <c r="D654">
        <v>1</v>
      </c>
      <c r="E654">
        <v>38</v>
      </c>
      <c r="F654">
        <v>49</v>
      </c>
      <c r="G654" t="s">
        <v>7950</v>
      </c>
      <c r="H654" t="s">
        <v>8996</v>
      </c>
      <c r="I654" t="s">
        <v>4349</v>
      </c>
      <c r="K654" s="5">
        <v>45602</v>
      </c>
      <c r="L654" s="5">
        <v>45795</v>
      </c>
      <c r="M654" s="5">
        <v>45808</v>
      </c>
      <c r="N654">
        <v>0</v>
      </c>
      <c r="O654" t="s">
        <v>10415</v>
      </c>
    </row>
    <row r="655" spans="1:15" x14ac:dyDescent="0.25">
      <c r="A655">
        <v>572</v>
      </c>
      <c r="B655">
        <v>3</v>
      </c>
      <c r="C655">
        <v>157</v>
      </c>
      <c r="D655">
        <v>1</v>
      </c>
      <c r="E655">
        <v>24</v>
      </c>
      <c r="F655">
        <v>25</v>
      </c>
      <c r="G655" t="s">
        <v>7951</v>
      </c>
      <c r="H655" t="s">
        <v>8996</v>
      </c>
      <c r="I655" t="s">
        <v>4349</v>
      </c>
      <c r="J655" t="s">
        <v>9024</v>
      </c>
      <c r="K655" s="5">
        <v>45607</v>
      </c>
      <c r="L655" s="5" t="s">
        <v>4312</v>
      </c>
      <c r="M655" s="5">
        <v>46053</v>
      </c>
      <c r="N655">
        <v>1</v>
      </c>
      <c r="O655" t="s">
        <v>10831</v>
      </c>
    </row>
    <row r="656" spans="1:15" x14ac:dyDescent="0.25">
      <c r="A656">
        <v>573</v>
      </c>
      <c r="B656">
        <v>4</v>
      </c>
      <c r="C656">
        <v>257</v>
      </c>
      <c r="D656">
        <v>1</v>
      </c>
      <c r="E656">
        <v>1</v>
      </c>
      <c r="F656">
        <v>1</v>
      </c>
      <c r="G656">
        <v>60000136</v>
      </c>
      <c r="H656" t="s">
        <v>8996</v>
      </c>
      <c r="I656" t="s">
        <v>4349</v>
      </c>
      <c r="J656" t="s">
        <v>9022</v>
      </c>
      <c r="K656" s="5">
        <v>45614</v>
      </c>
      <c r="L656" s="5" t="s">
        <v>4312</v>
      </c>
      <c r="M656" s="5" t="s">
        <v>4312</v>
      </c>
      <c r="N656">
        <v>1</v>
      </c>
      <c r="O656" t="s">
        <v>10832</v>
      </c>
    </row>
    <row r="657" spans="1:15" x14ac:dyDescent="0.25">
      <c r="A657">
        <v>574</v>
      </c>
      <c r="B657">
        <v>2</v>
      </c>
      <c r="C657">
        <v>189</v>
      </c>
      <c r="D657">
        <v>1</v>
      </c>
      <c r="E657">
        <v>1</v>
      </c>
      <c r="F657">
        <v>1</v>
      </c>
      <c r="G657" t="s">
        <v>7952</v>
      </c>
      <c r="H657" t="s">
        <v>8996</v>
      </c>
      <c r="I657" t="s">
        <v>4349</v>
      </c>
      <c r="K657" s="5">
        <v>45607</v>
      </c>
      <c r="L657" s="5">
        <v>45707</v>
      </c>
      <c r="M657" s="5">
        <v>45716</v>
      </c>
      <c r="N657">
        <v>0</v>
      </c>
      <c r="O657" t="s">
        <v>10416</v>
      </c>
    </row>
    <row r="658" spans="1:15" x14ac:dyDescent="0.25">
      <c r="A658">
        <v>575</v>
      </c>
      <c r="B658">
        <v>3</v>
      </c>
      <c r="C658">
        <v>154</v>
      </c>
      <c r="D658">
        <v>1</v>
      </c>
      <c r="E658">
        <v>36</v>
      </c>
      <c r="F658">
        <v>21</v>
      </c>
      <c r="G658" t="s">
        <v>7953</v>
      </c>
      <c r="H658" t="s">
        <v>8996</v>
      </c>
      <c r="I658" t="s">
        <v>4349</v>
      </c>
      <c r="K658" s="5">
        <v>45608</v>
      </c>
      <c r="L658" s="5">
        <v>45900</v>
      </c>
      <c r="M658" s="5">
        <v>45900</v>
      </c>
      <c r="N658">
        <v>0</v>
      </c>
      <c r="O658" t="s">
        <v>10417</v>
      </c>
    </row>
    <row r="659" spans="1:15" x14ac:dyDescent="0.25">
      <c r="A659">
        <v>576</v>
      </c>
      <c r="B659">
        <v>3</v>
      </c>
      <c r="C659">
        <v>154</v>
      </c>
      <c r="D659">
        <v>1</v>
      </c>
      <c r="E659">
        <v>36</v>
      </c>
      <c r="F659">
        <v>21</v>
      </c>
      <c r="G659" t="s">
        <v>7954</v>
      </c>
      <c r="H659" t="s">
        <v>8996</v>
      </c>
      <c r="I659" t="s">
        <v>4349</v>
      </c>
      <c r="K659" s="5">
        <v>45608</v>
      </c>
      <c r="L659" s="5">
        <v>45699</v>
      </c>
      <c r="M659" s="5">
        <v>45716</v>
      </c>
      <c r="N659">
        <v>0</v>
      </c>
      <c r="O659" t="s">
        <v>10418</v>
      </c>
    </row>
    <row r="660" spans="1:15" x14ac:dyDescent="0.25">
      <c r="A660">
        <v>577</v>
      </c>
      <c r="B660">
        <v>4</v>
      </c>
      <c r="C660">
        <v>161</v>
      </c>
      <c r="D660">
        <v>1</v>
      </c>
      <c r="E660">
        <v>38</v>
      </c>
      <c r="F660">
        <v>49</v>
      </c>
      <c r="G660" t="s">
        <v>7955</v>
      </c>
      <c r="H660" t="s">
        <v>8996</v>
      </c>
      <c r="I660" t="s">
        <v>4349</v>
      </c>
      <c r="K660" s="5">
        <v>45609</v>
      </c>
      <c r="L660" s="5">
        <v>45712</v>
      </c>
      <c r="M660" s="5" t="s">
        <v>4312</v>
      </c>
      <c r="N660">
        <v>0</v>
      </c>
      <c r="O660" t="s">
        <v>10833</v>
      </c>
    </row>
    <row r="661" spans="1:15" x14ac:dyDescent="0.25">
      <c r="A661">
        <v>578</v>
      </c>
      <c r="B661">
        <v>4</v>
      </c>
      <c r="C661">
        <v>61</v>
      </c>
      <c r="D661">
        <v>1</v>
      </c>
      <c r="E661">
        <v>38</v>
      </c>
      <c r="F661">
        <v>49</v>
      </c>
      <c r="G661" t="s">
        <v>7956</v>
      </c>
      <c r="H661" t="s">
        <v>8996</v>
      </c>
      <c r="I661" t="s">
        <v>4349</v>
      </c>
      <c r="J661" t="s">
        <v>9020</v>
      </c>
      <c r="K661" s="5">
        <v>45616</v>
      </c>
      <c r="L661" s="5" t="s">
        <v>4312</v>
      </c>
      <c r="M661" s="5" t="s">
        <v>4312</v>
      </c>
      <c r="N661">
        <v>1</v>
      </c>
      <c r="O661" t="s">
        <v>10834</v>
      </c>
    </row>
    <row r="662" spans="1:15" x14ac:dyDescent="0.25">
      <c r="A662">
        <v>579</v>
      </c>
      <c r="B662">
        <v>2</v>
      </c>
      <c r="C662">
        <v>252</v>
      </c>
      <c r="D662">
        <v>1</v>
      </c>
      <c r="E662">
        <v>1</v>
      </c>
      <c r="F662">
        <v>1</v>
      </c>
      <c r="G662" t="s">
        <v>7957</v>
      </c>
      <c r="H662" t="s">
        <v>8996</v>
      </c>
      <c r="I662" t="s">
        <v>4349</v>
      </c>
      <c r="J662" t="s">
        <v>9020</v>
      </c>
      <c r="K662" s="5">
        <v>45614</v>
      </c>
      <c r="L662" s="5" t="s">
        <v>4312</v>
      </c>
      <c r="M662" s="5">
        <v>46081</v>
      </c>
      <c r="N662">
        <v>1</v>
      </c>
      <c r="O662" t="s">
        <v>10835</v>
      </c>
    </row>
    <row r="663" spans="1:15" x14ac:dyDescent="0.25">
      <c r="A663">
        <v>580</v>
      </c>
      <c r="B663">
        <v>3</v>
      </c>
      <c r="C663">
        <v>154</v>
      </c>
      <c r="D663">
        <v>1</v>
      </c>
      <c r="E663">
        <v>36</v>
      </c>
      <c r="F663">
        <v>21</v>
      </c>
      <c r="G663" t="s">
        <v>7958</v>
      </c>
      <c r="H663" t="s">
        <v>8996</v>
      </c>
      <c r="I663" t="s">
        <v>4349</v>
      </c>
      <c r="K663" s="5">
        <v>45614</v>
      </c>
      <c r="L663" s="5">
        <v>45854</v>
      </c>
      <c r="M663" s="5">
        <v>45900</v>
      </c>
      <c r="N663">
        <v>0</v>
      </c>
      <c r="O663" t="s">
        <v>10419</v>
      </c>
    </row>
    <row r="664" spans="1:15" x14ac:dyDescent="0.25">
      <c r="A664">
        <v>581</v>
      </c>
      <c r="B664">
        <v>2</v>
      </c>
      <c r="C664">
        <v>175</v>
      </c>
      <c r="D664">
        <v>2</v>
      </c>
      <c r="E664">
        <v>1</v>
      </c>
      <c r="F664">
        <v>1</v>
      </c>
      <c r="G664" t="s">
        <v>7959</v>
      </c>
      <c r="H664" t="s">
        <v>8995</v>
      </c>
      <c r="K664" s="5">
        <v>45614</v>
      </c>
      <c r="L664" s="5">
        <v>45625</v>
      </c>
      <c r="M664" s="5">
        <v>45716</v>
      </c>
      <c r="N664">
        <v>0</v>
      </c>
      <c r="O664" t="s">
        <v>10420</v>
      </c>
    </row>
    <row r="665" spans="1:15" x14ac:dyDescent="0.25">
      <c r="A665">
        <v>582</v>
      </c>
      <c r="B665">
        <v>4</v>
      </c>
      <c r="C665">
        <v>161</v>
      </c>
      <c r="D665">
        <v>1</v>
      </c>
      <c r="E665">
        <v>38</v>
      </c>
      <c r="F665">
        <v>49</v>
      </c>
      <c r="G665" t="s">
        <v>7960</v>
      </c>
      <c r="H665" t="s">
        <v>8996</v>
      </c>
      <c r="I665" t="s">
        <v>4349</v>
      </c>
      <c r="J665" t="s">
        <v>9020</v>
      </c>
      <c r="K665" s="5">
        <v>45621</v>
      </c>
      <c r="L665" s="5" t="s">
        <v>4312</v>
      </c>
      <c r="M665" s="5" t="s">
        <v>4312</v>
      </c>
      <c r="N665">
        <v>1</v>
      </c>
      <c r="O665" t="s">
        <v>10836</v>
      </c>
    </row>
    <row r="666" spans="1:15" x14ac:dyDescent="0.25">
      <c r="A666">
        <v>583</v>
      </c>
      <c r="B666">
        <v>2</v>
      </c>
      <c r="C666">
        <v>168</v>
      </c>
      <c r="D666">
        <v>4</v>
      </c>
      <c r="E666">
        <v>38</v>
      </c>
      <c r="F666">
        <v>49</v>
      </c>
      <c r="G666" t="s">
        <v>7961</v>
      </c>
      <c r="H666" t="s">
        <v>8996</v>
      </c>
      <c r="I666" t="s">
        <v>4349</v>
      </c>
      <c r="J666" t="s">
        <v>9020</v>
      </c>
      <c r="K666" s="5">
        <v>45621</v>
      </c>
      <c r="L666" s="5" t="s">
        <v>4312</v>
      </c>
      <c r="M666" s="5">
        <v>45991</v>
      </c>
      <c r="N666">
        <v>1</v>
      </c>
      <c r="O666" t="s">
        <v>10837</v>
      </c>
    </row>
    <row r="667" spans="1:15" x14ac:dyDescent="0.25">
      <c r="A667">
        <v>584</v>
      </c>
      <c r="B667">
        <v>1</v>
      </c>
      <c r="C667">
        <v>13</v>
      </c>
      <c r="D667">
        <v>1</v>
      </c>
      <c r="E667">
        <v>1</v>
      </c>
      <c r="F667">
        <v>1</v>
      </c>
      <c r="G667" t="s">
        <v>7962</v>
      </c>
      <c r="H667" t="s">
        <v>8996</v>
      </c>
      <c r="I667" t="s">
        <v>4349</v>
      </c>
      <c r="J667" t="s">
        <v>9020</v>
      </c>
      <c r="K667" s="5">
        <v>40833</v>
      </c>
      <c r="L667" s="5" t="s">
        <v>4312</v>
      </c>
      <c r="M667" s="5" t="s">
        <v>4312</v>
      </c>
      <c r="N667">
        <v>1</v>
      </c>
      <c r="O667" t="s">
        <v>10838</v>
      </c>
    </row>
    <row r="668" spans="1:15" x14ac:dyDescent="0.25">
      <c r="A668">
        <v>585</v>
      </c>
      <c r="B668">
        <v>3</v>
      </c>
      <c r="C668">
        <v>157</v>
      </c>
      <c r="D668">
        <v>1</v>
      </c>
      <c r="E668">
        <v>36</v>
      </c>
      <c r="F668">
        <v>21</v>
      </c>
      <c r="G668" t="s">
        <v>7963</v>
      </c>
      <c r="H668" t="s">
        <v>8996</v>
      </c>
      <c r="I668" t="s">
        <v>4349</v>
      </c>
      <c r="J668" t="s">
        <v>9021</v>
      </c>
      <c r="K668" s="5">
        <v>45621</v>
      </c>
      <c r="L668" s="5" t="s">
        <v>4312</v>
      </c>
      <c r="M668" s="5">
        <v>45991</v>
      </c>
      <c r="N668">
        <v>1</v>
      </c>
      <c r="O668" t="s">
        <v>10839</v>
      </c>
    </row>
    <row r="669" spans="1:15" x14ac:dyDescent="0.25">
      <c r="A669">
        <v>586</v>
      </c>
      <c r="B669">
        <v>4</v>
      </c>
      <c r="C669">
        <v>161</v>
      </c>
      <c r="D669">
        <v>1</v>
      </c>
      <c r="E669">
        <v>38</v>
      </c>
      <c r="F669">
        <v>49</v>
      </c>
      <c r="G669" t="s">
        <v>7964</v>
      </c>
      <c r="H669" t="s">
        <v>8996</v>
      </c>
      <c r="I669" t="s">
        <v>4349</v>
      </c>
      <c r="J669" t="s">
        <v>9020</v>
      </c>
      <c r="K669" s="5">
        <v>45670</v>
      </c>
      <c r="L669" s="5">
        <v>45991</v>
      </c>
      <c r="M669" s="5" t="s">
        <v>4312</v>
      </c>
      <c r="N669">
        <v>0</v>
      </c>
      <c r="O669" t="s">
        <v>10840</v>
      </c>
    </row>
    <row r="670" spans="1:15" x14ac:dyDescent="0.25">
      <c r="A670">
        <v>548</v>
      </c>
      <c r="B670">
        <v>2</v>
      </c>
      <c r="C670">
        <v>168</v>
      </c>
      <c r="D670">
        <v>2</v>
      </c>
      <c r="E670">
        <v>38</v>
      </c>
      <c r="F670">
        <v>49</v>
      </c>
      <c r="G670" t="s">
        <v>7965</v>
      </c>
      <c r="H670" t="s">
        <v>8996</v>
      </c>
      <c r="I670" t="s">
        <v>4349</v>
      </c>
      <c r="K670" s="5">
        <v>45627</v>
      </c>
      <c r="L670" s="5">
        <v>45884</v>
      </c>
      <c r="M670" s="5">
        <v>45991</v>
      </c>
      <c r="N670">
        <v>0</v>
      </c>
      <c r="O670" t="s">
        <v>10421</v>
      </c>
    </row>
    <row r="671" spans="1:15" x14ac:dyDescent="0.25">
      <c r="A671">
        <v>478</v>
      </c>
      <c r="B671">
        <v>2</v>
      </c>
      <c r="C671">
        <v>175</v>
      </c>
      <c r="D671">
        <v>2</v>
      </c>
      <c r="E671">
        <v>1</v>
      </c>
      <c r="F671">
        <v>1</v>
      </c>
      <c r="G671" t="s">
        <v>7850</v>
      </c>
      <c r="H671" t="s">
        <v>8995</v>
      </c>
      <c r="I671" t="s">
        <v>4349</v>
      </c>
      <c r="K671" s="5">
        <v>45627</v>
      </c>
      <c r="L671" s="5">
        <v>45877</v>
      </c>
      <c r="M671" s="5">
        <v>45900</v>
      </c>
      <c r="N671">
        <v>0</v>
      </c>
      <c r="O671" t="s">
        <v>10422</v>
      </c>
    </row>
    <row r="672" spans="1:15" x14ac:dyDescent="0.25">
      <c r="A672">
        <v>147</v>
      </c>
      <c r="B672">
        <v>2</v>
      </c>
      <c r="C672">
        <v>14</v>
      </c>
      <c r="D672">
        <v>1</v>
      </c>
      <c r="E672">
        <v>1</v>
      </c>
      <c r="F672">
        <v>1</v>
      </c>
      <c r="G672" t="s">
        <v>7918</v>
      </c>
      <c r="H672" t="s">
        <v>8996</v>
      </c>
      <c r="I672" t="s">
        <v>4349</v>
      </c>
      <c r="J672" t="s">
        <v>9020</v>
      </c>
      <c r="K672" s="5">
        <v>45859</v>
      </c>
      <c r="L672" s="5" t="s">
        <v>4312</v>
      </c>
      <c r="M672" s="5">
        <v>46142</v>
      </c>
      <c r="N672">
        <v>1</v>
      </c>
      <c r="O672" t="s">
        <v>10841</v>
      </c>
    </row>
    <row r="673" spans="1:15" x14ac:dyDescent="0.25">
      <c r="A673">
        <v>587</v>
      </c>
      <c r="B673">
        <v>2</v>
      </c>
      <c r="C673">
        <v>104</v>
      </c>
      <c r="D673">
        <v>1</v>
      </c>
      <c r="E673">
        <v>1</v>
      </c>
      <c r="F673">
        <v>1</v>
      </c>
      <c r="G673" t="s">
        <v>7966</v>
      </c>
      <c r="H673" t="s">
        <v>8996</v>
      </c>
      <c r="I673" t="s">
        <v>4349</v>
      </c>
      <c r="J673" t="s">
        <v>9020</v>
      </c>
      <c r="K673" s="5">
        <v>45631</v>
      </c>
      <c r="L673" s="5" t="s">
        <v>4312</v>
      </c>
      <c r="M673" s="5">
        <v>46112</v>
      </c>
      <c r="N673">
        <v>1</v>
      </c>
      <c r="O673" t="s">
        <v>10842</v>
      </c>
    </row>
    <row r="674" spans="1:15" x14ac:dyDescent="0.25">
      <c r="A674">
        <v>588</v>
      </c>
      <c r="B674">
        <v>2</v>
      </c>
      <c r="C674">
        <v>234</v>
      </c>
      <c r="D674">
        <v>1</v>
      </c>
      <c r="E674">
        <v>1</v>
      </c>
      <c r="F674">
        <v>1</v>
      </c>
      <c r="G674" t="s">
        <v>7967</v>
      </c>
      <c r="H674" t="s">
        <v>8996</v>
      </c>
      <c r="I674" t="s">
        <v>4349</v>
      </c>
      <c r="J674" t="s">
        <v>9020</v>
      </c>
      <c r="K674" s="5">
        <v>45642</v>
      </c>
      <c r="L674" s="5" t="s">
        <v>4312</v>
      </c>
      <c r="M674" s="5">
        <v>46142</v>
      </c>
      <c r="N674">
        <v>1</v>
      </c>
      <c r="O674" t="s">
        <v>10843</v>
      </c>
    </row>
    <row r="675" spans="1:15" x14ac:dyDescent="0.25">
      <c r="A675">
        <v>589</v>
      </c>
      <c r="B675">
        <v>4</v>
      </c>
      <c r="C675">
        <v>60</v>
      </c>
      <c r="D675">
        <v>1</v>
      </c>
      <c r="E675">
        <v>38</v>
      </c>
      <c r="F675">
        <v>49</v>
      </c>
      <c r="G675" t="s">
        <v>7968</v>
      </c>
      <c r="H675" t="s">
        <v>8996</v>
      </c>
      <c r="I675" t="s">
        <v>4349</v>
      </c>
      <c r="K675" s="5">
        <v>45642</v>
      </c>
      <c r="L675" s="5">
        <v>45808</v>
      </c>
      <c r="M675" s="5" t="s">
        <v>4312</v>
      </c>
      <c r="N675">
        <v>0</v>
      </c>
      <c r="O675" t="s">
        <v>10844</v>
      </c>
    </row>
    <row r="676" spans="1:15" x14ac:dyDescent="0.25">
      <c r="A676">
        <v>500</v>
      </c>
      <c r="B676">
        <v>2</v>
      </c>
      <c r="C676">
        <v>218</v>
      </c>
      <c r="D676">
        <v>1</v>
      </c>
      <c r="E676">
        <v>1</v>
      </c>
      <c r="F676">
        <v>1</v>
      </c>
      <c r="G676" t="s">
        <v>7871</v>
      </c>
      <c r="H676" t="s">
        <v>8996</v>
      </c>
      <c r="I676" t="s">
        <v>4349</v>
      </c>
      <c r="K676" s="5">
        <v>45658</v>
      </c>
      <c r="L676" s="5">
        <v>45914</v>
      </c>
      <c r="M676" s="5">
        <v>45930</v>
      </c>
      <c r="N676">
        <v>0</v>
      </c>
      <c r="O676" t="s">
        <v>10423</v>
      </c>
    </row>
    <row r="677" spans="1:15" x14ac:dyDescent="0.25">
      <c r="A677">
        <v>514</v>
      </c>
      <c r="B677">
        <v>6</v>
      </c>
      <c r="C677">
        <v>92</v>
      </c>
      <c r="D677">
        <v>1</v>
      </c>
      <c r="E677">
        <v>1</v>
      </c>
      <c r="F677">
        <v>1</v>
      </c>
      <c r="G677" t="s">
        <v>7969</v>
      </c>
      <c r="H677" t="s">
        <v>8996</v>
      </c>
      <c r="I677" t="s">
        <v>4349</v>
      </c>
      <c r="K677" s="5">
        <v>45658</v>
      </c>
      <c r="L677" s="5">
        <v>45914</v>
      </c>
      <c r="M677" s="5">
        <v>45930</v>
      </c>
      <c r="N677">
        <v>0</v>
      </c>
      <c r="O677" t="s">
        <v>10424</v>
      </c>
    </row>
    <row r="678" spans="1:15" x14ac:dyDescent="0.25">
      <c r="A678">
        <v>8</v>
      </c>
      <c r="B678">
        <v>3</v>
      </c>
      <c r="C678">
        <v>157</v>
      </c>
      <c r="D678">
        <v>1</v>
      </c>
      <c r="E678">
        <v>36</v>
      </c>
      <c r="F678">
        <v>21</v>
      </c>
      <c r="G678" t="s">
        <v>7970</v>
      </c>
      <c r="H678" t="s">
        <v>8996</v>
      </c>
      <c r="I678" t="s">
        <v>4349</v>
      </c>
      <c r="J678" t="s">
        <v>9021</v>
      </c>
      <c r="K678" s="5">
        <v>45663</v>
      </c>
      <c r="L678" s="5" t="s">
        <v>4312</v>
      </c>
      <c r="M678" s="5">
        <v>46081</v>
      </c>
      <c r="N678">
        <v>1</v>
      </c>
      <c r="O678" t="s">
        <v>10845</v>
      </c>
    </row>
    <row r="679" spans="1:15" x14ac:dyDescent="0.25">
      <c r="A679">
        <v>590</v>
      </c>
      <c r="B679">
        <v>2</v>
      </c>
      <c r="C679">
        <v>205</v>
      </c>
      <c r="D679">
        <v>1</v>
      </c>
      <c r="E679">
        <v>1</v>
      </c>
      <c r="F679">
        <v>1</v>
      </c>
      <c r="G679" t="s">
        <v>7971</v>
      </c>
      <c r="H679" t="s">
        <v>8996</v>
      </c>
      <c r="I679" t="s">
        <v>4349</v>
      </c>
      <c r="J679" t="s">
        <v>9020</v>
      </c>
      <c r="K679" s="5">
        <v>45663</v>
      </c>
      <c r="L679" s="5" t="s">
        <v>4312</v>
      </c>
      <c r="M679" s="5">
        <v>46022</v>
      </c>
      <c r="N679">
        <v>1</v>
      </c>
      <c r="O679" t="s">
        <v>10846</v>
      </c>
    </row>
    <row r="680" spans="1:15" x14ac:dyDescent="0.25">
      <c r="A680">
        <v>591</v>
      </c>
      <c r="B680">
        <v>5</v>
      </c>
      <c r="C680">
        <v>79</v>
      </c>
      <c r="D680">
        <v>1</v>
      </c>
      <c r="E680">
        <v>1</v>
      </c>
      <c r="F680">
        <v>1</v>
      </c>
      <c r="G680" t="s">
        <v>7972</v>
      </c>
      <c r="H680" t="s">
        <v>8996</v>
      </c>
      <c r="I680" t="s">
        <v>4349</v>
      </c>
      <c r="K680" s="5">
        <v>45663</v>
      </c>
      <c r="L680" s="5">
        <v>45747</v>
      </c>
      <c r="M680" s="5">
        <v>45777</v>
      </c>
      <c r="N680">
        <v>0</v>
      </c>
      <c r="O680" t="s">
        <v>10425</v>
      </c>
    </row>
    <row r="681" spans="1:15" x14ac:dyDescent="0.25">
      <c r="A681">
        <v>387</v>
      </c>
      <c r="B681">
        <v>4</v>
      </c>
      <c r="C681">
        <v>161</v>
      </c>
      <c r="D681">
        <v>4</v>
      </c>
      <c r="E681">
        <v>38</v>
      </c>
      <c r="F681">
        <v>49</v>
      </c>
      <c r="G681" t="s">
        <v>7973</v>
      </c>
      <c r="H681" t="s">
        <v>8996</v>
      </c>
      <c r="I681" t="s">
        <v>4349</v>
      </c>
      <c r="K681" s="5">
        <v>45665</v>
      </c>
      <c r="L681" s="5">
        <v>45816</v>
      </c>
      <c r="M681" s="5" t="s">
        <v>4312</v>
      </c>
      <c r="N681">
        <v>0</v>
      </c>
      <c r="O681" t="s">
        <v>10847</v>
      </c>
    </row>
    <row r="682" spans="1:15" x14ac:dyDescent="0.25">
      <c r="A682">
        <v>592</v>
      </c>
      <c r="B682">
        <v>2</v>
      </c>
      <c r="C682">
        <v>15</v>
      </c>
      <c r="D682">
        <v>1</v>
      </c>
      <c r="E682">
        <v>1</v>
      </c>
      <c r="F682">
        <v>1</v>
      </c>
      <c r="G682" t="s">
        <v>7974</v>
      </c>
      <c r="H682" t="s">
        <v>8996</v>
      </c>
      <c r="I682" t="s">
        <v>4349</v>
      </c>
      <c r="J682" t="s">
        <v>9020</v>
      </c>
      <c r="K682" s="5">
        <v>45418</v>
      </c>
      <c r="L682" s="5" t="s">
        <v>4312</v>
      </c>
      <c r="M682" s="5">
        <v>46022</v>
      </c>
      <c r="N682">
        <v>1</v>
      </c>
      <c r="O682" t="s">
        <v>10848</v>
      </c>
    </row>
    <row r="683" spans="1:15" x14ac:dyDescent="0.25">
      <c r="A683">
        <v>593</v>
      </c>
      <c r="B683">
        <v>4</v>
      </c>
      <c r="C683">
        <v>161</v>
      </c>
      <c r="D683">
        <v>4</v>
      </c>
      <c r="E683">
        <v>38</v>
      </c>
      <c r="F683">
        <v>49</v>
      </c>
      <c r="G683" t="s">
        <v>7975</v>
      </c>
      <c r="H683" t="s">
        <v>8996</v>
      </c>
      <c r="I683" t="s">
        <v>4349</v>
      </c>
      <c r="J683" t="s">
        <v>9020</v>
      </c>
      <c r="K683" s="5">
        <v>45691</v>
      </c>
      <c r="L683" s="5" t="s">
        <v>4312</v>
      </c>
      <c r="M683" s="5" t="s">
        <v>4312</v>
      </c>
      <c r="N683">
        <v>1</v>
      </c>
      <c r="O683" t="s">
        <v>10849</v>
      </c>
    </row>
    <row r="684" spans="1:15" x14ac:dyDescent="0.25">
      <c r="A684">
        <v>272</v>
      </c>
      <c r="B684">
        <v>2</v>
      </c>
      <c r="C684">
        <v>5</v>
      </c>
      <c r="D684">
        <v>4</v>
      </c>
      <c r="E684">
        <v>1</v>
      </c>
      <c r="F684">
        <v>1</v>
      </c>
      <c r="G684" t="s">
        <v>7976</v>
      </c>
      <c r="H684" t="s">
        <v>8995</v>
      </c>
      <c r="I684" t="s">
        <v>4349</v>
      </c>
      <c r="J684" t="s">
        <v>9020</v>
      </c>
      <c r="K684" s="5">
        <v>45670</v>
      </c>
      <c r="L684" s="5" t="s">
        <v>4312</v>
      </c>
      <c r="M684" s="5">
        <v>46142</v>
      </c>
      <c r="N684">
        <v>1</v>
      </c>
      <c r="O684" t="s">
        <v>10850</v>
      </c>
    </row>
    <row r="685" spans="1:15" x14ac:dyDescent="0.25">
      <c r="A685">
        <v>594</v>
      </c>
      <c r="B685">
        <v>2</v>
      </c>
      <c r="C685">
        <v>196</v>
      </c>
      <c r="D685">
        <v>1</v>
      </c>
      <c r="E685">
        <v>1</v>
      </c>
      <c r="F685">
        <v>1</v>
      </c>
      <c r="G685" t="s">
        <v>7977</v>
      </c>
      <c r="H685" t="s">
        <v>8996</v>
      </c>
      <c r="I685" t="s">
        <v>4349</v>
      </c>
      <c r="K685" s="5">
        <v>45670</v>
      </c>
      <c r="L685" s="5">
        <v>45933</v>
      </c>
      <c r="M685" s="5">
        <v>46053</v>
      </c>
      <c r="N685">
        <v>0</v>
      </c>
      <c r="O685" t="s">
        <v>10426</v>
      </c>
    </row>
    <row r="686" spans="1:15" x14ac:dyDescent="0.25">
      <c r="A686">
        <v>595</v>
      </c>
      <c r="B686">
        <v>2</v>
      </c>
      <c r="C686">
        <v>185</v>
      </c>
      <c r="D686">
        <v>1</v>
      </c>
      <c r="E686">
        <v>1</v>
      </c>
      <c r="F686">
        <v>1</v>
      </c>
      <c r="G686" t="s">
        <v>7978</v>
      </c>
      <c r="H686" t="s">
        <v>8996</v>
      </c>
      <c r="I686" t="s">
        <v>4349</v>
      </c>
      <c r="K686" s="5">
        <v>45670</v>
      </c>
      <c r="L686" s="5">
        <v>45811</v>
      </c>
      <c r="M686" s="5">
        <v>45961</v>
      </c>
      <c r="N686">
        <v>0</v>
      </c>
      <c r="O686" t="s">
        <v>10427</v>
      </c>
    </row>
    <row r="687" spans="1:15" x14ac:dyDescent="0.25">
      <c r="A687">
        <v>420</v>
      </c>
      <c r="B687">
        <v>5</v>
      </c>
      <c r="C687">
        <v>85</v>
      </c>
      <c r="D687">
        <v>1</v>
      </c>
      <c r="E687">
        <v>1</v>
      </c>
      <c r="F687">
        <v>1</v>
      </c>
      <c r="G687" t="s">
        <v>7789</v>
      </c>
      <c r="H687" t="s">
        <v>8996</v>
      </c>
      <c r="I687" t="s">
        <v>4349</v>
      </c>
      <c r="K687" s="5">
        <v>45677</v>
      </c>
      <c r="L687" s="5">
        <v>45900</v>
      </c>
      <c r="M687" s="5">
        <v>45961</v>
      </c>
      <c r="N687">
        <v>0</v>
      </c>
      <c r="O687" t="s">
        <v>10428</v>
      </c>
    </row>
    <row r="688" spans="1:15" x14ac:dyDescent="0.25">
      <c r="A688">
        <v>596</v>
      </c>
      <c r="B688">
        <v>3</v>
      </c>
      <c r="C688">
        <v>157</v>
      </c>
      <c r="D688">
        <v>1</v>
      </c>
      <c r="E688">
        <v>36</v>
      </c>
      <c r="F688">
        <v>21</v>
      </c>
      <c r="G688" t="s">
        <v>7979</v>
      </c>
      <c r="H688" t="s">
        <v>8996</v>
      </c>
      <c r="I688" t="s">
        <v>4349</v>
      </c>
      <c r="J688" t="s">
        <v>9021</v>
      </c>
      <c r="K688" s="5">
        <v>45677</v>
      </c>
      <c r="L688" s="5" t="s">
        <v>4312</v>
      </c>
      <c r="M688" s="5">
        <v>46053</v>
      </c>
      <c r="N688">
        <v>1</v>
      </c>
      <c r="O688" t="s">
        <v>10851</v>
      </c>
    </row>
    <row r="689" spans="1:15" x14ac:dyDescent="0.25">
      <c r="A689">
        <v>597</v>
      </c>
      <c r="B689">
        <v>2</v>
      </c>
      <c r="C689">
        <v>63</v>
      </c>
      <c r="D689">
        <v>1</v>
      </c>
      <c r="E689">
        <v>38</v>
      </c>
      <c r="F689">
        <v>49</v>
      </c>
      <c r="G689" t="s">
        <v>7980</v>
      </c>
      <c r="H689" t="s">
        <v>8996</v>
      </c>
      <c r="I689" t="s">
        <v>4349</v>
      </c>
      <c r="J689" t="s">
        <v>9020</v>
      </c>
      <c r="K689" s="5">
        <v>45677</v>
      </c>
      <c r="L689" s="5" t="s">
        <v>4312</v>
      </c>
      <c r="M689" s="5">
        <v>46053</v>
      </c>
      <c r="N689">
        <v>1</v>
      </c>
      <c r="O689" t="s">
        <v>10852</v>
      </c>
    </row>
    <row r="690" spans="1:15" x14ac:dyDescent="0.25">
      <c r="A690">
        <v>489</v>
      </c>
      <c r="B690">
        <v>3</v>
      </c>
      <c r="C690">
        <v>157</v>
      </c>
      <c r="D690">
        <v>1</v>
      </c>
      <c r="E690">
        <v>36</v>
      </c>
      <c r="F690">
        <v>21</v>
      </c>
      <c r="G690" t="s">
        <v>7860</v>
      </c>
      <c r="H690" t="s">
        <v>8996</v>
      </c>
      <c r="I690" t="s">
        <v>4349</v>
      </c>
      <c r="J690" t="s">
        <v>9021</v>
      </c>
      <c r="K690" s="5">
        <v>45677</v>
      </c>
      <c r="L690" s="5" t="s">
        <v>4312</v>
      </c>
      <c r="M690" s="5">
        <v>46022</v>
      </c>
      <c r="N690">
        <v>1</v>
      </c>
      <c r="O690" t="s">
        <v>10853</v>
      </c>
    </row>
    <row r="691" spans="1:15" x14ac:dyDescent="0.25">
      <c r="A691">
        <v>598</v>
      </c>
      <c r="B691">
        <v>4</v>
      </c>
      <c r="C691">
        <v>161</v>
      </c>
      <c r="D691">
        <v>2</v>
      </c>
      <c r="E691">
        <v>38</v>
      </c>
      <c r="F691">
        <v>49</v>
      </c>
      <c r="G691" t="s">
        <v>7981</v>
      </c>
      <c r="H691" t="s">
        <v>8996</v>
      </c>
      <c r="I691" t="s">
        <v>4349</v>
      </c>
      <c r="J691" t="s">
        <v>9020</v>
      </c>
      <c r="K691" s="5">
        <v>45677</v>
      </c>
      <c r="L691" s="5">
        <v>45930</v>
      </c>
      <c r="M691" s="5" t="s">
        <v>4312</v>
      </c>
      <c r="N691">
        <v>0</v>
      </c>
      <c r="O691" t="s">
        <v>10854</v>
      </c>
    </row>
    <row r="692" spans="1:15" x14ac:dyDescent="0.25">
      <c r="A692">
        <v>599</v>
      </c>
      <c r="B692">
        <v>4</v>
      </c>
      <c r="C692">
        <v>161</v>
      </c>
      <c r="D692">
        <v>2</v>
      </c>
      <c r="E692">
        <v>38</v>
      </c>
      <c r="F692">
        <v>49</v>
      </c>
      <c r="G692" t="s">
        <v>7982</v>
      </c>
      <c r="H692" t="s">
        <v>8996</v>
      </c>
      <c r="I692" t="s">
        <v>4349</v>
      </c>
      <c r="K692" s="5">
        <v>45678</v>
      </c>
      <c r="L692" s="5">
        <v>45747</v>
      </c>
      <c r="M692" s="5" t="s">
        <v>4312</v>
      </c>
      <c r="N692">
        <v>0</v>
      </c>
      <c r="O692" t="s">
        <v>10855</v>
      </c>
    </row>
    <row r="693" spans="1:15" x14ac:dyDescent="0.25">
      <c r="A693">
        <v>600</v>
      </c>
      <c r="B693">
        <v>3</v>
      </c>
      <c r="C693">
        <v>154</v>
      </c>
      <c r="D693">
        <v>1</v>
      </c>
      <c r="E693">
        <v>36</v>
      </c>
      <c r="F693">
        <v>21</v>
      </c>
      <c r="G693" t="s">
        <v>7983</v>
      </c>
      <c r="H693" t="s">
        <v>8996</v>
      </c>
      <c r="I693" t="s">
        <v>4349</v>
      </c>
      <c r="K693" s="5">
        <v>45680</v>
      </c>
      <c r="L693" s="5">
        <v>45755</v>
      </c>
      <c r="M693" s="5">
        <v>45777</v>
      </c>
      <c r="N693">
        <v>0</v>
      </c>
      <c r="O693" t="s">
        <v>10429</v>
      </c>
    </row>
    <row r="694" spans="1:15" x14ac:dyDescent="0.25">
      <c r="A694">
        <v>292</v>
      </c>
      <c r="B694">
        <v>3</v>
      </c>
      <c r="C694">
        <v>157</v>
      </c>
      <c r="D694">
        <v>2</v>
      </c>
      <c r="E694">
        <v>34</v>
      </c>
      <c r="F694">
        <v>35</v>
      </c>
      <c r="G694" t="s">
        <v>7678</v>
      </c>
      <c r="H694" t="s">
        <v>8996</v>
      </c>
      <c r="I694" t="s">
        <v>4349</v>
      </c>
      <c r="J694" t="s">
        <v>9025</v>
      </c>
      <c r="K694" s="5">
        <v>45680</v>
      </c>
      <c r="L694" s="5" t="s">
        <v>4312</v>
      </c>
      <c r="M694" s="5">
        <v>46081</v>
      </c>
      <c r="N694">
        <v>1</v>
      </c>
      <c r="O694" t="s">
        <v>10856</v>
      </c>
    </row>
    <row r="695" spans="1:15" x14ac:dyDescent="0.25">
      <c r="A695">
        <v>601</v>
      </c>
      <c r="B695">
        <v>4</v>
      </c>
      <c r="C695">
        <v>161</v>
      </c>
      <c r="D695">
        <v>1</v>
      </c>
      <c r="E695">
        <v>38</v>
      </c>
      <c r="F695">
        <v>49</v>
      </c>
      <c r="H695" t="s">
        <v>8996</v>
      </c>
      <c r="I695" t="s">
        <v>4349</v>
      </c>
      <c r="K695" s="5">
        <v>45681</v>
      </c>
      <c r="L695" s="5">
        <v>45681</v>
      </c>
      <c r="M695" s="5" t="s">
        <v>4312</v>
      </c>
      <c r="N695">
        <v>0</v>
      </c>
      <c r="O695" t="s">
        <v>10857</v>
      </c>
    </row>
    <row r="696" spans="1:15" x14ac:dyDescent="0.25">
      <c r="A696">
        <v>494</v>
      </c>
      <c r="B696">
        <v>2</v>
      </c>
      <c r="C696">
        <v>161</v>
      </c>
      <c r="D696">
        <v>2</v>
      </c>
      <c r="E696">
        <v>38</v>
      </c>
      <c r="F696">
        <v>49</v>
      </c>
      <c r="G696" t="s">
        <v>7984</v>
      </c>
      <c r="H696" t="s">
        <v>8996</v>
      </c>
      <c r="I696" t="s">
        <v>4349</v>
      </c>
      <c r="J696" t="s">
        <v>9020</v>
      </c>
      <c r="K696" s="5">
        <v>45689</v>
      </c>
      <c r="L696" s="5" t="s">
        <v>4312</v>
      </c>
      <c r="M696" s="5">
        <v>46053</v>
      </c>
      <c r="N696">
        <v>1</v>
      </c>
      <c r="O696" t="s">
        <v>10858</v>
      </c>
    </row>
    <row r="697" spans="1:15" x14ac:dyDescent="0.25">
      <c r="A697">
        <v>295</v>
      </c>
      <c r="B697">
        <v>2</v>
      </c>
      <c r="C697">
        <v>166</v>
      </c>
      <c r="D697">
        <v>1</v>
      </c>
      <c r="E697">
        <v>38</v>
      </c>
      <c r="F697">
        <v>49</v>
      </c>
      <c r="G697" t="s">
        <v>7985</v>
      </c>
      <c r="H697" t="s">
        <v>8996</v>
      </c>
      <c r="I697" t="s">
        <v>4349</v>
      </c>
      <c r="J697" t="s">
        <v>9020</v>
      </c>
      <c r="K697" s="5">
        <v>45689</v>
      </c>
      <c r="L697" s="5">
        <v>45961</v>
      </c>
      <c r="M697" s="5">
        <v>45961</v>
      </c>
      <c r="N697">
        <v>0</v>
      </c>
      <c r="O697" t="s">
        <v>10430</v>
      </c>
    </row>
    <row r="698" spans="1:15" x14ac:dyDescent="0.25">
      <c r="A698">
        <v>241</v>
      </c>
      <c r="B698">
        <v>2</v>
      </c>
      <c r="C698">
        <v>160</v>
      </c>
      <c r="D698">
        <v>1</v>
      </c>
      <c r="E698">
        <v>38</v>
      </c>
      <c r="F698">
        <v>49</v>
      </c>
      <c r="G698" t="s">
        <v>7986</v>
      </c>
      <c r="H698" t="s">
        <v>8996</v>
      </c>
      <c r="I698" t="s">
        <v>4349</v>
      </c>
      <c r="J698" t="s">
        <v>9020</v>
      </c>
      <c r="K698" s="5">
        <v>45689</v>
      </c>
      <c r="L698" s="5" t="s">
        <v>4312</v>
      </c>
      <c r="M698" s="5">
        <v>46053</v>
      </c>
      <c r="N698">
        <v>1</v>
      </c>
      <c r="O698" t="s">
        <v>10859</v>
      </c>
    </row>
    <row r="699" spans="1:15" x14ac:dyDescent="0.25">
      <c r="A699">
        <v>129</v>
      </c>
      <c r="B699">
        <v>2</v>
      </c>
      <c r="C699">
        <v>122</v>
      </c>
      <c r="D699">
        <v>1</v>
      </c>
      <c r="E699">
        <v>38</v>
      </c>
      <c r="F699">
        <v>49</v>
      </c>
      <c r="G699" t="s">
        <v>7987</v>
      </c>
      <c r="H699" t="s">
        <v>8996</v>
      </c>
      <c r="I699" t="s">
        <v>4349</v>
      </c>
      <c r="J699" t="s">
        <v>9020</v>
      </c>
      <c r="K699" s="5">
        <v>45689</v>
      </c>
      <c r="L699" s="5" t="s">
        <v>4312</v>
      </c>
      <c r="M699" s="5">
        <v>46053</v>
      </c>
      <c r="N699">
        <v>1</v>
      </c>
      <c r="O699" t="s">
        <v>10860</v>
      </c>
    </row>
    <row r="700" spans="1:15" x14ac:dyDescent="0.25">
      <c r="A700">
        <v>602</v>
      </c>
      <c r="B700">
        <v>1</v>
      </c>
      <c r="C700">
        <v>21</v>
      </c>
      <c r="D700">
        <v>1</v>
      </c>
      <c r="E700">
        <v>1</v>
      </c>
      <c r="F700">
        <v>1</v>
      </c>
      <c r="G700" t="s">
        <v>7988</v>
      </c>
      <c r="H700" t="s">
        <v>8995</v>
      </c>
      <c r="I700" t="s">
        <v>9003</v>
      </c>
      <c r="J700" t="s">
        <v>9020</v>
      </c>
      <c r="K700" s="5">
        <v>45887</v>
      </c>
      <c r="L700" s="5" t="s">
        <v>4312</v>
      </c>
      <c r="M700" s="5" t="s">
        <v>4312</v>
      </c>
      <c r="N700">
        <v>1</v>
      </c>
      <c r="O700" t="s">
        <v>10861</v>
      </c>
    </row>
    <row r="701" spans="1:15" x14ac:dyDescent="0.25">
      <c r="A701">
        <v>174</v>
      </c>
      <c r="B701">
        <v>2</v>
      </c>
      <c r="C701">
        <v>168</v>
      </c>
      <c r="D701">
        <v>1</v>
      </c>
      <c r="E701">
        <v>38</v>
      </c>
      <c r="F701">
        <v>49</v>
      </c>
      <c r="G701" t="s">
        <v>7989</v>
      </c>
      <c r="H701" t="s">
        <v>8996</v>
      </c>
      <c r="I701" t="s">
        <v>4349</v>
      </c>
      <c r="J701" t="s">
        <v>9020</v>
      </c>
      <c r="K701" s="5">
        <v>45689</v>
      </c>
      <c r="L701" s="5" t="s">
        <v>4312</v>
      </c>
      <c r="M701" s="5">
        <v>46053</v>
      </c>
      <c r="N701">
        <v>1</v>
      </c>
      <c r="O701" t="s">
        <v>10862</v>
      </c>
    </row>
    <row r="702" spans="1:15" x14ac:dyDescent="0.25">
      <c r="A702">
        <v>442</v>
      </c>
      <c r="B702">
        <v>2</v>
      </c>
      <c r="C702">
        <v>185</v>
      </c>
      <c r="D702">
        <v>4</v>
      </c>
      <c r="E702">
        <v>1</v>
      </c>
      <c r="F702">
        <v>1</v>
      </c>
      <c r="G702" t="s">
        <v>7812</v>
      </c>
      <c r="H702" t="s">
        <v>8996</v>
      </c>
      <c r="I702" t="s">
        <v>4349</v>
      </c>
      <c r="J702" t="s">
        <v>9020</v>
      </c>
      <c r="K702" s="5">
        <v>45689</v>
      </c>
      <c r="L702" s="5" t="s">
        <v>4312</v>
      </c>
      <c r="M702" s="5">
        <v>46142</v>
      </c>
      <c r="N702">
        <v>1</v>
      </c>
      <c r="O702" t="s">
        <v>10863</v>
      </c>
    </row>
    <row r="703" spans="1:15" x14ac:dyDescent="0.25">
      <c r="A703">
        <v>603</v>
      </c>
      <c r="B703">
        <v>2</v>
      </c>
      <c r="C703">
        <v>27</v>
      </c>
      <c r="D703">
        <v>1</v>
      </c>
      <c r="E703">
        <v>1</v>
      </c>
      <c r="F703">
        <v>1</v>
      </c>
      <c r="G703" t="s">
        <v>7990</v>
      </c>
      <c r="H703" t="s">
        <v>8996</v>
      </c>
      <c r="I703" t="s">
        <v>4349</v>
      </c>
      <c r="J703" t="s">
        <v>9020</v>
      </c>
      <c r="K703" s="5">
        <v>45089</v>
      </c>
      <c r="L703" s="5" t="s">
        <v>4312</v>
      </c>
      <c r="M703" s="5">
        <v>46173</v>
      </c>
      <c r="N703">
        <v>1</v>
      </c>
      <c r="O703" t="s">
        <v>10864</v>
      </c>
    </row>
    <row r="704" spans="1:15" x14ac:dyDescent="0.25">
      <c r="A704">
        <v>441</v>
      </c>
      <c r="B704">
        <v>2</v>
      </c>
      <c r="C704">
        <v>203</v>
      </c>
      <c r="D704">
        <v>1</v>
      </c>
      <c r="E704">
        <v>1</v>
      </c>
      <c r="F704">
        <v>1</v>
      </c>
      <c r="G704" t="s">
        <v>7811</v>
      </c>
      <c r="H704" t="s">
        <v>8996</v>
      </c>
      <c r="I704" t="s">
        <v>4349</v>
      </c>
      <c r="K704" s="5">
        <v>45689</v>
      </c>
      <c r="L704" s="5">
        <v>45777</v>
      </c>
      <c r="M704" s="5">
        <v>45777</v>
      </c>
      <c r="N704">
        <v>0</v>
      </c>
      <c r="O704" t="s">
        <v>10431</v>
      </c>
    </row>
    <row r="705" spans="1:15" x14ac:dyDescent="0.25">
      <c r="A705">
        <v>604</v>
      </c>
      <c r="B705">
        <v>4</v>
      </c>
      <c r="C705">
        <v>257</v>
      </c>
      <c r="D705">
        <v>1</v>
      </c>
      <c r="E705">
        <v>1</v>
      </c>
      <c r="F705">
        <v>1</v>
      </c>
      <c r="G705">
        <v>60000131</v>
      </c>
      <c r="H705" t="s">
        <v>8996</v>
      </c>
      <c r="I705" t="s">
        <v>4349</v>
      </c>
      <c r="J705" t="s">
        <v>9020</v>
      </c>
      <c r="K705" s="5">
        <v>45699</v>
      </c>
      <c r="L705" s="5" t="s">
        <v>4312</v>
      </c>
      <c r="M705" s="5" t="s">
        <v>4312</v>
      </c>
      <c r="N705">
        <v>1</v>
      </c>
      <c r="O705" t="s">
        <v>10865</v>
      </c>
    </row>
    <row r="706" spans="1:15" x14ac:dyDescent="0.25">
      <c r="A706">
        <v>605</v>
      </c>
      <c r="B706">
        <v>2</v>
      </c>
      <c r="C706">
        <v>161</v>
      </c>
      <c r="D706">
        <v>1</v>
      </c>
      <c r="E706">
        <v>38</v>
      </c>
      <c r="F706">
        <v>49</v>
      </c>
      <c r="G706" t="s">
        <v>7991</v>
      </c>
      <c r="H706" t="s">
        <v>8996</v>
      </c>
      <c r="I706" t="s">
        <v>4349</v>
      </c>
      <c r="J706" t="s">
        <v>9020</v>
      </c>
      <c r="K706" s="5">
        <v>45691</v>
      </c>
      <c r="L706" s="5">
        <v>45808</v>
      </c>
      <c r="M706" s="5">
        <v>45808</v>
      </c>
      <c r="N706">
        <v>0</v>
      </c>
      <c r="O706" t="s">
        <v>10432</v>
      </c>
    </row>
    <row r="707" spans="1:15" x14ac:dyDescent="0.25">
      <c r="A707">
        <v>416</v>
      </c>
      <c r="B707">
        <v>3</v>
      </c>
      <c r="C707">
        <v>157</v>
      </c>
      <c r="D707">
        <v>4</v>
      </c>
      <c r="E707">
        <v>19</v>
      </c>
      <c r="F707">
        <v>23</v>
      </c>
      <c r="G707" t="s">
        <v>7786</v>
      </c>
      <c r="H707" t="s">
        <v>8996</v>
      </c>
      <c r="I707" t="s">
        <v>4349</v>
      </c>
      <c r="J707" t="s">
        <v>9023</v>
      </c>
      <c r="K707" s="5">
        <v>45691</v>
      </c>
      <c r="L707" s="5" t="s">
        <v>4312</v>
      </c>
      <c r="M707" s="5">
        <v>45991</v>
      </c>
      <c r="N707">
        <v>1</v>
      </c>
      <c r="O707" t="s">
        <v>10866</v>
      </c>
    </row>
    <row r="708" spans="1:15" x14ac:dyDescent="0.25">
      <c r="A708">
        <v>606</v>
      </c>
      <c r="B708">
        <v>2</v>
      </c>
      <c r="C708">
        <v>30</v>
      </c>
      <c r="D708">
        <v>1</v>
      </c>
      <c r="E708">
        <v>1</v>
      </c>
      <c r="F708">
        <v>1</v>
      </c>
      <c r="G708" t="s">
        <v>7992</v>
      </c>
      <c r="H708" t="s">
        <v>8996</v>
      </c>
      <c r="I708" t="s">
        <v>4349</v>
      </c>
      <c r="J708" t="s">
        <v>9020</v>
      </c>
      <c r="K708" s="5">
        <v>44958</v>
      </c>
      <c r="L708" s="5" t="s">
        <v>4312</v>
      </c>
      <c r="M708" s="5">
        <v>46142</v>
      </c>
      <c r="N708">
        <v>1</v>
      </c>
      <c r="O708" t="s">
        <v>10867</v>
      </c>
    </row>
    <row r="709" spans="1:15" x14ac:dyDescent="0.25">
      <c r="A709">
        <v>607</v>
      </c>
      <c r="B709">
        <v>3</v>
      </c>
      <c r="C709">
        <v>162</v>
      </c>
      <c r="D709">
        <v>4</v>
      </c>
      <c r="E709">
        <v>6</v>
      </c>
      <c r="F709">
        <v>9</v>
      </c>
      <c r="G709" t="s">
        <v>7993</v>
      </c>
      <c r="H709" t="s">
        <v>8996</v>
      </c>
      <c r="I709" t="s">
        <v>4349</v>
      </c>
      <c r="K709" s="5">
        <v>45695</v>
      </c>
      <c r="L709" s="5">
        <v>45854</v>
      </c>
      <c r="M709" s="5">
        <v>45900</v>
      </c>
      <c r="N709">
        <v>0</v>
      </c>
      <c r="O709" t="s">
        <v>10433</v>
      </c>
    </row>
    <row r="710" spans="1:15" x14ac:dyDescent="0.25">
      <c r="A710">
        <v>608</v>
      </c>
      <c r="B710">
        <v>4</v>
      </c>
      <c r="C710">
        <v>161</v>
      </c>
      <c r="D710">
        <v>1</v>
      </c>
      <c r="E710">
        <v>38</v>
      </c>
      <c r="F710">
        <v>49</v>
      </c>
      <c r="G710" t="s">
        <v>7994</v>
      </c>
      <c r="H710" t="s">
        <v>8996</v>
      </c>
      <c r="I710" t="s">
        <v>4349</v>
      </c>
      <c r="J710" t="s">
        <v>9020</v>
      </c>
      <c r="K710" s="5">
        <v>45709</v>
      </c>
      <c r="L710" s="5" t="s">
        <v>4312</v>
      </c>
      <c r="M710" s="5" t="s">
        <v>4312</v>
      </c>
      <c r="N710">
        <v>1</v>
      </c>
      <c r="O710" t="s">
        <v>10868</v>
      </c>
    </row>
    <row r="711" spans="1:15" x14ac:dyDescent="0.25">
      <c r="A711">
        <v>609</v>
      </c>
      <c r="B711">
        <v>2</v>
      </c>
      <c r="C711">
        <v>254</v>
      </c>
      <c r="D711">
        <v>1</v>
      </c>
      <c r="E711">
        <v>1</v>
      </c>
      <c r="F711">
        <v>1</v>
      </c>
      <c r="G711" t="s">
        <v>7995</v>
      </c>
      <c r="H711" t="s">
        <v>8996</v>
      </c>
      <c r="I711" t="s">
        <v>4349</v>
      </c>
      <c r="J711" t="s">
        <v>9020</v>
      </c>
      <c r="K711" s="5">
        <v>45700</v>
      </c>
      <c r="L711" s="5" t="s">
        <v>4312</v>
      </c>
      <c r="M711" s="5">
        <v>45991</v>
      </c>
      <c r="N711">
        <v>1</v>
      </c>
      <c r="O711" t="s">
        <v>10869</v>
      </c>
    </row>
    <row r="712" spans="1:15" x14ac:dyDescent="0.25">
      <c r="A712">
        <v>610</v>
      </c>
      <c r="B712">
        <v>2</v>
      </c>
      <c r="C712">
        <v>178</v>
      </c>
      <c r="D712">
        <v>1</v>
      </c>
      <c r="E712">
        <v>1</v>
      </c>
      <c r="F712">
        <v>1</v>
      </c>
      <c r="G712" t="s">
        <v>7996</v>
      </c>
      <c r="H712" t="s">
        <v>8996</v>
      </c>
      <c r="I712" t="s">
        <v>4349</v>
      </c>
      <c r="J712" t="s">
        <v>9020</v>
      </c>
      <c r="K712" s="5">
        <v>45700</v>
      </c>
      <c r="L712" s="5" t="s">
        <v>4312</v>
      </c>
      <c r="M712" s="5">
        <v>46022</v>
      </c>
      <c r="N712">
        <v>1</v>
      </c>
      <c r="O712" t="s">
        <v>10870</v>
      </c>
    </row>
    <row r="713" spans="1:15" x14ac:dyDescent="0.25">
      <c r="A713">
        <v>611</v>
      </c>
      <c r="B713">
        <v>3</v>
      </c>
      <c r="C713">
        <v>163</v>
      </c>
      <c r="D713">
        <v>2</v>
      </c>
      <c r="E713">
        <v>33</v>
      </c>
      <c r="F713">
        <v>36</v>
      </c>
      <c r="G713" t="s">
        <v>7997</v>
      </c>
      <c r="H713" t="s">
        <v>8996</v>
      </c>
      <c r="I713" t="s">
        <v>4349</v>
      </c>
      <c r="K713" s="5">
        <v>45700</v>
      </c>
      <c r="L713" s="5">
        <v>45838</v>
      </c>
      <c r="M713" s="5">
        <v>45838</v>
      </c>
      <c r="N713">
        <v>0</v>
      </c>
      <c r="O713" t="s">
        <v>10434</v>
      </c>
    </row>
    <row r="714" spans="1:15" x14ac:dyDescent="0.25">
      <c r="A714">
        <v>191</v>
      </c>
      <c r="B714">
        <v>2</v>
      </c>
      <c r="C714">
        <v>178</v>
      </c>
      <c r="D714">
        <v>3</v>
      </c>
      <c r="E714">
        <v>1</v>
      </c>
      <c r="F714">
        <v>1</v>
      </c>
      <c r="G714" t="s">
        <v>7629</v>
      </c>
      <c r="H714" t="s">
        <v>8996</v>
      </c>
      <c r="I714" t="s">
        <v>4349</v>
      </c>
      <c r="J714" t="s">
        <v>9020</v>
      </c>
      <c r="K714" s="5">
        <v>45702</v>
      </c>
      <c r="L714" s="5">
        <v>45808</v>
      </c>
      <c r="M714" s="5">
        <v>45808</v>
      </c>
      <c r="N714">
        <v>0</v>
      </c>
      <c r="O714" t="s">
        <v>10435</v>
      </c>
    </row>
    <row r="715" spans="1:15" x14ac:dyDescent="0.25">
      <c r="A715">
        <v>300</v>
      </c>
      <c r="B715">
        <v>5</v>
      </c>
      <c r="C715">
        <v>85</v>
      </c>
      <c r="D715">
        <v>2</v>
      </c>
      <c r="E715">
        <v>1</v>
      </c>
      <c r="F715">
        <v>1</v>
      </c>
      <c r="G715" t="s">
        <v>7684</v>
      </c>
      <c r="H715" t="s">
        <v>8996</v>
      </c>
      <c r="I715" t="s">
        <v>4349</v>
      </c>
      <c r="J715" t="s">
        <v>9020</v>
      </c>
      <c r="K715" s="5">
        <v>45705</v>
      </c>
      <c r="L715" s="5">
        <v>45900</v>
      </c>
      <c r="M715" s="5">
        <v>45900</v>
      </c>
      <c r="N715">
        <v>0</v>
      </c>
      <c r="O715" t="s">
        <v>10436</v>
      </c>
    </row>
    <row r="716" spans="1:15" x14ac:dyDescent="0.25">
      <c r="A716">
        <v>612</v>
      </c>
      <c r="B716">
        <v>4</v>
      </c>
      <c r="C716">
        <v>161</v>
      </c>
      <c r="D716">
        <v>1</v>
      </c>
      <c r="E716">
        <v>38</v>
      </c>
      <c r="F716">
        <v>49</v>
      </c>
      <c r="H716" t="s">
        <v>8996</v>
      </c>
      <c r="I716" t="s">
        <v>4349</v>
      </c>
      <c r="J716" t="s">
        <v>9020</v>
      </c>
      <c r="K716" s="5">
        <v>45705</v>
      </c>
      <c r="L716" s="5">
        <v>45705</v>
      </c>
      <c r="M716" s="5" t="s">
        <v>4312</v>
      </c>
      <c r="N716">
        <v>0</v>
      </c>
      <c r="O716" t="s">
        <v>10871</v>
      </c>
    </row>
    <row r="717" spans="1:15" x14ac:dyDescent="0.25">
      <c r="A717">
        <v>613</v>
      </c>
      <c r="B717">
        <v>4</v>
      </c>
      <c r="C717">
        <v>59</v>
      </c>
      <c r="D717">
        <v>2</v>
      </c>
      <c r="E717">
        <v>38</v>
      </c>
      <c r="F717">
        <v>49</v>
      </c>
      <c r="G717" t="s">
        <v>7998</v>
      </c>
      <c r="H717" t="s">
        <v>8996</v>
      </c>
      <c r="I717" t="s">
        <v>4349</v>
      </c>
      <c r="J717" t="s">
        <v>9020</v>
      </c>
      <c r="K717" s="5">
        <v>45705</v>
      </c>
      <c r="L717" s="5">
        <v>45930</v>
      </c>
      <c r="M717" s="5" t="s">
        <v>4312</v>
      </c>
      <c r="N717">
        <v>0</v>
      </c>
      <c r="O717" t="s">
        <v>10872</v>
      </c>
    </row>
    <row r="718" spans="1:15" x14ac:dyDescent="0.25">
      <c r="A718">
        <v>614</v>
      </c>
      <c r="B718">
        <v>2</v>
      </c>
      <c r="C718">
        <v>168</v>
      </c>
      <c r="D718">
        <v>1</v>
      </c>
      <c r="E718">
        <v>38</v>
      </c>
      <c r="F718">
        <v>49</v>
      </c>
      <c r="G718" t="s">
        <v>7999</v>
      </c>
      <c r="H718" t="s">
        <v>8996</v>
      </c>
      <c r="I718" t="s">
        <v>4349</v>
      </c>
      <c r="J718" t="s">
        <v>9020</v>
      </c>
      <c r="K718" s="5">
        <v>45709</v>
      </c>
      <c r="L718" s="5" t="s">
        <v>4312</v>
      </c>
      <c r="M718" s="5">
        <v>45991</v>
      </c>
      <c r="N718">
        <v>1</v>
      </c>
      <c r="O718" t="s">
        <v>10873</v>
      </c>
    </row>
    <row r="719" spans="1:15" x14ac:dyDescent="0.25">
      <c r="A719">
        <v>615</v>
      </c>
      <c r="B719">
        <v>4</v>
      </c>
      <c r="C719">
        <v>161</v>
      </c>
      <c r="D719">
        <v>1</v>
      </c>
      <c r="E719">
        <v>38</v>
      </c>
      <c r="F719">
        <v>49</v>
      </c>
      <c r="G719" t="s">
        <v>8000</v>
      </c>
      <c r="H719" t="s">
        <v>8996</v>
      </c>
      <c r="I719" t="s">
        <v>4349</v>
      </c>
      <c r="J719" t="s">
        <v>9020</v>
      </c>
      <c r="K719" s="5">
        <v>45712</v>
      </c>
      <c r="L719" s="5" t="s">
        <v>4312</v>
      </c>
      <c r="M719" s="5" t="s">
        <v>4312</v>
      </c>
      <c r="N719">
        <v>1</v>
      </c>
      <c r="O719" t="s">
        <v>10874</v>
      </c>
    </row>
    <row r="720" spans="1:15" x14ac:dyDescent="0.25">
      <c r="A720">
        <v>616</v>
      </c>
      <c r="B720">
        <v>3</v>
      </c>
      <c r="C720">
        <v>156</v>
      </c>
      <c r="D720">
        <v>2</v>
      </c>
      <c r="E720">
        <v>23</v>
      </c>
      <c r="F720">
        <v>24</v>
      </c>
      <c r="G720" t="s">
        <v>8001</v>
      </c>
      <c r="H720" t="s">
        <v>8996</v>
      </c>
      <c r="I720" t="s">
        <v>4349</v>
      </c>
      <c r="J720" t="s">
        <v>9024</v>
      </c>
      <c r="K720" s="5">
        <v>45712</v>
      </c>
      <c r="L720" s="5" t="s">
        <v>4312</v>
      </c>
      <c r="M720" s="5">
        <v>45991</v>
      </c>
      <c r="N720">
        <v>1</v>
      </c>
      <c r="O720" t="s">
        <v>10875</v>
      </c>
    </row>
    <row r="721" spans="1:15" x14ac:dyDescent="0.25">
      <c r="A721">
        <v>459</v>
      </c>
      <c r="B721">
        <v>3</v>
      </c>
      <c r="C721">
        <v>156</v>
      </c>
      <c r="D721">
        <v>4</v>
      </c>
      <c r="E721">
        <v>17</v>
      </c>
      <c r="F721">
        <v>11</v>
      </c>
      <c r="G721" t="s">
        <v>8002</v>
      </c>
      <c r="H721" t="s">
        <v>8996</v>
      </c>
      <c r="I721" t="s">
        <v>4349</v>
      </c>
      <c r="K721" s="5">
        <v>45712</v>
      </c>
      <c r="L721" s="5">
        <v>45939</v>
      </c>
      <c r="M721" s="5">
        <v>45991</v>
      </c>
      <c r="N721">
        <v>0</v>
      </c>
      <c r="O721" t="s">
        <v>10437</v>
      </c>
    </row>
    <row r="722" spans="1:15" x14ac:dyDescent="0.25">
      <c r="A722">
        <v>617</v>
      </c>
      <c r="B722">
        <v>2</v>
      </c>
      <c r="C722">
        <v>254</v>
      </c>
      <c r="D722">
        <v>1</v>
      </c>
      <c r="E722">
        <v>1</v>
      </c>
      <c r="F722">
        <v>1</v>
      </c>
      <c r="G722" t="s">
        <v>8003</v>
      </c>
      <c r="H722" t="s">
        <v>8996</v>
      </c>
      <c r="I722" t="s">
        <v>4349</v>
      </c>
      <c r="J722" t="s">
        <v>9020</v>
      </c>
      <c r="K722" s="5">
        <v>45712</v>
      </c>
      <c r="L722" s="5" t="s">
        <v>4312</v>
      </c>
      <c r="M722" s="5">
        <v>45991</v>
      </c>
      <c r="N722">
        <v>1</v>
      </c>
      <c r="O722" t="s">
        <v>10876</v>
      </c>
    </row>
    <row r="723" spans="1:15" x14ac:dyDescent="0.25">
      <c r="A723">
        <v>618</v>
      </c>
      <c r="B723">
        <v>2</v>
      </c>
      <c r="C723">
        <v>254</v>
      </c>
      <c r="D723">
        <v>1</v>
      </c>
      <c r="E723">
        <v>1</v>
      </c>
      <c r="F723">
        <v>1</v>
      </c>
      <c r="G723" t="s">
        <v>8004</v>
      </c>
      <c r="H723" t="s">
        <v>8996</v>
      </c>
      <c r="I723" t="s">
        <v>4349</v>
      </c>
      <c r="J723" t="s">
        <v>9020</v>
      </c>
      <c r="K723" s="5">
        <v>45712</v>
      </c>
      <c r="L723" s="5" t="s">
        <v>4312</v>
      </c>
      <c r="M723" s="5">
        <v>45991</v>
      </c>
      <c r="N723">
        <v>1</v>
      </c>
      <c r="O723" t="s">
        <v>10877</v>
      </c>
    </row>
    <row r="724" spans="1:15" x14ac:dyDescent="0.25">
      <c r="A724">
        <v>619</v>
      </c>
      <c r="B724">
        <v>4</v>
      </c>
      <c r="C724">
        <v>161</v>
      </c>
      <c r="D724">
        <v>1</v>
      </c>
      <c r="E724">
        <v>38</v>
      </c>
      <c r="F724">
        <v>49</v>
      </c>
      <c r="G724" t="s">
        <v>8005</v>
      </c>
      <c r="H724" t="s">
        <v>8996</v>
      </c>
      <c r="I724" t="s">
        <v>4349</v>
      </c>
      <c r="J724" t="s">
        <v>9020</v>
      </c>
      <c r="K724" s="5">
        <v>45715</v>
      </c>
      <c r="L724" s="5" t="s">
        <v>4312</v>
      </c>
      <c r="M724" s="5" t="s">
        <v>4312</v>
      </c>
      <c r="N724">
        <v>1</v>
      </c>
      <c r="O724" t="s">
        <v>10878</v>
      </c>
    </row>
    <row r="725" spans="1:15" x14ac:dyDescent="0.25">
      <c r="A725">
        <v>620</v>
      </c>
      <c r="B725">
        <v>4</v>
      </c>
      <c r="C725">
        <v>161</v>
      </c>
      <c r="D725">
        <v>1</v>
      </c>
      <c r="E725">
        <v>38</v>
      </c>
      <c r="F725">
        <v>49</v>
      </c>
      <c r="G725" t="s">
        <v>8006</v>
      </c>
      <c r="H725" t="s">
        <v>8996</v>
      </c>
      <c r="I725" t="s">
        <v>4349</v>
      </c>
      <c r="J725" t="s">
        <v>9020</v>
      </c>
      <c r="K725" s="5">
        <v>45712</v>
      </c>
      <c r="L725" s="5">
        <v>45786</v>
      </c>
      <c r="M725" s="5" t="s">
        <v>4312</v>
      </c>
      <c r="N725">
        <v>0</v>
      </c>
      <c r="O725" t="s">
        <v>10879</v>
      </c>
    </row>
    <row r="726" spans="1:15" x14ac:dyDescent="0.25">
      <c r="A726">
        <v>621</v>
      </c>
      <c r="B726">
        <v>4</v>
      </c>
      <c r="C726">
        <v>208</v>
      </c>
      <c r="D726">
        <v>1</v>
      </c>
      <c r="E726">
        <v>1</v>
      </c>
      <c r="F726">
        <v>1</v>
      </c>
      <c r="G726" t="s">
        <v>8007</v>
      </c>
      <c r="H726" t="s">
        <v>8996</v>
      </c>
      <c r="I726" t="s">
        <v>4349</v>
      </c>
      <c r="J726" t="s">
        <v>9020</v>
      </c>
      <c r="K726" s="5">
        <v>45719</v>
      </c>
      <c r="L726" s="5" t="s">
        <v>4312</v>
      </c>
      <c r="M726" s="5" t="s">
        <v>4312</v>
      </c>
      <c r="N726">
        <v>1</v>
      </c>
      <c r="O726" t="s">
        <v>10880</v>
      </c>
    </row>
    <row r="727" spans="1:15" x14ac:dyDescent="0.25">
      <c r="A727">
        <v>622</v>
      </c>
      <c r="B727">
        <v>2</v>
      </c>
      <c r="C727">
        <v>32</v>
      </c>
      <c r="D727">
        <v>1</v>
      </c>
      <c r="E727">
        <v>1</v>
      </c>
      <c r="F727">
        <v>1</v>
      </c>
      <c r="G727" t="s">
        <v>8008</v>
      </c>
      <c r="H727" t="s">
        <v>8995</v>
      </c>
      <c r="I727" t="s">
        <v>4348</v>
      </c>
      <c r="J727" t="s">
        <v>9020</v>
      </c>
      <c r="K727" s="5">
        <v>45201</v>
      </c>
      <c r="L727" s="5" t="s">
        <v>4312</v>
      </c>
      <c r="M727" s="5">
        <v>46112</v>
      </c>
      <c r="N727">
        <v>1</v>
      </c>
      <c r="O727" t="s">
        <v>10881</v>
      </c>
    </row>
    <row r="728" spans="1:15" x14ac:dyDescent="0.25">
      <c r="A728">
        <v>623</v>
      </c>
      <c r="B728">
        <v>2</v>
      </c>
      <c r="C728">
        <v>56</v>
      </c>
      <c r="D728">
        <v>1</v>
      </c>
      <c r="E728">
        <v>1</v>
      </c>
      <c r="F728">
        <v>1</v>
      </c>
      <c r="G728" t="s">
        <v>8009</v>
      </c>
      <c r="H728" t="s">
        <v>8996</v>
      </c>
      <c r="I728" t="s">
        <v>4349</v>
      </c>
      <c r="J728" t="s">
        <v>9020</v>
      </c>
      <c r="K728" s="5">
        <v>45719</v>
      </c>
      <c r="L728" s="5" t="s">
        <v>4312</v>
      </c>
      <c r="M728" s="5">
        <v>46022</v>
      </c>
      <c r="N728">
        <v>1</v>
      </c>
      <c r="O728" t="s">
        <v>10882</v>
      </c>
    </row>
    <row r="729" spans="1:15" x14ac:dyDescent="0.25">
      <c r="A729">
        <v>624</v>
      </c>
      <c r="B729">
        <v>2</v>
      </c>
      <c r="C729">
        <v>5</v>
      </c>
      <c r="D729">
        <v>2</v>
      </c>
      <c r="E729">
        <v>1</v>
      </c>
      <c r="F729">
        <v>1</v>
      </c>
      <c r="G729" t="s">
        <v>8010</v>
      </c>
      <c r="H729" t="s">
        <v>8995</v>
      </c>
      <c r="I729" t="s">
        <v>4349</v>
      </c>
      <c r="J729" t="s">
        <v>9020</v>
      </c>
      <c r="K729" s="5">
        <v>45719</v>
      </c>
      <c r="L729" s="5" t="s">
        <v>4312</v>
      </c>
      <c r="M729" s="5">
        <v>46022</v>
      </c>
      <c r="N729">
        <v>1</v>
      </c>
      <c r="O729" t="s">
        <v>10883</v>
      </c>
    </row>
    <row r="730" spans="1:15" x14ac:dyDescent="0.25">
      <c r="A730">
        <v>625</v>
      </c>
      <c r="B730">
        <v>1</v>
      </c>
      <c r="C730">
        <v>36</v>
      </c>
      <c r="D730">
        <v>1</v>
      </c>
      <c r="E730">
        <v>1</v>
      </c>
      <c r="F730">
        <v>1</v>
      </c>
      <c r="G730" t="s">
        <v>8011</v>
      </c>
      <c r="H730" t="s">
        <v>8995</v>
      </c>
      <c r="I730" t="s">
        <v>4348</v>
      </c>
      <c r="J730" t="s">
        <v>9020</v>
      </c>
      <c r="K730" s="5">
        <v>40603</v>
      </c>
      <c r="L730" s="5" t="s">
        <v>4312</v>
      </c>
      <c r="M730" s="5" t="s">
        <v>4312</v>
      </c>
      <c r="N730">
        <v>1</v>
      </c>
      <c r="O730" t="s">
        <v>10884</v>
      </c>
    </row>
    <row r="731" spans="1:15" x14ac:dyDescent="0.25">
      <c r="A731">
        <v>199</v>
      </c>
      <c r="B731">
        <v>3</v>
      </c>
      <c r="C731">
        <v>156</v>
      </c>
      <c r="D731">
        <v>3</v>
      </c>
      <c r="E731">
        <v>37</v>
      </c>
      <c r="F731">
        <v>48</v>
      </c>
      <c r="G731" t="s">
        <v>7793</v>
      </c>
      <c r="H731" t="s">
        <v>8996</v>
      </c>
      <c r="I731" t="s">
        <v>4349</v>
      </c>
      <c r="K731" s="5">
        <v>45719</v>
      </c>
      <c r="L731" s="5">
        <v>45799</v>
      </c>
      <c r="M731" s="5">
        <v>45838</v>
      </c>
      <c r="N731">
        <v>0</v>
      </c>
      <c r="O731" t="s">
        <v>10438</v>
      </c>
    </row>
    <row r="732" spans="1:15" x14ac:dyDescent="0.25">
      <c r="A732">
        <v>626</v>
      </c>
      <c r="B732">
        <v>1</v>
      </c>
      <c r="C732">
        <v>36</v>
      </c>
      <c r="D732">
        <v>1</v>
      </c>
      <c r="E732">
        <v>1</v>
      </c>
      <c r="F732">
        <v>1</v>
      </c>
      <c r="G732" t="s">
        <v>8012</v>
      </c>
      <c r="H732" t="s">
        <v>8995</v>
      </c>
      <c r="I732" t="s">
        <v>4348</v>
      </c>
      <c r="J732" t="s">
        <v>9020</v>
      </c>
      <c r="K732" s="5">
        <v>41800</v>
      </c>
      <c r="L732" s="5" t="s">
        <v>4312</v>
      </c>
      <c r="M732" s="5" t="s">
        <v>4312</v>
      </c>
      <c r="N732">
        <v>1</v>
      </c>
      <c r="O732" t="s">
        <v>10885</v>
      </c>
    </row>
    <row r="733" spans="1:15" x14ac:dyDescent="0.25">
      <c r="A733">
        <v>627</v>
      </c>
      <c r="B733">
        <v>5</v>
      </c>
      <c r="C733">
        <v>90</v>
      </c>
      <c r="D733">
        <v>2</v>
      </c>
      <c r="E733">
        <v>1</v>
      </c>
      <c r="F733">
        <v>1</v>
      </c>
      <c r="G733" t="s">
        <v>8013</v>
      </c>
      <c r="H733" t="s">
        <v>8996</v>
      </c>
      <c r="I733" t="s">
        <v>4349</v>
      </c>
      <c r="J733" t="s">
        <v>9020</v>
      </c>
      <c r="K733" s="5">
        <v>45721</v>
      </c>
      <c r="L733" s="5">
        <v>45838</v>
      </c>
      <c r="M733" s="5">
        <v>45838</v>
      </c>
      <c r="N733">
        <v>0</v>
      </c>
      <c r="O733" t="s">
        <v>10439</v>
      </c>
    </row>
    <row r="734" spans="1:15" x14ac:dyDescent="0.25">
      <c r="A734">
        <v>628</v>
      </c>
      <c r="B734">
        <v>4</v>
      </c>
      <c r="C734">
        <v>257</v>
      </c>
      <c r="D734">
        <v>4</v>
      </c>
      <c r="E734">
        <v>1</v>
      </c>
      <c r="F734">
        <v>1</v>
      </c>
      <c r="G734">
        <v>60000130</v>
      </c>
      <c r="H734" t="s">
        <v>8996</v>
      </c>
      <c r="I734" t="s">
        <v>4349</v>
      </c>
      <c r="J734" t="s">
        <v>9020</v>
      </c>
      <c r="K734" s="5">
        <v>45722</v>
      </c>
      <c r="L734" s="5" t="s">
        <v>4312</v>
      </c>
      <c r="M734" s="5" t="s">
        <v>4312</v>
      </c>
      <c r="N734">
        <v>1</v>
      </c>
      <c r="O734" t="s">
        <v>10886</v>
      </c>
    </row>
    <row r="735" spans="1:15" x14ac:dyDescent="0.25">
      <c r="A735">
        <v>629</v>
      </c>
      <c r="B735">
        <v>2</v>
      </c>
      <c r="C735">
        <v>175</v>
      </c>
      <c r="D735">
        <v>2</v>
      </c>
      <c r="E735">
        <v>1</v>
      </c>
      <c r="F735">
        <v>1</v>
      </c>
      <c r="G735" t="s">
        <v>8014</v>
      </c>
      <c r="H735" t="s">
        <v>8996</v>
      </c>
      <c r="I735" t="s">
        <v>4349</v>
      </c>
      <c r="J735" t="s">
        <v>9020</v>
      </c>
      <c r="K735" s="5">
        <v>45723</v>
      </c>
      <c r="L735" s="5">
        <v>45961</v>
      </c>
      <c r="M735" s="5">
        <v>46022</v>
      </c>
      <c r="N735">
        <v>0</v>
      </c>
      <c r="O735" t="s">
        <v>10440</v>
      </c>
    </row>
    <row r="736" spans="1:15" x14ac:dyDescent="0.25">
      <c r="A736">
        <v>630</v>
      </c>
      <c r="B736">
        <v>2</v>
      </c>
      <c r="C736">
        <v>168</v>
      </c>
      <c r="D736">
        <v>1</v>
      </c>
      <c r="E736">
        <v>38</v>
      </c>
      <c r="F736">
        <v>49</v>
      </c>
      <c r="G736" t="s">
        <v>8015</v>
      </c>
      <c r="H736" t="s">
        <v>8996</v>
      </c>
      <c r="I736" t="s">
        <v>4349</v>
      </c>
      <c r="J736" t="s">
        <v>9020</v>
      </c>
      <c r="K736" s="5">
        <v>45726</v>
      </c>
      <c r="L736" s="5" t="s">
        <v>4312</v>
      </c>
      <c r="M736" s="5">
        <v>46022</v>
      </c>
      <c r="N736">
        <v>1</v>
      </c>
      <c r="O736" t="s">
        <v>10887</v>
      </c>
    </row>
    <row r="737" spans="1:15" x14ac:dyDescent="0.25">
      <c r="A737">
        <v>631</v>
      </c>
      <c r="B737">
        <v>4</v>
      </c>
      <c r="C737">
        <v>159</v>
      </c>
      <c r="D737">
        <v>1</v>
      </c>
      <c r="E737">
        <v>38</v>
      </c>
      <c r="F737">
        <v>49</v>
      </c>
      <c r="G737" t="s">
        <v>8016</v>
      </c>
      <c r="H737" t="s">
        <v>8996</v>
      </c>
      <c r="I737" t="s">
        <v>4349</v>
      </c>
      <c r="J737" t="s">
        <v>9020</v>
      </c>
      <c r="K737" s="5">
        <v>45726</v>
      </c>
      <c r="L737" s="5" t="s">
        <v>4312</v>
      </c>
      <c r="M737" s="5" t="s">
        <v>4312</v>
      </c>
      <c r="N737">
        <v>1</v>
      </c>
      <c r="O737" t="s">
        <v>10888</v>
      </c>
    </row>
    <row r="738" spans="1:15" x14ac:dyDescent="0.25">
      <c r="A738">
        <v>632</v>
      </c>
      <c r="B738">
        <v>4</v>
      </c>
      <c r="C738">
        <v>161</v>
      </c>
      <c r="D738">
        <v>1</v>
      </c>
      <c r="E738">
        <v>38</v>
      </c>
      <c r="F738">
        <v>49</v>
      </c>
      <c r="G738" t="s">
        <v>8017</v>
      </c>
      <c r="H738" t="s">
        <v>8996</v>
      </c>
      <c r="I738" t="s">
        <v>4349</v>
      </c>
      <c r="J738" t="s">
        <v>9020</v>
      </c>
      <c r="K738" s="5">
        <v>45726</v>
      </c>
      <c r="L738" s="5">
        <v>45991</v>
      </c>
      <c r="M738" s="5" t="s">
        <v>4312</v>
      </c>
      <c r="N738">
        <v>0</v>
      </c>
      <c r="O738" t="s">
        <v>10889</v>
      </c>
    </row>
    <row r="739" spans="1:15" x14ac:dyDescent="0.25">
      <c r="A739">
        <v>633</v>
      </c>
      <c r="B739">
        <v>2</v>
      </c>
      <c r="C739">
        <v>168</v>
      </c>
      <c r="D739">
        <v>1</v>
      </c>
      <c r="E739">
        <v>38</v>
      </c>
      <c r="F739">
        <v>49</v>
      </c>
      <c r="G739" t="s">
        <v>8018</v>
      </c>
      <c r="H739" t="s">
        <v>8996</v>
      </c>
      <c r="I739" t="s">
        <v>4349</v>
      </c>
      <c r="J739" t="s">
        <v>9020</v>
      </c>
      <c r="K739" s="5">
        <v>45726</v>
      </c>
      <c r="L739" s="5">
        <v>45838</v>
      </c>
      <c r="M739" s="5">
        <v>45838</v>
      </c>
      <c r="N739">
        <v>0</v>
      </c>
      <c r="O739" t="s">
        <v>10441</v>
      </c>
    </row>
    <row r="740" spans="1:15" x14ac:dyDescent="0.25">
      <c r="A740">
        <v>634</v>
      </c>
      <c r="B740">
        <v>2</v>
      </c>
      <c r="C740">
        <v>168</v>
      </c>
      <c r="D740">
        <v>2</v>
      </c>
      <c r="E740">
        <v>38</v>
      </c>
      <c r="F740">
        <v>49</v>
      </c>
      <c r="G740" t="s">
        <v>8019</v>
      </c>
      <c r="H740" t="s">
        <v>8996</v>
      </c>
      <c r="I740" t="s">
        <v>4349</v>
      </c>
      <c r="J740" t="s">
        <v>9020</v>
      </c>
      <c r="K740" s="5">
        <v>45726</v>
      </c>
      <c r="L740" s="5">
        <v>45853</v>
      </c>
      <c r="M740" s="5">
        <v>45869</v>
      </c>
      <c r="N740">
        <v>0</v>
      </c>
      <c r="O740" t="s">
        <v>10442</v>
      </c>
    </row>
    <row r="741" spans="1:15" x14ac:dyDescent="0.25">
      <c r="A741">
        <v>635</v>
      </c>
      <c r="B741">
        <v>4</v>
      </c>
      <c r="C741">
        <v>161</v>
      </c>
      <c r="D741">
        <v>2</v>
      </c>
      <c r="E741">
        <v>38</v>
      </c>
      <c r="F741">
        <v>49</v>
      </c>
      <c r="G741" t="s">
        <v>8020</v>
      </c>
      <c r="H741" t="s">
        <v>8996</v>
      </c>
      <c r="I741" t="s">
        <v>4349</v>
      </c>
      <c r="K741" s="5">
        <v>45727</v>
      </c>
      <c r="L741" s="5">
        <v>45912</v>
      </c>
      <c r="M741" s="5" t="s">
        <v>4312</v>
      </c>
      <c r="N741">
        <v>0</v>
      </c>
      <c r="O741" t="s">
        <v>10890</v>
      </c>
    </row>
    <row r="742" spans="1:15" x14ac:dyDescent="0.25">
      <c r="A742">
        <v>636</v>
      </c>
      <c r="B742">
        <v>4</v>
      </c>
      <c r="C742">
        <v>60</v>
      </c>
      <c r="D742">
        <v>1</v>
      </c>
      <c r="E742">
        <v>38</v>
      </c>
      <c r="F742">
        <v>49</v>
      </c>
      <c r="G742" t="s">
        <v>8021</v>
      </c>
      <c r="H742" t="s">
        <v>8996</v>
      </c>
      <c r="I742" t="s">
        <v>4349</v>
      </c>
      <c r="J742" t="s">
        <v>9020</v>
      </c>
      <c r="K742" s="5">
        <v>45727</v>
      </c>
      <c r="L742" s="5">
        <v>45744</v>
      </c>
      <c r="M742" s="5" t="s">
        <v>4312</v>
      </c>
      <c r="N742">
        <v>0</v>
      </c>
      <c r="O742" t="s">
        <v>10891</v>
      </c>
    </row>
    <row r="743" spans="1:15" x14ac:dyDescent="0.25">
      <c r="A743">
        <v>637</v>
      </c>
      <c r="B743">
        <v>5</v>
      </c>
      <c r="C743">
        <v>93</v>
      </c>
      <c r="D743">
        <v>1</v>
      </c>
      <c r="E743">
        <v>1</v>
      </c>
      <c r="F743">
        <v>1</v>
      </c>
      <c r="G743" t="s">
        <v>8022</v>
      </c>
      <c r="H743" t="s">
        <v>8996</v>
      </c>
      <c r="I743" t="s">
        <v>4349</v>
      </c>
      <c r="J743" t="s">
        <v>9020</v>
      </c>
      <c r="K743" s="5">
        <v>45733</v>
      </c>
      <c r="L743" s="5">
        <v>45977</v>
      </c>
      <c r="M743" s="5">
        <v>45991</v>
      </c>
      <c r="N743">
        <v>0</v>
      </c>
      <c r="O743" t="s">
        <v>10443</v>
      </c>
    </row>
    <row r="744" spans="1:15" x14ac:dyDescent="0.25">
      <c r="A744">
        <v>638</v>
      </c>
      <c r="B744">
        <v>4</v>
      </c>
      <c r="C744">
        <v>121</v>
      </c>
      <c r="D744">
        <v>1</v>
      </c>
      <c r="E744">
        <v>38</v>
      </c>
      <c r="F744">
        <v>49</v>
      </c>
      <c r="G744" t="s">
        <v>8023</v>
      </c>
      <c r="H744" t="s">
        <v>8996</v>
      </c>
      <c r="I744" t="s">
        <v>4349</v>
      </c>
      <c r="J744" t="s">
        <v>9020</v>
      </c>
      <c r="K744" s="5">
        <v>45733</v>
      </c>
      <c r="L744" s="5">
        <v>45972</v>
      </c>
      <c r="M744" s="5" t="s">
        <v>4312</v>
      </c>
      <c r="N744">
        <v>0</v>
      </c>
      <c r="O744" t="s">
        <v>10892</v>
      </c>
    </row>
    <row r="745" spans="1:15" x14ac:dyDescent="0.25">
      <c r="A745">
        <v>639</v>
      </c>
      <c r="B745">
        <v>2</v>
      </c>
      <c r="C745">
        <v>168</v>
      </c>
      <c r="D745">
        <v>1</v>
      </c>
      <c r="E745">
        <v>38</v>
      </c>
      <c r="F745">
        <v>49</v>
      </c>
      <c r="G745" t="s">
        <v>8024</v>
      </c>
      <c r="H745" t="s">
        <v>8996</v>
      </c>
      <c r="I745" t="s">
        <v>4349</v>
      </c>
      <c r="J745" t="s">
        <v>9020</v>
      </c>
      <c r="K745" s="5">
        <v>45733</v>
      </c>
      <c r="L745" s="5">
        <v>45800</v>
      </c>
      <c r="M745" s="5">
        <v>45838</v>
      </c>
      <c r="N745">
        <v>0</v>
      </c>
      <c r="O745" t="s">
        <v>10444</v>
      </c>
    </row>
    <row r="746" spans="1:15" x14ac:dyDescent="0.25">
      <c r="A746">
        <v>640</v>
      </c>
      <c r="B746">
        <v>1</v>
      </c>
      <c r="C746">
        <v>48</v>
      </c>
      <c r="D746">
        <v>1</v>
      </c>
      <c r="E746">
        <v>1</v>
      </c>
      <c r="F746">
        <v>1</v>
      </c>
      <c r="G746" t="s">
        <v>8025</v>
      </c>
      <c r="H746" t="s">
        <v>8995</v>
      </c>
      <c r="I746" t="s">
        <v>4348</v>
      </c>
      <c r="J746" t="s">
        <v>9020</v>
      </c>
      <c r="K746" s="5">
        <v>43154</v>
      </c>
      <c r="L746" s="5" t="s">
        <v>4312</v>
      </c>
      <c r="M746" s="5" t="s">
        <v>4312</v>
      </c>
      <c r="N746">
        <v>1</v>
      </c>
      <c r="O746" t="s">
        <v>10893</v>
      </c>
    </row>
    <row r="747" spans="1:15" x14ac:dyDescent="0.25">
      <c r="A747">
        <v>641</v>
      </c>
      <c r="B747">
        <v>3</v>
      </c>
      <c r="C747">
        <v>163</v>
      </c>
      <c r="D747">
        <v>2</v>
      </c>
      <c r="E747">
        <v>27</v>
      </c>
      <c r="F747">
        <v>29</v>
      </c>
      <c r="G747" t="s">
        <v>8026</v>
      </c>
      <c r="H747" t="s">
        <v>8996</v>
      </c>
      <c r="I747" t="s">
        <v>4349</v>
      </c>
      <c r="K747" s="5">
        <v>45740</v>
      </c>
      <c r="L747" s="5">
        <v>45742</v>
      </c>
      <c r="M747" s="5">
        <v>45838</v>
      </c>
      <c r="N747">
        <v>0</v>
      </c>
      <c r="O747" t="s">
        <v>10445</v>
      </c>
    </row>
    <row r="748" spans="1:15" x14ac:dyDescent="0.25">
      <c r="A748">
        <v>642</v>
      </c>
      <c r="B748">
        <v>4</v>
      </c>
      <c r="C748">
        <v>161</v>
      </c>
      <c r="D748">
        <v>1</v>
      </c>
      <c r="E748">
        <v>38</v>
      </c>
      <c r="F748">
        <v>49</v>
      </c>
      <c r="G748" t="s">
        <v>8027</v>
      </c>
      <c r="H748" t="s">
        <v>8996</v>
      </c>
      <c r="I748" t="s">
        <v>4349</v>
      </c>
      <c r="J748" t="s">
        <v>9020</v>
      </c>
      <c r="K748" s="5">
        <v>45743</v>
      </c>
      <c r="L748" s="5">
        <v>45900</v>
      </c>
      <c r="M748" s="5" t="s">
        <v>4312</v>
      </c>
      <c r="N748">
        <v>0</v>
      </c>
      <c r="O748" t="s">
        <v>10894</v>
      </c>
    </row>
    <row r="749" spans="1:15" x14ac:dyDescent="0.25">
      <c r="A749">
        <v>643</v>
      </c>
      <c r="B749">
        <v>2</v>
      </c>
      <c r="C749">
        <v>43</v>
      </c>
      <c r="D749">
        <v>1</v>
      </c>
      <c r="E749">
        <v>1</v>
      </c>
      <c r="F749">
        <v>1</v>
      </c>
      <c r="G749" t="s">
        <v>8028</v>
      </c>
      <c r="H749" t="s">
        <v>8995</v>
      </c>
      <c r="I749" t="s">
        <v>4348</v>
      </c>
      <c r="J749" t="s">
        <v>9020</v>
      </c>
      <c r="K749" s="5">
        <v>45748</v>
      </c>
      <c r="L749" s="5" t="s">
        <v>4312</v>
      </c>
      <c r="M749" s="5">
        <v>46112</v>
      </c>
      <c r="N749">
        <v>1</v>
      </c>
      <c r="O749" t="s">
        <v>10895</v>
      </c>
    </row>
    <row r="750" spans="1:15" x14ac:dyDescent="0.25">
      <c r="A750">
        <v>644</v>
      </c>
      <c r="B750">
        <v>3</v>
      </c>
      <c r="C750">
        <v>156</v>
      </c>
      <c r="D750">
        <v>3</v>
      </c>
      <c r="E750">
        <v>4</v>
      </c>
      <c r="F750">
        <v>4</v>
      </c>
      <c r="G750" t="s">
        <v>8029</v>
      </c>
      <c r="H750" t="s">
        <v>8996</v>
      </c>
      <c r="I750" t="s">
        <v>4349</v>
      </c>
      <c r="J750" t="s">
        <v>9023</v>
      </c>
      <c r="K750" s="5">
        <v>45748</v>
      </c>
      <c r="L750" s="5" t="s">
        <v>4312</v>
      </c>
      <c r="M750" s="5">
        <v>46022</v>
      </c>
      <c r="N750">
        <v>1</v>
      </c>
      <c r="O750" t="s">
        <v>10896</v>
      </c>
    </row>
    <row r="751" spans="1:15" x14ac:dyDescent="0.25">
      <c r="A751">
        <v>538</v>
      </c>
      <c r="B751">
        <v>2</v>
      </c>
      <c r="C751">
        <v>200</v>
      </c>
      <c r="D751">
        <v>1</v>
      </c>
      <c r="E751">
        <v>1</v>
      </c>
      <c r="F751">
        <v>1</v>
      </c>
      <c r="G751" t="s">
        <v>7914</v>
      </c>
      <c r="H751" t="s">
        <v>8996</v>
      </c>
      <c r="I751" t="s">
        <v>4349</v>
      </c>
      <c r="J751" t="s">
        <v>9020</v>
      </c>
      <c r="K751" s="5">
        <v>45748</v>
      </c>
      <c r="L751" s="5" t="s">
        <v>4312</v>
      </c>
      <c r="M751" s="5">
        <v>46112</v>
      </c>
      <c r="N751">
        <v>1</v>
      </c>
      <c r="O751" t="s">
        <v>10897</v>
      </c>
    </row>
    <row r="752" spans="1:15" x14ac:dyDescent="0.25">
      <c r="A752">
        <v>591</v>
      </c>
      <c r="B752">
        <v>2</v>
      </c>
      <c r="C752">
        <v>225</v>
      </c>
      <c r="D752">
        <v>1</v>
      </c>
      <c r="E752">
        <v>1</v>
      </c>
      <c r="F752">
        <v>1</v>
      </c>
      <c r="G752" t="s">
        <v>7972</v>
      </c>
      <c r="H752" t="s">
        <v>8996</v>
      </c>
      <c r="I752" t="s">
        <v>4349</v>
      </c>
      <c r="J752" t="s">
        <v>9020</v>
      </c>
      <c r="K752" s="5">
        <v>45748</v>
      </c>
      <c r="L752" s="5" t="s">
        <v>4312</v>
      </c>
      <c r="M752" s="5">
        <v>46022</v>
      </c>
      <c r="N752">
        <v>1</v>
      </c>
      <c r="O752" t="s">
        <v>10898</v>
      </c>
    </row>
    <row r="753" spans="1:15" x14ac:dyDescent="0.25">
      <c r="A753">
        <v>493</v>
      </c>
      <c r="B753">
        <v>2</v>
      </c>
      <c r="C753">
        <v>160</v>
      </c>
      <c r="D753">
        <v>2</v>
      </c>
      <c r="E753">
        <v>38</v>
      </c>
      <c r="F753">
        <v>49</v>
      </c>
      <c r="G753" t="s">
        <v>8030</v>
      </c>
      <c r="H753" t="s">
        <v>8996</v>
      </c>
      <c r="I753" t="s">
        <v>4349</v>
      </c>
      <c r="J753" t="s">
        <v>9020</v>
      </c>
      <c r="K753" s="5">
        <v>45748</v>
      </c>
      <c r="L753" s="5">
        <v>45918</v>
      </c>
      <c r="M753" s="5">
        <v>45930</v>
      </c>
      <c r="N753">
        <v>0</v>
      </c>
      <c r="O753" t="s">
        <v>10446</v>
      </c>
    </row>
    <row r="754" spans="1:15" x14ac:dyDescent="0.25">
      <c r="A754">
        <v>645</v>
      </c>
      <c r="B754">
        <v>2</v>
      </c>
      <c r="C754">
        <v>183</v>
      </c>
      <c r="D754">
        <v>2</v>
      </c>
      <c r="E754">
        <v>1</v>
      </c>
      <c r="F754">
        <v>1</v>
      </c>
      <c r="G754" t="s">
        <v>8031</v>
      </c>
      <c r="H754" t="s">
        <v>8996</v>
      </c>
      <c r="I754" t="s">
        <v>4349</v>
      </c>
      <c r="J754" t="s">
        <v>9020</v>
      </c>
      <c r="K754" s="5">
        <v>45748</v>
      </c>
      <c r="L754" s="5">
        <v>45923</v>
      </c>
      <c r="M754" s="5">
        <v>46022</v>
      </c>
      <c r="N754">
        <v>0</v>
      </c>
      <c r="O754" t="s">
        <v>10447</v>
      </c>
    </row>
    <row r="755" spans="1:15" x14ac:dyDescent="0.25">
      <c r="A755">
        <v>646</v>
      </c>
      <c r="B755">
        <v>4</v>
      </c>
      <c r="C755">
        <v>161</v>
      </c>
      <c r="D755">
        <v>1</v>
      </c>
      <c r="E755">
        <v>38</v>
      </c>
      <c r="F755">
        <v>49</v>
      </c>
      <c r="G755" t="s">
        <v>8032</v>
      </c>
      <c r="H755" t="s">
        <v>8996</v>
      </c>
      <c r="I755" t="s">
        <v>4349</v>
      </c>
      <c r="J755" t="s">
        <v>9020</v>
      </c>
      <c r="K755" s="5">
        <v>45748</v>
      </c>
      <c r="L755" s="5" t="s">
        <v>4312</v>
      </c>
      <c r="M755" s="5" t="s">
        <v>4312</v>
      </c>
      <c r="N755">
        <v>1</v>
      </c>
      <c r="O755" t="s">
        <v>10899</v>
      </c>
    </row>
    <row r="756" spans="1:15" x14ac:dyDescent="0.25">
      <c r="A756">
        <v>111</v>
      </c>
      <c r="B756">
        <v>2</v>
      </c>
      <c r="C756">
        <v>66</v>
      </c>
      <c r="D756">
        <v>1</v>
      </c>
      <c r="E756">
        <v>1</v>
      </c>
      <c r="F756">
        <v>1</v>
      </c>
      <c r="G756" t="s">
        <v>8033</v>
      </c>
      <c r="H756" t="s">
        <v>8996</v>
      </c>
      <c r="I756" t="s">
        <v>4349</v>
      </c>
      <c r="J756" t="s">
        <v>9020</v>
      </c>
      <c r="K756" s="5">
        <v>45748</v>
      </c>
      <c r="L756" s="5" t="s">
        <v>4312</v>
      </c>
      <c r="M756" s="5">
        <v>46022</v>
      </c>
      <c r="N756">
        <v>1</v>
      </c>
      <c r="O756" t="s">
        <v>10900</v>
      </c>
    </row>
    <row r="757" spans="1:15" x14ac:dyDescent="0.25">
      <c r="A757">
        <v>647</v>
      </c>
      <c r="B757">
        <v>4</v>
      </c>
      <c r="C757">
        <v>161</v>
      </c>
      <c r="D757">
        <v>1</v>
      </c>
      <c r="E757">
        <v>38</v>
      </c>
      <c r="F757">
        <v>49</v>
      </c>
      <c r="G757" t="s">
        <v>8034</v>
      </c>
      <c r="H757" t="s">
        <v>8996</v>
      </c>
      <c r="I757" t="s">
        <v>4349</v>
      </c>
      <c r="J757" t="s">
        <v>9020</v>
      </c>
      <c r="K757" s="5">
        <v>45748</v>
      </c>
      <c r="L757" s="5">
        <v>45887</v>
      </c>
      <c r="M757" s="5" t="s">
        <v>4312</v>
      </c>
      <c r="N757">
        <v>0</v>
      </c>
      <c r="O757" t="s">
        <v>10901</v>
      </c>
    </row>
    <row r="758" spans="1:15" x14ac:dyDescent="0.25">
      <c r="A758">
        <v>648</v>
      </c>
      <c r="B758">
        <v>2</v>
      </c>
      <c r="C758">
        <v>186</v>
      </c>
      <c r="D758">
        <v>1</v>
      </c>
      <c r="E758">
        <v>1</v>
      </c>
      <c r="F758">
        <v>1</v>
      </c>
      <c r="G758" t="s">
        <v>8035</v>
      </c>
      <c r="H758" t="s">
        <v>8996</v>
      </c>
      <c r="I758" t="s">
        <v>4349</v>
      </c>
      <c r="J758" t="s">
        <v>9020</v>
      </c>
      <c r="K758" s="5">
        <v>45748</v>
      </c>
      <c r="L758" s="5">
        <v>45835</v>
      </c>
      <c r="M758" s="5">
        <v>45838</v>
      </c>
      <c r="N758">
        <v>0</v>
      </c>
      <c r="O758" t="s">
        <v>10448</v>
      </c>
    </row>
    <row r="759" spans="1:15" x14ac:dyDescent="0.25">
      <c r="A759">
        <v>649</v>
      </c>
      <c r="B759">
        <v>2</v>
      </c>
      <c r="C759">
        <v>166</v>
      </c>
      <c r="D759">
        <v>1</v>
      </c>
      <c r="E759">
        <v>38</v>
      </c>
      <c r="F759">
        <v>49</v>
      </c>
      <c r="G759" t="s">
        <v>8036</v>
      </c>
      <c r="H759" t="s">
        <v>8996</v>
      </c>
      <c r="I759" t="s">
        <v>4349</v>
      </c>
      <c r="J759" t="s">
        <v>9020</v>
      </c>
      <c r="K759" s="5">
        <v>45748</v>
      </c>
      <c r="L759" s="5">
        <v>45754</v>
      </c>
      <c r="M759" s="5">
        <v>45838</v>
      </c>
      <c r="N759">
        <v>0</v>
      </c>
      <c r="O759" t="s">
        <v>10449</v>
      </c>
    </row>
    <row r="760" spans="1:15" x14ac:dyDescent="0.25">
      <c r="A760">
        <v>650</v>
      </c>
      <c r="B760">
        <v>3</v>
      </c>
      <c r="C760">
        <v>156</v>
      </c>
      <c r="D760">
        <v>2</v>
      </c>
      <c r="E760">
        <v>23</v>
      </c>
      <c r="F760">
        <v>24</v>
      </c>
      <c r="G760" t="s">
        <v>8037</v>
      </c>
      <c r="H760" t="s">
        <v>8996</v>
      </c>
      <c r="I760" t="s">
        <v>4349</v>
      </c>
      <c r="J760" t="s">
        <v>9027</v>
      </c>
      <c r="K760" s="5">
        <v>45750</v>
      </c>
      <c r="L760" s="5" t="s">
        <v>4312</v>
      </c>
      <c r="M760" s="5">
        <v>46022</v>
      </c>
      <c r="N760">
        <v>1</v>
      </c>
      <c r="O760" t="s">
        <v>10902</v>
      </c>
    </row>
    <row r="761" spans="1:15" x14ac:dyDescent="0.25">
      <c r="A761">
        <v>651</v>
      </c>
      <c r="B761">
        <v>4</v>
      </c>
      <c r="C761">
        <v>168</v>
      </c>
      <c r="D761">
        <v>2</v>
      </c>
      <c r="E761">
        <v>38</v>
      </c>
      <c r="F761">
        <v>49</v>
      </c>
      <c r="G761" t="s">
        <v>8038</v>
      </c>
      <c r="H761" t="s">
        <v>8996</v>
      </c>
      <c r="I761" t="s">
        <v>4349</v>
      </c>
      <c r="J761" t="s">
        <v>9020</v>
      </c>
      <c r="K761" s="5">
        <v>45754</v>
      </c>
      <c r="L761" s="5">
        <v>45873</v>
      </c>
      <c r="M761" s="5" t="s">
        <v>4312</v>
      </c>
      <c r="N761">
        <v>0</v>
      </c>
      <c r="O761" t="s">
        <v>10903</v>
      </c>
    </row>
    <row r="762" spans="1:15" x14ac:dyDescent="0.25">
      <c r="A762">
        <v>652</v>
      </c>
      <c r="B762">
        <v>4</v>
      </c>
      <c r="C762">
        <v>161</v>
      </c>
      <c r="D762">
        <v>1</v>
      </c>
      <c r="E762">
        <v>38</v>
      </c>
      <c r="F762">
        <v>49</v>
      </c>
      <c r="G762" t="s">
        <v>8039</v>
      </c>
      <c r="H762" t="s">
        <v>8996</v>
      </c>
      <c r="I762" t="s">
        <v>4349</v>
      </c>
      <c r="J762" t="s">
        <v>9020</v>
      </c>
      <c r="K762" s="5">
        <v>45756</v>
      </c>
      <c r="L762" s="5">
        <v>45793</v>
      </c>
      <c r="M762" s="5" t="s">
        <v>4312</v>
      </c>
      <c r="N762">
        <v>0</v>
      </c>
      <c r="O762" t="s">
        <v>10904</v>
      </c>
    </row>
    <row r="763" spans="1:15" x14ac:dyDescent="0.25">
      <c r="A763">
        <v>653</v>
      </c>
      <c r="B763">
        <v>4</v>
      </c>
      <c r="C763">
        <v>60</v>
      </c>
      <c r="D763">
        <v>2</v>
      </c>
      <c r="E763">
        <v>38</v>
      </c>
      <c r="F763">
        <v>49</v>
      </c>
      <c r="G763" t="s">
        <v>8040</v>
      </c>
      <c r="H763" t="s">
        <v>8996</v>
      </c>
      <c r="I763" t="s">
        <v>4349</v>
      </c>
      <c r="J763" t="s">
        <v>9020</v>
      </c>
      <c r="K763" s="5">
        <v>45761</v>
      </c>
      <c r="L763" s="5" t="s">
        <v>4312</v>
      </c>
      <c r="M763" s="5" t="s">
        <v>4312</v>
      </c>
      <c r="N763">
        <v>1</v>
      </c>
      <c r="O763" t="s">
        <v>10905</v>
      </c>
    </row>
    <row r="764" spans="1:15" x14ac:dyDescent="0.25">
      <c r="A764">
        <v>654</v>
      </c>
      <c r="B764">
        <v>4</v>
      </c>
      <c r="C764">
        <v>161</v>
      </c>
      <c r="D764">
        <v>2</v>
      </c>
      <c r="E764">
        <v>38</v>
      </c>
      <c r="F764">
        <v>49</v>
      </c>
      <c r="G764" t="s">
        <v>8041</v>
      </c>
      <c r="H764" t="s">
        <v>8996</v>
      </c>
      <c r="I764" t="s">
        <v>4349</v>
      </c>
      <c r="J764" t="s">
        <v>9020</v>
      </c>
      <c r="K764" s="5">
        <v>45761</v>
      </c>
      <c r="L764" s="5" t="s">
        <v>4312</v>
      </c>
      <c r="M764" s="5" t="s">
        <v>4312</v>
      </c>
      <c r="N764">
        <v>1</v>
      </c>
      <c r="O764" t="s">
        <v>10906</v>
      </c>
    </row>
    <row r="765" spans="1:15" x14ac:dyDescent="0.25">
      <c r="A765">
        <v>655</v>
      </c>
      <c r="B765">
        <v>4</v>
      </c>
      <c r="C765">
        <v>168</v>
      </c>
      <c r="D765">
        <v>1</v>
      </c>
      <c r="E765">
        <v>38</v>
      </c>
      <c r="F765">
        <v>49</v>
      </c>
      <c r="G765" t="s">
        <v>8042</v>
      </c>
      <c r="H765" t="s">
        <v>8996</v>
      </c>
      <c r="I765" t="s">
        <v>4349</v>
      </c>
      <c r="J765" t="s">
        <v>9020</v>
      </c>
      <c r="K765" s="5">
        <v>45761</v>
      </c>
      <c r="L765" s="5">
        <v>45840</v>
      </c>
      <c r="M765" s="5" t="s">
        <v>4312</v>
      </c>
      <c r="N765">
        <v>0</v>
      </c>
      <c r="O765" t="s">
        <v>10907</v>
      </c>
    </row>
    <row r="766" spans="1:15" x14ac:dyDescent="0.25">
      <c r="A766">
        <v>641</v>
      </c>
      <c r="B766">
        <v>3</v>
      </c>
      <c r="C766">
        <v>163</v>
      </c>
      <c r="D766">
        <v>2</v>
      </c>
      <c r="E766">
        <v>27</v>
      </c>
      <c r="F766">
        <v>29</v>
      </c>
      <c r="G766" t="s">
        <v>8026</v>
      </c>
      <c r="H766" t="s">
        <v>8996</v>
      </c>
      <c r="I766" t="s">
        <v>4349</v>
      </c>
      <c r="K766" s="5">
        <v>45761</v>
      </c>
      <c r="L766" s="5">
        <v>45839</v>
      </c>
      <c r="M766" s="5">
        <v>45869</v>
      </c>
      <c r="N766">
        <v>0</v>
      </c>
      <c r="O766" t="s">
        <v>10450</v>
      </c>
    </row>
    <row r="767" spans="1:15" x14ac:dyDescent="0.25">
      <c r="A767">
        <v>656</v>
      </c>
      <c r="B767">
        <v>4</v>
      </c>
      <c r="C767">
        <v>121</v>
      </c>
      <c r="D767">
        <v>1</v>
      </c>
      <c r="E767">
        <v>38</v>
      </c>
      <c r="F767">
        <v>49</v>
      </c>
      <c r="G767" t="s">
        <v>8043</v>
      </c>
      <c r="H767" t="s">
        <v>8996</v>
      </c>
      <c r="I767" t="s">
        <v>4349</v>
      </c>
      <c r="J767" t="s">
        <v>9020</v>
      </c>
      <c r="K767" s="5">
        <v>45763</v>
      </c>
      <c r="L767" s="5" t="s">
        <v>4312</v>
      </c>
      <c r="M767" s="5" t="s">
        <v>4312</v>
      </c>
      <c r="N767">
        <v>1</v>
      </c>
      <c r="O767" t="s">
        <v>10908</v>
      </c>
    </row>
    <row r="768" spans="1:15" x14ac:dyDescent="0.25">
      <c r="A768">
        <v>657</v>
      </c>
      <c r="B768">
        <v>5</v>
      </c>
      <c r="C768">
        <v>79</v>
      </c>
      <c r="D768">
        <v>1</v>
      </c>
      <c r="E768">
        <v>1</v>
      </c>
      <c r="F768">
        <v>1</v>
      </c>
      <c r="G768" t="s">
        <v>8044</v>
      </c>
      <c r="H768" t="s">
        <v>8996</v>
      </c>
      <c r="I768" t="s">
        <v>4349</v>
      </c>
      <c r="J768" t="s">
        <v>9020</v>
      </c>
      <c r="K768" s="5">
        <v>45763</v>
      </c>
      <c r="L768" s="5">
        <v>45855</v>
      </c>
      <c r="M768" s="5">
        <v>45869</v>
      </c>
      <c r="N768">
        <v>0</v>
      </c>
      <c r="O768" t="s">
        <v>10451</v>
      </c>
    </row>
    <row r="769" spans="1:15" x14ac:dyDescent="0.25">
      <c r="A769">
        <v>658</v>
      </c>
      <c r="B769">
        <v>2</v>
      </c>
      <c r="C769">
        <v>233</v>
      </c>
      <c r="D769">
        <v>1</v>
      </c>
      <c r="E769">
        <v>1</v>
      </c>
      <c r="F769">
        <v>1</v>
      </c>
      <c r="G769" t="s">
        <v>8045</v>
      </c>
      <c r="H769" t="s">
        <v>8996</v>
      </c>
      <c r="I769" t="s">
        <v>4349</v>
      </c>
      <c r="J769" t="s">
        <v>9020</v>
      </c>
      <c r="K769" s="5">
        <v>45768</v>
      </c>
      <c r="L769" s="5" t="s">
        <v>4312</v>
      </c>
      <c r="M769" s="5">
        <v>46053</v>
      </c>
      <c r="N769">
        <v>1</v>
      </c>
      <c r="O769" t="s">
        <v>10909</v>
      </c>
    </row>
    <row r="770" spans="1:15" x14ac:dyDescent="0.25">
      <c r="A770">
        <v>659</v>
      </c>
      <c r="B770">
        <v>3</v>
      </c>
      <c r="C770">
        <v>163</v>
      </c>
      <c r="D770">
        <v>4</v>
      </c>
      <c r="E770">
        <v>34</v>
      </c>
      <c r="F770">
        <v>44</v>
      </c>
      <c r="G770" t="s">
        <v>8046</v>
      </c>
      <c r="H770" t="s">
        <v>8996</v>
      </c>
      <c r="I770" t="s">
        <v>4349</v>
      </c>
      <c r="K770" s="5">
        <v>45768</v>
      </c>
      <c r="L770" s="5">
        <v>45848</v>
      </c>
      <c r="M770" s="5">
        <v>45869</v>
      </c>
      <c r="N770">
        <v>0</v>
      </c>
      <c r="O770" t="s">
        <v>10452</v>
      </c>
    </row>
    <row r="771" spans="1:15" x14ac:dyDescent="0.25">
      <c r="A771">
        <v>660</v>
      </c>
      <c r="B771">
        <v>5</v>
      </c>
      <c r="C771">
        <v>85</v>
      </c>
      <c r="D771">
        <v>2</v>
      </c>
      <c r="E771">
        <v>23</v>
      </c>
      <c r="F771">
        <v>24</v>
      </c>
      <c r="G771" t="s">
        <v>8047</v>
      </c>
      <c r="H771" t="s">
        <v>8996</v>
      </c>
      <c r="I771" t="s">
        <v>4349</v>
      </c>
      <c r="J771" t="s">
        <v>9020</v>
      </c>
      <c r="K771" s="5">
        <v>45854</v>
      </c>
      <c r="L771" s="5" t="s">
        <v>4312</v>
      </c>
      <c r="M771" s="5">
        <v>46053</v>
      </c>
      <c r="N771">
        <v>1</v>
      </c>
      <c r="O771" t="s">
        <v>10910</v>
      </c>
    </row>
    <row r="772" spans="1:15" x14ac:dyDescent="0.25">
      <c r="A772">
        <v>661</v>
      </c>
      <c r="B772">
        <v>5</v>
      </c>
      <c r="C772">
        <v>89</v>
      </c>
      <c r="D772">
        <v>1</v>
      </c>
      <c r="E772">
        <v>1</v>
      </c>
      <c r="F772">
        <v>1</v>
      </c>
      <c r="G772" t="s">
        <v>8048</v>
      </c>
      <c r="H772" t="s">
        <v>8996</v>
      </c>
      <c r="I772" t="s">
        <v>4349</v>
      </c>
      <c r="J772" t="s">
        <v>9020</v>
      </c>
      <c r="K772" s="5">
        <v>45874</v>
      </c>
      <c r="L772" s="5" t="s">
        <v>4312</v>
      </c>
      <c r="M772" s="5">
        <v>45991</v>
      </c>
      <c r="N772">
        <v>1</v>
      </c>
      <c r="O772" t="s">
        <v>10911</v>
      </c>
    </row>
    <row r="773" spans="1:15" x14ac:dyDescent="0.25">
      <c r="A773">
        <v>662</v>
      </c>
      <c r="B773">
        <v>5</v>
      </c>
      <c r="C773">
        <v>89</v>
      </c>
      <c r="D773">
        <v>1</v>
      </c>
      <c r="E773">
        <v>1</v>
      </c>
      <c r="F773">
        <v>1</v>
      </c>
      <c r="G773" t="s">
        <v>8049</v>
      </c>
      <c r="H773" t="s">
        <v>8996</v>
      </c>
      <c r="I773" t="s">
        <v>4349</v>
      </c>
      <c r="J773" t="s">
        <v>9020</v>
      </c>
      <c r="K773" s="5">
        <v>45964</v>
      </c>
      <c r="L773" s="5" t="s">
        <v>4312</v>
      </c>
      <c r="M773" s="5">
        <v>46173</v>
      </c>
      <c r="N773">
        <v>1</v>
      </c>
      <c r="O773" t="s">
        <v>10912</v>
      </c>
    </row>
    <row r="774" spans="1:15" x14ac:dyDescent="0.25">
      <c r="A774">
        <v>663</v>
      </c>
      <c r="B774">
        <v>4</v>
      </c>
      <c r="C774">
        <v>66</v>
      </c>
      <c r="D774">
        <v>1</v>
      </c>
      <c r="E774">
        <v>1</v>
      </c>
      <c r="F774">
        <v>1</v>
      </c>
      <c r="G774" t="s">
        <v>8050</v>
      </c>
      <c r="H774" t="s">
        <v>8996</v>
      </c>
      <c r="I774" t="s">
        <v>4349</v>
      </c>
      <c r="J774" t="s">
        <v>9020</v>
      </c>
      <c r="K774" s="5">
        <v>45770</v>
      </c>
      <c r="L774" s="5" t="s">
        <v>4312</v>
      </c>
      <c r="M774" s="5" t="s">
        <v>4312</v>
      </c>
      <c r="N774">
        <v>1</v>
      </c>
      <c r="O774" t="s">
        <v>10913</v>
      </c>
    </row>
    <row r="775" spans="1:15" x14ac:dyDescent="0.25">
      <c r="A775">
        <v>173</v>
      </c>
      <c r="B775">
        <v>2</v>
      </c>
      <c r="C775">
        <v>168</v>
      </c>
      <c r="D775">
        <v>2</v>
      </c>
      <c r="E775">
        <v>38</v>
      </c>
      <c r="F775">
        <v>49</v>
      </c>
      <c r="G775" t="s">
        <v>8051</v>
      </c>
      <c r="H775" t="s">
        <v>8996</v>
      </c>
      <c r="I775" t="s">
        <v>4349</v>
      </c>
      <c r="J775" t="s">
        <v>9020</v>
      </c>
      <c r="K775" s="5">
        <v>45771</v>
      </c>
      <c r="L775" s="5" t="s">
        <v>4312</v>
      </c>
      <c r="M775" s="5">
        <v>46022</v>
      </c>
      <c r="N775">
        <v>1</v>
      </c>
      <c r="O775" t="s">
        <v>10914</v>
      </c>
    </row>
    <row r="776" spans="1:15" x14ac:dyDescent="0.25">
      <c r="A776">
        <v>664</v>
      </c>
      <c r="B776">
        <v>4</v>
      </c>
      <c r="C776">
        <v>161</v>
      </c>
      <c r="D776">
        <v>2</v>
      </c>
      <c r="E776">
        <v>38</v>
      </c>
      <c r="F776">
        <v>49</v>
      </c>
      <c r="G776" t="s">
        <v>8052</v>
      </c>
      <c r="H776" t="s">
        <v>8996</v>
      </c>
      <c r="I776" t="s">
        <v>4349</v>
      </c>
      <c r="J776" t="s">
        <v>9020</v>
      </c>
      <c r="K776" s="5">
        <v>45771</v>
      </c>
      <c r="L776" s="5">
        <v>45786</v>
      </c>
      <c r="M776" s="5" t="s">
        <v>4312</v>
      </c>
      <c r="N776">
        <v>0</v>
      </c>
      <c r="O776" t="s">
        <v>10915</v>
      </c>
    </row>
    <row r="777" spans="1:15" x14ac:dyDescent="0.25">
      <c r="A777">
        <v>665</v>
      </c>
      <c r="B777">
        <v>2</v>
      </c>
      <c r="C777">
        <v>256</v>
      </c>
      <c r="D777">
        <v>1</v>
      </c>
      <c r="E777">
        <v>1</v>
      </c>
      <c r="F777">
        <v>1</v>
      </c>
      <c r="G777" t="s">
        <v>8053</v>
      </c>
      <c r="H777" t="s">
        <v>8996</v>
      </c>
      <c r="I777" t="s">
        <v>4349</v>
      </c>
      <c r="J777" t="s">
        <v>9020</v>
      </c>
      <c r="K777" s="5">
        <v>45775</v>
      </c>
      <c r="L777" s="5">
        <v>45900</v>
      </c>
      <c r="M777" s="5">
        <v>45961</v>
      </c>
      <c r="N777">
        <v>0</v>
      </c>
      <c r="O777" t="s">
        <v>10453</v>
      </c>
    </row>
    <row r="778" spans="1:15" x14ac:dyDescent="0.25">
      <c r="A778">
        <v>666</v>
      </c>
      <c r="B778">
        <v>4</v>
      </c>
      <c r="C778">
        <v>161</v>
      </c>
      <c r="D778">
        <v>1</v>
      </c>
      <c r="E778">
        <v>38</v>
      </c>
      <c r="F778">
        <v>49</v>
      </c>
      <c r="G778" t="s">
        <v>8054</v>
      </c>
      <c r="H778" t="s">
        <v>8996</v>
      </c>
      <c r="I778" t="s">
        <v>4349</v>
      </c>
      <c r="J778" t="s">
        <v>9020</v>
      </c>
      <c r="K778" s="5">
        <v>45775</v>
      </c>
      <c r="L778" s="5" t="s">
        <v>4312</v>
      </c>
      <c r="M778" s="5" t="s">
        <v>4312</v>
      </c>
      <c r="N778">
        <v>1</v>
      </c>
      <c r="O778" t="s">
        <v>10916</v>
      </c>
    </row>
    <row r="779" spans="1:15" x14ac:dyDescent="0.25">
      <c r="A779">
        <v>667</v>
      </c>
      <c r="B779">
        <v>4</v>
      </c>
      <c r="C779">
        <v>161</v>
      </c>
      <c r="D779">
        <v>1</v>
      </c>
      <c r="E779">
        <v>38</v>
      </c>
      <c r="F779">
        <v>49</v>
      </c>
      <c r="G779" t="s">
        <v>8055</v>
      </c>
      <c r="H779" t="s">
        <v>8996</v>
      </c>
      <c r="I779" t="s">
        <v>4349</v>
      </c>
      <c r="J779" t="s">
        <v>9020</v>
      </c>
      <c r="K779" s="5">
        <v>45782</v>
      </c>
      <c r="L779" s="5" t="s">
        <v>4312</v>
      </c>
      <c r="M779" s="5" t="s">
        <v>4312</v>
      </c>
      <c r="N779">
        <v>1</v>
      </c>
      <c r="O779" t="s">
        <v>10917</v>
      </c>
    </row>
    <row r="780" spans="1:15" x14ac:dyDescent="0.25">
      <c r="A780">
        <v>668</v>
      </c>
      <c r="B780">
        <v>4</v>
      </c>
      <c r="C780">
        <v>60</v>
      </c>
      <c r="D780">
        <v>1</v>
      </c>
      <c r="E780">
        <v>38</v>
      </c>
      <c r="F780">
        <v>49</v>
      </c>
      <c r="G780" t="s">
        <v>8056</v>
      </c>
      <c r="H780" t="s">
        <v>8996</v>
      </c>
      <c r="I780" t="s">
        <v>4349</v>
      </c>
      <c r="J780" t="s">
        <v>9020</v>
      </c>
      <c r="K780" s="5">
        <v>45782</v>
      </c>
      <c r="L780" s="5">
        <v>45900</v>
      </c>
      <c r="M780" s="5" t="s">
        <v>4312</v>
      </c>
      <c r="N780">
        <v>0</v>
      </c>
      <c r="O780" t="s">
        <v>10918</v>
      </c>
    </row>
    <row r="781" spans="1:15" x14ac:dyDescent="0.25">
      <c r="A781">
        <v>669</v>
      </c>
      <c r="B781">
        <v>4</v>
      </c>
      <c r="C781">
        <v>161</v>
      </c>
      <c r="D781">
        <v>1</v>
      </c>
      <c r="E781">
        <v>38</v>
      </c>
      <c r="F781">
        <v>49</v>
      </c>
      <c r="G781" t="s">
        <v>8057</v>
      </c>
      <c r="H781" t="s">
        <v>8996</v>
      </c>
      <c r="I781" t="s">
        <v>4349</v>
      </c>
      <c r="J781" t="s">
        <v>9020</v>
      </c>
      <c r="K781" s="5">
        <v>45782</v>
      </c>
      <c r="L781" s="5">
        <v>45981</v>
      </c>
      <c r="M781" s="5" t="s">
        <v>4312</v>
      </c>
      <c r="N781">
        <v>0</v>
      </c>
      <c r="O781" t="s">
        <v>10919</v>
      </c>
    </row>
    <row r="782" spans="1:15" x14ac:dyDescent="0.25">
      <c r="A782">
        <v>670</v>
      </c>
      <c r="B782">
        <v>4</v>
      </c>
      <c r="C782">
        <v>159</v>
      </c>
      <c r="D782">
        <v>1</v>
      </c>
      <c r="E782">
        <v>38</v>
      </c>
      <c r="F782">
        <v>49</v>
      </c>
      <c r="G782" t="s">
        <v>8058</v>
      </c>
      <c r="H782" t="s">
        <v>8996</v>
      </c>
      <c r="I782" t="s">
        <v>4349</v>
      </c>
      <c r="J782" t="s">
        <v>9020</v>
      </c>
      <c r="K782" s="5">
        <v>45782</v>
      </c>
      <c r="L782" s="5">
        <v>45869</v>
      </c>
      <c r="M782" s="5" t="s">
        <v>4312</v>
      </c>
      <c r="N782">
        <v>0</v>
      </c>
      <c r="O782" t="s">
        <v>10920</v>
      </c>
    </row>
    <row r="783" spans="1:15" x14ac:dyDescent="0.25">
      <c r="A783">
        <v>671</v>
      </c>
      <c r="B783">
        <v>4</v>
      </c>
      <c r="C783">
        <v>58</v>
      </c>
      <c r="D783">
        <v>1</v>
      </c>
      <c r="E783">
        <v>38</v>
      </c>
      <c r="F783">
        <v>49</v>
      </c>
      <c r="G783" t="s">
        <v>8059</v>
      </c>
      <c r="H783" t="s">
        <v>8996</v>
      </c>
      <c r="I783" t="s">
        <v>4349</v>
      </c>
      <c r="J783" t="s">
        <v>9020</v>
      </c>
      <c r="K783" s="5">
        <v>45782</v>
      </c>
      <c r="L783" s="5">
        <v>45808</v>
      </c>
      <c r="M783" s="5" t="s">
        <v>4312</v>
      </c>
      <c r="N783">
        <v>0</v>
      </c>
      <c r="O783" t="s">
        <v>10921</v>
      </c>
    </row>
    <row r="784" spans="1:15" x14ac:dyDescent="0.25">
      <c r="A784">
        <v>672</v>
      </c>
      <c r="B784">
        <v>4</v>
      </c>
      <c r="C784">
        <v>161</v>
      </c>
      <c r="D784">
        <v>2</v>
      </c>
      <c r="E784">
        <v>38</v>
      </c>
      <c r="F784">
        <v>49</v>
      </c>
      <c r="G784" t="s">
        <v>8060</v>
      </c>
      <c r="H784" t="s">
        <v>8996</v>
      </c>
      <c r="I784" t="s">
        <v>4349</v>
      </c>
      <c r="K784" s="5">
        <v>45790</v>
      </c>
      <c r="L784" s="5">
        <v>45912</v>
      </c>
      <c r="M784" s="5" t="s">
        <v>4312</v>
      </c>
      <c r="N784">
        <v>0</v>
      </c>
      <c r="O784" t="s">
        <v>10922</v>
      </c>
    </row>
    <row r="785" spans="1:15" x14ac:dyDescent="0.25">
      <c r="A785">
        <v>673</v>
      </c>
      <c r="B785">
        <v>5</v>
      </c>
      <c r="C785">
        <v>90</v>
      </c>
      <c r="D785">
        <v>2</v>
      </c>
      <c r="E785">
        <v>1</v>
      </c>
      <c r="F785">
        <v>1</v>
      </c>
      <c r="G785" t="s">
        <v>8061</v>
      </c>
      <c r="H785" t="s">
        <v>8996</v>
      </c>
      <c r="I785" t="s">
        <v>4349</v>
      </c>
      <c r="J785" t="s">
        <v>9020</v>
      </c>
      <c r="K785" s="5">
        <v>45854</v>
      </c>
      <c r="L785" s="5" t="s">
        <v>4312</v>
      </c>
      <c r="M785" s="5">
        <v>46053</v>
      </c>
      <c r="N785">
        <v>1</v>
      </c>
      <c r="O785" t="s">
        <v>10923</v>
      </c>
    </row>
    <row r="786" spans="1:15" x14ac:dyDescent="0.25">
      <c r="A786">
        <v>674</v>
      </c>
      <c r="B786">
        <v>4</v>
      </c>
      <c r="C786">
        <v>168</v>
      </c>
      <c r="D786">
        <v>1</v>
      </c>
      <c r="E786">
        <v>38</v>
      </c>
      <c r="F786">
        <v>49</v>
      </c>
      <c r="G786" t="s">
        <v>8062</v>
      </c>
      <c r="H786" t="s">
        <v>8996</v>
      </c>
      <c r="I786" t="s">
        <v>4349</v>
      </c>
      <c r="J786" t="s">
        <v>9020</v>
      </c>
      <c r="K786" s="5">
        <v>45792</v>
      </c>
      <c r="L786" s="5">
        <v>45853</v>
      </c>
      <c r="M786" s="5" t="s">
        <v>4312</v>
      </c>
      <c r="N786">
        <v>0</v>
      </c>
      <c r="O786" t="s">
        <v>10924</v>
      </c>
    </row>
    <row r="787" spans="1:15" x14ac:dyDescent="0.25">
      <c r="A787">
        <v>675</v>
      </c>
      <c r="B787">
        <v>2</v>
      </c>
      <c r="C787">
        <v>166</v>
      </c>
      <c r="D787">
        <v>1</v>
      </c>
      <c r="E787">
        <v>38</v>
      </c>
      <c r="F787">
        <v>49</v>
      </c>
      <c r="G787" t="s">
        <v>8063</v>
      </c>
      <c r="H787" t="s">
        <v>8996</v>
      </c>
      <c r="I787" t="s">
        <v>4349</v>
      </c>
      <c r="J787" t="s">
        <v>9020</v>
      </c>
      <c r="K787" s="5">
        <v>45796</v>
      </c>
      <c r="L787" s="5">
        <v>45941</v>
      </c>
      <c r="M787" s="5">
        <v>45991</v>
      </c>
      <c r="N787">
        <v>0</v>
      </c>
      <c r="O787" t="s">
        <v>10454</v>
      </c>
    </row>
    <row r="788" spans="1:15" x14ac:dyDescent="0.25">
      <c r="A788">
        <v>676</v>
      </c>
      <c r="B788">
        <v>4</v>
      </c>
      <c r="C788">
        <v>161</v>
      </c>
      <c r="D788">
        <v>2</v>
      </c>
      <c r="E788">
        <v>38</v>
      </c>
      <c r="F788">
        <v>49</v>
      </c>
      <c r="G788" t="s">
        <v>8064</v>
      </c>
      <c r="H788" t="s">
        <v>8996</v>
      </c>
      <c r="I788" t="s">
        <v>4349</v>
      </c>
      <c r="J788" t="s">
        <v>9020</v>
      </c>
      <c r="K788" s="5">
        <v>45796</v>
      </c>
      <c r="L788" s="5" t="s">
        <v>4312</v>
      </c>
      <c r="M788" s="5" t="s">
        <v>4312</v>
      </c>
      <c r="N788">
        <v>1</v>
      </c>
      <c r="O788" t="s">
        <v>10925</v>
      </c>
    </row>
    <row r="789" spans="1:15" x14ac:dyDescent="0.25">
      <c r="A789">
        <v>677</v>
      </c>
      <c r="B789">
        <v>4</v>
      </c>
      <c r="C789">
        <v>161</v>
      </c>
      <c r="D789">
        <v>2</v>
      </c>
      <c r="E789">
        <v>38</v>
      </c>
      <c r="F789">
        <v>49</v>
      </c>
      <c r="G789" t="s">
        <v>8065</v>
      </c>
      <c r="H789" t="s">
        <v>8996</v>
      </c>
      <c r="I789" t="s">
        <v>4349</v>
      </c>
      <c r="J789" t="s">
        <v>9020</v>
      </c>
      <c r="K789" s="5">
        <v>45798</v>
      </c>
      <c r="L789" s="5">
        <v>45839</v>
      </c>
      <c r="M789" s="5" t="s">
        <v>4312</v>
      </c>
      <c r="N789">
        <v>0</v>
      </c>
      <c r="O789" t="s">
        <v>10926</v>
      </c>
    </row>
    <row r="790" spans="1:15" x14ac:dyDescent="0.25">
      <c r="A790">
        <v>199</v>
      </c>
      <c r="B790">
        <v>11</v>
      </c>
      <c r="C790">
        <v>156</v>
      </c>
      <c r="D790">
        <v>3</v>
      </c>
      <c r="E790">
        <v>37</v>
      </c>
      <c r="F790">
        <v>48</v>
      </c>
      <c r="G790" t="s">
        <v>7793</v>
      </c>
      <c r="H790" t="s">
        <v>8996</v>
      </c>
      <c r="I790" t="s">
        <v>4349</v>
      </c>
      <c r="J790" t="s">
        <v>9021</v>
      </c>
      <c r="K790" s="5">
        <v>45800</v>
      </c>
      <c r="L790" s="5" t="s">
        <v>4312</v>
      </c>
      <c r="M790" s="5">
        <v>46022</v>
      </c>
      <c r="N790">
        <v>1</v>
      </c>
      <c r="O790" t="s">
        <v>10927</v>
      </c>
    </row>
    <row r="791" spans="1:15" x14ac:dyDescent="0.25">
      <c r="A791">
        <v>678</v>
      </c>
      <c r="B791">
        <v>4</v>
      </c>
      <c r="C791">
        <v>60</v>
      </c>
      <c r="D791">
        <v>1</v>
      </c>
      <c r="E791">
        <v>38</v>
      </c>
      <c r="F791">
        <v>49</v>
      </c>
      <c r="G791" t="s">
        <v>8066</v>
      </c>
      <c r="H791" t="s">
        <v>8996</v>
      </c>
      <c r="I791" t="s">
        <v>4349</v>
      </c>
      <c r="J791" t="s">
        <v>9020</v>
      </c>
      <c r="K791" s="5">
        <v>45803</v>
      </c>
      <c r="L791" s="5" t="s">
        <v>4312</v>
      </c>
      <c r="M791" s="5" t="s">
        <v>4312</v>
      </c>
      <c r="N791">
        <v>1</v>
      </c>
      <c r="O791" t="s">
        <v>10928</v>
      </c>
    </row>
    <row r="792" spans="1:15" x14ac:dyDescent="0.25">
      <c r="A792">
        <v>479</v>
      </c>
      <c r="B792">
        <v>2</v>
      </c>
      <c r="C792">
        <v>203</v>
      </c>
      <c r="D792">
        <v>3</v>
      </c>
      <c r="E792">
        <v>1</v>
      </c>
      <c r="F792">
        <v>1</v>
      </c>
      <c r="G792" t="s">
        <v>7851</v>
      </c>
      <c r="H792" t="s">
        <v>8996</v>
      </c>
      <c r="I792" t="s">
        <v>4349</v>
      </c>
      <c r="K792" s="5">
        <v>45809</v>
      </c>
      <c r="L792" s="5">
        <v>45905</v>
      </c>
      <c r="M792" s="5">
        <v>45961</v>
      </c>
      <c r="N792">
        <v>0</v>
      </c>
      <c r="O792" t="s">
        <v>10455</v>
      </c>
    </row>
    <row r="793" spans="1:15" x14ac:dyDescent="0.25">
      <c r="A793">
        <v>398</v>
      </c>
      <c r="B793">
        <v>2</v>
      </c>
      <c r="C793">
        <v>161</v>
      </c>
      <c r="D793">
        <v>1</v>
      </c>
      <c r="E793">
        <v>38</v>
      </c>
      <c r="F793">
        <v>49</v>
      </c>
      <c r="G793" t="s">
        <v>8067</v>
      </c>
      <c r="H793" t="s">
        <v>8996</v>
      </c>
      <c r="I793" t="s">
        <v>4349</v>
      </c>
      <c r="J793" t="s">
        <v>9020</v>
      </c>
      <c r="K793" s="5">
        <v>45809</v>
      </c>
      <c r="L793" s="5" t="s">
        <v>4312</v>
      </c>
      <c r="M793" s="5">
        <v>45991</v>
      </c>
      <c r="N793">
        <v>1</v>
      </c>
      <c r="O793" t="s">
        <v>10929</v>
      </c>
    </row>
    <row r="794" spans="1:15" x14ac:dyDescent="0.25">
      <c r="A794">
        <v>82</v>
      </c>
      <c r="B794">
        <v>2</v>
      </c>
      <c r="C794">
        <v>66</v>
      </c>
      <c r="D794">
        <v>1</v>
      </c>
      <c r="E794">
        <v>1</v>
      </c>
      <c r="F794">
        <v>1</v>
      </c>
      <c r="G794" t="s">
        <v>8068</v>
      </c>
      <c r="H794" t="s">
        <v>8996</v>
      </c>
      <c r="I794" t="s">
        <v>4349</v>
      </c>
      <c r="J794" t="s">
        <v>9020</v>
      </c>
      <c r="K794" s="5">
        <v>45809</v>
      </c>
      <c r="L794" s="5" t="s">
        <v>4312</v>
      </c>
      <c r="M794" s="5">
        <v>46081</v>
      </c>
      <c r="N794">
        <v>1</v>
      </c>
      <c r="O794" t="s">
        <v>10930</v>
      </c>
    </row>
    <row r="795" spans="1:15" x14ac:dyDescent="0.25">
      <c r="A795">
        <v>380</v>
      </c>
      <c r="B795">
        <v>2</v>
      </c>
      <c r="C795">
        <v>246</v>
      </c>
      <c r="D795">
        <v>1</v>
      </c>
      <c r="E795">
        <v>1</v>
      </c>
      <c r="F795">
        <v>1</v>
      </c>
      <c r="G795" t="s">
        <v>8069</v>
      </c>
      <c r="H795" t="s">
        <v>8996</v>
      </c>
      <c r="I795" t="s">
        <v>4349</v>
      </c>
      <c r="J795" t="s">
        <v>9020</v>
      </c>
      <c r="K795" s="5">
        <v>45809</v>
      </c>
      <c r="L795" s="5" t="s">
        <v>4312</v>
      </c>
      <c r="M795" s="5">
        <v>45991</v>
      </c>
      <c r="N795">
        <v>1</v>
      </c>
      <c r="O795" t="s">
        <v>10931</v>
      </c>
    </row>
    <row r="796" spans="1:15" x14ac:dyDescent="0.25">
      <c r="A796">
        <v>434</v>
      </c>
      <c r="B796">
        <v>2</v>
      </c>
      <c r="C796">
        <v>161</v>
      </c>
      <c r="D796">
        <v>1</v>
      </c>
      <c r="E796">
        <v>38</v>
      </c>
      <c r="F796">
        <v>49</v>
      </c>
      <c r="G796" t="s">
        <v>8070</v>
      </c>
      <c r="H796" t="s">
        <v>8996</v>
      </c>
      <c r="I796" t="s">
        <v>4349</v>
      </c>
      <c r="J796" t="s">
        <v>9020</v>
      </c>
      <c r="K796" s="5">
        <v>45809</v>
      </c>
      <c r="L796" s="5">
        <v>45900</v>
      </c>
      <c r="M796" s="5">
        <v>45900</v>
      </c>
      <c r="N796">
        <v>0</v>
      </c>
      <c r="O796" t="s">
        <v>10456</v>
      </c>
    </row>
    <row r="797" spans="1:15" x14ac:dyDescent="0.25">
      <c r="A797">
        <v>492</v>
      </c>
      <c r="B797">
        <v>2</v>
      </c>
      <c r="C797">
        <v>161</v>
      </c>
      <c r="D797">
        <v>3</v>
      </c>
      <c r="E797">
        <v>38</v>
      </c>
      <c r="F797">
        <v>49</v>
      </c>
      <c r="G797" t="s">
        <v>8071</v>
      </c>
      <c r="H797" t="s">
        <v>8996</v>
      </c>
      <c r="I797" t="s">
        <v>4349</v>
      </c>
      <c r="J797" t="s">
        <v>9020</v>
      </c>
      <c r="K797" s="5">
        <v>45809</v>
      </c>
      <c r="L797" s="5" t="s">
        <v>4312</v>
      </c>
      <c r="M797" s="5">
        <v>45991</v>
      </c>
      <c r="N797">
        <v>1</v>
      </c>
      <c r="O797" t="s">
        <v>10932</v>
      </c>
    </row>
    <row r="798" spans="1:15" x14ac:dyDescent="0.25">
      <c r="A798">
        <v>533</v>
      </c>
      <c r="B798">
        <v>2</v>
      </c>
      <c r="C798">
        <v>66</v>
      </c>
      <c r="D798">
        <v>2</v>
      </c>
      <c r="E798">
        <v>1</v>
      </c>
      <c r="F798">
        <v>1</v>
      </c>
      <c r="G798" t="s">
        <v>8072</v>
      </c>
      <c r="H798" t="s">
        <v>8996</v>
      </c>
      <c r="I798" t="s">
        <v>4349</v>
      </c>
      <c r="J798" t="s">
        <v>9020</v>
      </c>
      <c r="K798" s="5">
        <v>45809</v>
      </c>
      <c r="L798" s="5" t="s">
        <v>4312</v>
      </c>
      <c r="M798" s="5">
        <v>46081</v>
      </c>
      <c r="N798">
        <v>1</v>
      </c>
      <c r="O798" t="s">
        <v>10933</v>
      </c>
    </row>
    <row r="799" spans="1:15" x14ac:dyDescent="0.25">
      <c r="A799">
        <v>495</v>
      </c>
      <c r="B799">
        <v>2</v>
      </c>
      <c r="C799">
        <v>161</v>
      </c>
      <c r="D799">
        <v>3</v>
      </c>
      <c r="E799">
        <v>38</v>
      </c>
      <c r="F799">
        <v>49</v>
      </c>
      <c r="G799" t="s">
        <v>8073</v>
      </c>
      <c r="H799" t="s">
        <v>8996</v>
      </c>
      <c r="I799" t="s">
        <v>4349</v>
      </c>
      <c r="J799" t="s">
        <v>9020</v>
      </c>
      <c r="K799" s="5">
        <v>45809</v>
      </c>
      <c r="L799" s="5" t="s">
        <v>4312</v>
      </c>
      <c r="M799" s="5">
        <v>45991</v>
      </c>
      <c r="N799">
        <v>1</v>
      </c>
      <c r="O799" t="s">
        <v>10934</v>
      </c>
    </row>
    <row r="800" spans="1:15" x14ac:dyDescent="0.25">
      <c r="A800">
        <v>238</v>
      </c>
      <c r="B800">
        <v>2</v>
      </c>
      <c r="C800">
        <v>246</v>
      </c>
      <c r="D800">
        <v>1</v>
      </c>
      <c r="E800">
        <v>1</v>
      </c>
      <c r="F800">
        <v>1</v>
      </c>
      <c r="G800" t="s">
        <v>8074</v>
      </c>
      <c r="H800" t="s">
        <v>8996</v>
      </c>
      <c r="I800" t="s">
        <v>4349</v>
      </c>
      <c r="J800" t="s">
        <v>9020</v>
      </c>
      <c r="K800" s="5">
        <v>45809</v>
      </c>
      <c r="L800" s="5" t="s">
        <v>4312</v>
      </c>
      <c r="M800" s="5">
        <v>45991</v>
      </c>
      <c r="N800">
        <v>1</v>
      </c>
      <c r="O800" t="s">
        <v>10935</v>
      </c>
    </row>
    <row r="801" spans="1:15" x14ac:dyDescent="0.25">
      <c r="A801">
        <v>498</v>
      </c>
      <c r="B801">
        <v>2</v>
      </c>
      <c r="C801">
        <v>190</v>
      </c>
      <c r="D801">
        <v>3</v>
      </c>
      <c r="E801">
        <v>1</v>
      </c>
      <c r="F801">
        <v>1</v>
      </c>
      <c r="G801" t="s">
        <v>8075</v>
      </c>
      <c r="H801" t="s">
        <v>8996</v>
      </c>
      <c r="I801" t="s">
        <v>4349</v>
      </c>
      <c r="J801" t="s">
        <v>9020</v>
      </c>
      <c r="K801" s="5">
        <v>45809</v>
      </c>
      <c r="L801" s="5" t="s">
        <v>4312</v>
      </c>
      <c r="M801" s="5">
        <v>46081</v>
      </c>
      <c r="N801">
        <v>1</v>
      </c>
      <c r="O801" t="s">
        <v>10936</v>
      </c>
    </row>
    <row r="802" spans="1:15" x14ac:dyDescent="0.25">
      <c r="A802">
        <v>555</v>
      </c>
      <c r="B802">
        <v>2</v>
      </c>
      <c r="C802">
        <v>50</v>
      </c>
      <c r="D802">
        <v>1</v>
      </c>
      <c r="E802">
        <v>1</v>
      </c>
      <c r="F802">
        <v>1</v>
      </c>
      <c r="G802" t="s">
        <v>7932</v>
      </c>
      <c r="H802" t="s">
        <v>8996</v>
      </c>
      <c r="I802" t="s">
        <v>4349</v>
      </c>
      <c r="J802" t="s">
        <v>9020</v>
      </c>
      <c r="K802" s="5">
        <v>45809</v>
      </c>
      <c r="L802" s="5" t="s">
        <v>4312</v>
      </c>
      <c r="M802" s="5">
        <v>45991</v>
      </c>
      <c r="N802">
        <v>1</v>
      </c>
      <c r="O802" t="s">
        <v>10937</v>
      </c>
    </row>
    <row r="803" spans="1:15" x14ac:dyDescent="0.25">
      <c r="A803">
        <v>327</v>
      </c>
      <c r="B803">
        <v>2</v>
      </c>
      <c r="C803">
        <v>246</v>
      </c>
      <c r="D803">
        <v>1</v>
      </c>
      <c r="E803">
        <v>1</v>
      </c>
      <c r="F803">
        <v>1</v>
      </c>
      <c r="G803" t="s">
        <v>8076</v>
      </c>
      <c r="H803" t="s">
        <v>8996</v>
      </c>
      <c r="I803" t="s">
        <v>4349</v>
      </c>
      <c r="J803" t="s">
        <v>9020</v>
      </c>
      <c r="K803" s="5">
        <v>45809</v>
      </c>
      <c r="L803" s="5" t="s">
        <v>4312</v>
      </c>
      <c r="M803" s="5">
        <v>46081</v>
      </c>
      <c r="N803">
        <v>1</v>
      </c>
      <c r="O803" t="s">
        <v>10938</v>
      </c>
    </row>
    <row r="804" spans="1:15" x14ac:dyDescent="0.25">
      <c r="A804">
        <v>234</v>
      </c>
      <c r="B804">
        <v>2</v>
      </c>
      <c r="C804">
        <v>161</v>
      </c>
      <c r="D804">
        <v>1</v>
      </c>
      <c r="E804">
        <v>38</v>
      </c>
      <c r="F804">
        <v>49</v>
      </c>
      <c r="G804" t="s">
        <v>8077</v>
      </c>
      <c r="H804" t="s">
        <v>8996</v>
      </c>
      <c r="I804" t="s">
        <v>4349</v>
      </c>
      <c r="J804" t="s">
        <v>9020</v>
      </c>
      <c r="K804" s="5">
        <v>45809</v>
      </c>
      <c r="L804" s="5" t="s">
        <v>4312</v>
      </c>
      <c r="M804" s="5">
        <v>45991</v>
      </c>
      <c r="N804">
        <v>1</v>
      </c>
      <c r="O804" t="s">
        <v>10939</v>
      </c>
    </row>
    <row r="805" spans="1:15" x14ac:dyDescent="0.25">
      <c r="A805">
        <v>287</v>
      </c>
      <c r="B805">
        <v>2</v>
      </c>
      <c r="C805">
        <v>238</v>
      </c>
      <c r="D805">
        <v>1</v>
      </c>
      <c r="E805">
        <v>1</v>
      </c>
      <c r="F805">
        <v>1</v>
      </c>
      <c r="G805" t="s">
        <v>8078</v>
      </c>
      <c r="H805" t="s">
        <v>8996</v>
      </c>
      <c r="I805" t="s">
        <v>4349</v>
      </c>
      <c r="J805" t="s">
        <v>9020</v>
      </c>
      <c r="K805" s="5">
        <v>45809</v>
      </c>
      <c r="L805" s="5" t="s">
        <v>4312</v>
      </c>
      <c r="M805" s="5">
        <v>46081</v>
      </c>
      <c r="N805">
        <v>1</v>
      </c>
      <c r="O805" t="s">
        <v>10940</v>
      </c>
    </row>
    <row r="806" spans="1:15" x14ac:dyDescent="0.25">
      <c r="A806">
        <v>250</v>
      </c>
      <c r="B806">
        <v>2</v>
      </c>
      <c r="C806">
        <v>127</v>
      </c>
      <c r="D806">
        <v>4</v>
      </c>
      <c r="E806">
        <v>38</v>
      </c>
      <c r="F806">
        <v>49</v>
      </c>
      <c r="G806" t="s">
        <v>8079</v>
      </c>
      <c r="H806" t="s">
        <v>8996</v>
      </c>
      <c r="I806" t="s">
        <v>4349</v>
      </c>
      <c r="J806" t="s">
        <v>9020</v>
      </c>
      <c r="K806" s="5">
        <v>45809</v>
      </c>
      <c r="L806" s="5" t="s">
        <v>4312</v>
      </c>
      <c r="M806" s="5">
        <v>45991</v>
      </c>
      <c r="N806">
        <v>1</v>
      </c>
      <c r="O806" t="s">
        <v>10941</v>
      </c>
    </row>
    <row r="807" spans="1:15" x14ac:dyDescent="0.25">
      <c r="A807">
        <v>445</v>
      </c>
      <c r="B807">
        <v>2</v>
      </c>
      <c r="C807">
        <v>161</v>
      </c>
      <c r="D807">
        <v>1</v>
      </c>
      <c r="E807">
        <v>38</v>
      </c>
      <c r="F807">
        <v>49</v>
      </c>
      <c r="G807" t="s">
        <v>8080</v>
      </c>
      <c r="H807" t="s">
        <v>8996</v>
      </c>
      <c r="I807" t="s">
        <v>4349</v>
      </c>
      <c r="J807" t="s">
        <v>9020</v>
      </c>
      <c r="K807" s="5">
        <v>45809</v>
      </c>
      <c r="L807" s="5" t="s">
        <v>4312</v>
      </c>
      <c r="M807" s="5">
        <v>45991</v>
      </c>
      <c r="N807">
        <v>1</v>
      </c>
      <c r="O807" t="s">
        <v>10942</v>
      </c>
    </row>
    <row r="808" spans="1:15" x14ac:dyDescent="0.25">
      <c r="A808">
        <v>589</v>
      </c>
      <c r="B808">
        <v>2</v>
      </c>
      <c r="C808">
        <v>60</v>
      </c>
      <c r="D808">
        <v>1</v>
      </c>
      <c r="E808">
        <v>38</v>
      </c>
      <c r="F808">
        <v>49</v>
      </c>
      <c r="G808" t="s">
        <v>8081</v>
      </c>
      <c r="H808" t="s">
        <v>8996</v>
      </c>
      <c r="I808" t="s">
        <v>4349</v>
      </c>
      <c r="J808" t="s">
        <v>9020</v>
      </c>
      <c r="K808" s="5">
        <v>45809</v>
      </c>
      <c r="L808" s="5" t="s">
        <v>4312</v>
      </c>
      <c r="M808" s="5">
        <v>45991</v>
      </c>
      <c r="N808">
        <v>1</v>
      </c>
      <c r="O808" t="s">
        <v>10943</v>
      </c>
    </row>
    <row r="809" spans="1:15" x14ac:dyDescent="0.25">
      <c r="A809">
        <v>681</v>
      </c>
      <c r="B809">
        <v>2</v>
      </c>
      <c r="C809">
        <v>175</v>
      </c>
      <c r="D809">
        <v>1</v>
      </c>
      <c r="E809">
        <v>1</v>
      </c>
      <c r="F809">
        <v>1</v>
      </c>
      <c r="G809" t="s">
        <v>8082</v>
      </c>
      <c r="H809" t="s">
        <v>8995</v>
      </c>
      <c r="I809" t="s">
        <v>4349</v>
      </c>
      <c r="J809" t="s">
        <v>9020</v>
      </c>
      <c r="K809" s="5">
        <v>45810</v>
      </c>
      <c r="L809" s="5" t="s">
        <v>4312</v>
      </c>
      <c r="M809" s="5">
        <v>45991</v>
      </c>
      <c r="N809">
        <v>1</v>
      </c>
      <c r="O809" t="s">
        <v>10944</v>
      </c>
    </row>
    <row r="810" spans="1:15" x14ac:dyDescent="0.25">
      <c r="A810">
        <v>682</v>
      </c>
      <c r="B810">
        <v>3</v>
      </c>
      <c r="C810">
        <v>156</v>
      </c>
      <c r="D810">
        <v>2</v>
      </c>
      <c r="E810">
        <v>39</v>
      </c>
      <c r="F810">
        <v>40</v>
      </c>
      <c r="G810" t="s">
        <v>8083</v>
      </c>
      <c r="H810" t="s">
        <v>8996</v>
      </c>
      <c r="I810" t="s">
        <v>4349</v>
      </c>
      <c r="K810" s="5">
        <v>45810</v>
      </c>
      <c r="L810" s="5">
        <v>45900</v>
      </c>
      <c r="M810" s="5">
        <v>45900</v>
      </c>
      <c r="N810">
        <v>0</v>
      </c>
      <c r="O810" t="s">
        <v>10457</v>
      </c>
    </row>
    <row r="811" spans="1:15" x14ac:dyDescent="0.25">
      <c r="A811">
        <v>683</v>
      </c>
      <c r="B811">
        <v>4</v>
      </c>
      <c r="C811">
        <v>168</v>
      </c>
      <c r="D811">
        <v>1</v>
      </c>
      <c r="E811">
        <v>38</v>
      </c>
      <c r="F811">
        <v>49</v>
      </c>
      <c r="G811" t="s">
        <v>8084</v>
      </c>
      <c r="H811" t="s">
        <v>8996</v>
      </c>
      <c r="I811" t="s">
        <v>4349</v>
      </c>
      <c r="J811" t="s">
        <v>9020</v>
      </c>
      <c r="K811" s="5">
        <v>45810</v>
      </c>
      <c r="L811" s="5">
        <v>45991</v>
      </c>
      <c r="M811" s="5" t="s">
        <v>4312</v>
      </c>
      <c r="N811">
        <v>0</v>
      </c>
      <c r="O811" t="s">
        <v>10945</v>
      </c>
    </row>
    <row r="812" spans="1:15" x14ac:dyDescent="0.25">
      <c r="A812">
        <v>684</v>
      </c>
      <c r="B812">
        <v>4</v>
      </c>
      <c r="C812">
        <v>168</v>
      </c>
      <c r="D812">
        <v>1</v>
      </c>
      <c r="E812">
        <v>38</v>
      </c>
      <c r="F812">
        <v>49</v>
      </c>
      <c r="G812" t="s">
        <v>8085</v>
      </c>
      <c r="H812" t="s">
        <v>8996</v>
      </c>
      <c r="I812" t="s">
        <v>4349</v>
      </c>
      <c r="J812" t="s">
        <v>9020</v>
      </c>
      <c r="K812" s="5">
        <v>45810</v>
      </c>
      <c r="L812" s="5">
        <v>45853</v>
      </c>
      <c r="M812" s="5" t="s">
        <v>4312</v>
      </c>
      <c r="N812">
        <v>0</v>
      </c>
      <c r="O812" t="s">
        <v>10946</v>
      </c>
    </row>
    <row r="813" spans="1:15" x14ac:dyDescent="0.25">
      <c r="A813">
        <v>685</v>
      </c>
      <c r="B813">
        <v>4</v>
      </c>
      <c r="C813">
        <v>121</v>
      </c>
      <c r="D813">
        <v>1</v>
      </c>
      <c r="E813">
        <v>38</v>
      </c>
      <c r="F813">
        <v>49</v>
      </c>
      <c r="G813">
        <v>60000106</v>
      </c>
      <c r="H813" t="s">
        <v>8996</v>
      </c>
      <c r="I813" t="s">
        <v>4349</v>
      </c>
      <c r="J813" t="s">
        <v>9020</v>
      </c>
      <c r="K813" s="5">
        <v>45812</v>
      </c>
      <c r="L813" s="5">
        <v>45861</v>
      </c>
      <c r="M813" s="5" t="s">
        <v>4312</v>
      </c>
      <c r="N813">
        <v>0</v>
      </c>
      <c r="O813" t="s">
        <v>10947</v>
      </c>
    </row>
    <row r="814" spans="1:15" x14ac:dyDescent="0.25">
      <c r="A814">
        <v>686</v>
      </c>
      <c r="B814">
        <v>2</v>
      </c>
      <c r="C814">
        <v>108</v>
      </c>
      <c r="D814">
        <v>1</v>
      </c>
      <c r="E814">
        <v>1</v>
      </c>
      <c r="F814">
        <v>1</v>
      </c>
      <c r="G814" t="s">
        <v>8086</v>
      </c>
      <c r="H814" t="s">
        <v>8996</v>
      </c>
      <c r="I814" t="s">
        <v>4349</v>
      </c>
      <c r="J814" t="s">
        <v>9020</v>
      </c>
      <c r="K814" s="5">
        <v>45264</v>
      </c>
      <c r="L814" s="5" t="s">
        <v>4312</v>
      </c>
      <c r="M814" s="5">
        <v>46022</v>
      </c>
      <c r="N814">
        <v>1</v>
      </c>
      <c r="O814" t="s">
        <v>10948</v>
      </c>
    </row>
    <row r="815" spans="1:15" x14ac:dyDescent="0.25">
      <c r="A815">
        <v>687</v>
      </c>
      <c r="B815">
        <v>4</v>
      </c>
      <c r="C815">
        <v>161</v>
      </c>
      <c r="D815">
        <v>1</v>
      </c>
      <c r="E815">
        <v>38</v>
      </c>
      <c r="F815">
        <v>49</v>
      </c>
      <c r="G815">
        <v>60000102</v>
      </c>
      <c r="H815" t="s">
        <v>8996</v>
      </c>
      <c r="I815" t="s">
        <v>4349</v>
      </c>
      <c r="J815" t="s">
        <v>9020</v>
      </c>
      <c r="K815" s="5">
        <v>45817</v>
      </c>
      <c r="L815" s="5" t="s">
        <v>4312</v>
      </c>
      <c r="M815" s="5" t="s">
        <v>4312</v>
      </c>
      <c r="N815">
        <v>1</v>
      </c>
      <c r="O815" t="s">
        <v>10949</v>
      </c>
    </row>
    <row r="816" spans="1:15" x14ac:dyDescent="0.25">
      <c r="A816">
        <v>688</v>
      </c>
      <c r="B816">
        <v>2</v>
      </c>
      <c r="C816">
        <v>165</v>
      </c>
      <c r="D816">
        <v>1</v>
      </c>
      <c r="E816">
        <v>38</v>
      </c>
      <c r="F816">
        <v>49</v>
      </c>
      <c r="G816" t="s">
        <v>8087</v>
      </c>
      <c r="H816" t="s">
        <v>8996</v>
      </c>
      <c r="I816" t="s">
        <v>4349</v>
      </c>
      <c r="J816" t="s">
        <v>9020</v>
      </c>
      <c r="K816" s="5">
        <v>45817</v>
      </c>
      <c r="L816" s="5" t="s">
        <v>4312</v>
      </c>
      <c r="M816" s="5">
        <v>46022</v>
      </c>
      <c r="N816">
        <v>1</v>
      </c>
      <c r="O816" t="s">
        <v>10950</v>
      </c>
    </row>
    <row r="817" spans="1:15" x14ac:dyDescent="0.25">
      <c r="A817">
        <v>689</v>
      </c>
      <c r="B817">
        <v>4</v>
      </c>
      <c r="C817">
        <v>161</v>
      </c>
      <c r="D817">
        <v>1</v>
      </c>
      <c r="E817">
        <v>38</v>
      </c>
      <c r="F817">
        <v>49</v>
      </c>
      <c r="G817">
        <v>60000101</v>
      </c>
      <c r="H817" t="s">
        <v>8996</v>
      </c>
      <c r="I817" t="s">
        <v>4349</v>
      </c>
      <c r="J817" t="s">
        <v>9020</v>
      </c>
      <c r="K817" s="5">
        <v>45817</v>
      </c>
      <c r="L817" s="5" t="s">
        <v>4312</v>
      </c>
      <c r="M817" s="5" t="s">
        <v>4312</v>
      </c>
      <c r="N817">
        <v>1</v>
      </c>
      <c r="O817" t="s">
        <v>10951</v>
      </c>
    </row>
    <row r="818" spans="1:15" x14ac:dyDescent="0.25">
      <c r="A818">
        <v>252</v>
      </c>
      <c r="B818">
        <v>11</v>
      </c>
      <c r="C818">
        <v>156</v>
      </c>
      <c r="D818">
        <v>3</v>
      </c>
      <c r="E818">
        <v>37</v>
      </c>
      <c r="F818">
        <v>48</v>
      </c>
      <c r="G818" t="s">
        <v>7658</v>
      </c>
      <c r="H818" t="s">
        <v>8996</v>
      </c>
      <c r="I818" t="s">
        <v>4349</v>
      </c>
      <c r="J818" t="s">
        <v>9021</v>
      </c>
      <c r="K818" s="5">
        <v>45821</v>
      </c>
      <c r="L818" s="5" t="s">
        <v>4312</v>
      </c>
      <c r="M818" s="5">
        <v>46022</v>
      </c>
      <c r="N818">
        <v>1</v>
      </c>
      <c r="O818" t="s">
        <v>10952</v>
      </c>
    </row>
    <row r="819" spans="1:15" x14ac:dyDescent="0.25">
      <c r="A819">
        <v>690</v>
      </c>
      <c r="B819">
        <v>3</v>
      </c>
      <c r="C819">
        <v>163</v>
      </c>
      <c r="D819">
        <v>2</v>
      </c>
      <c r="E819">
        <v>33</v>
      </c>
      <c r="F819">
        <v>36</v>
      </c>
      <c r="G819">
        <v>50000496</v>
      </c>
      <c r="H819" t="s">
        <v>8996</v>
      </c>
      <c r="I819" t="s">
        <v>4349</v>
      </c>
      <c r="K819" s="5">
        <v>45824</v>
      </c>
      <c r="L819" s="5">
        <v>45915</v>
      </c>
      <c r="M819" s="5">
        <v>45930</v>
      </c>
      <c r="N819">
        <v>0</v>
      </c>
      <c r="O819" t="s">
        <v>10458</v>
      </c>
    </row>
    <row r="820" spans="1:15" x14ac:dyDescent="0.25">
      <c r="A820">
        <v>691</v>
      </c>
      <c r="B820">
        <v>2</v>
      </c>
      <c r="C820">
        <v>173</v>
      </c>
      <c r="D820">
        <v>1</v>
      </c>
      <c r="E820">
        <v>1</v>
      </c>
      <c r="F820">
        <v>1</v>
      </c>
      <c r="G820">
        <v>50000499</v>
      </c>
      <c r="H820" t="s">
        <v>8996</v>
      </c>
      <c r="I820" t="s">
        <v>4349</v>
      </c>
      <c r="J820" t="s">
        <v>9020</v>
      </c>
      <c r="K820" s="5">
        <v>45824</v>
      </c>
      <c r="L820" s="5">
        <v>45884</v>
      </c>
      <c r="M820" s="5">
        <v>45930</v>
      </c>
      <c r="N820">
        <v>0</v>
      </c>
      <c r="O820" t="s">
        <v>10459</v>
      </c>
    </row>
    <row r="821" spans="1:15" x14ac:dyDescent="0.25">
      <c r="A821">
        <v>692</v>
      </c>
      <c r="B821">
        <v>4</v>
      </c>
      <c r="C821">
        <v>161</v>
      </c>
      <c r="D821">
        <v>1</v>
      </c>
      <c r="E821">
        <v>38</v>
      </c>
      <c r="F821">
        <v>49</v>
      </c>
      <c r="G821">
        <v>60000103</v>
      </c>
      <c r="H821" t="s">
        <v>8996</v>
      </c>
      <c r="I821" t="s">
        <v>4349</v>
      </c>
      <c r="J821" t="s">
        <v>9020</v>
      </c>
      <c r="K821" s="5">
        <v>45824</v>
      </c>
      <c r="L821" s="5" t="s">
        <v>4312</v>
      </c>
      <c r="M821" s="5" t="s">
        <v>4312</v>
      </c>
      <c r="N821">
        <v>1</v>
      </c>
      <c r="O821" t="s">
        <v>10953</v>
      </c>
    </row>
    <row r="822" spans="1:15" x14ac:dyDescent="0.25">
      <c r="A822">
        <v>693</v>
      </c>
      <c r="B822">
        <v>2</v>
      </c>
      <c r="C822">
        <v>243</v>
      </c>
      <c r="D822">
        <v>1</v>
      </c>
      <c r="E822">
        <v>1</v>
      </c>
      <c r="F822">
        <v>1</v>
      </c>
      <c r="G822" t="s">
        <v>8088</v>
      </c>
      <c r="H822" t="s">
        <v>8996</v>
      </c>
      <c r="I822" t="s">
        <v>4349</v>
      </c>
      <c r="J822" t="s">
        <v>9020</v>
      </c>
      <c r="K822" s="5">
        <v>45826</v>
      </c>
      <c r="L822" s="5" t="s">
        <v>4312</v>
      </c>
      <c r="M822" s="5">
        <v>46112</v>
      </c>
      <c r="N822">
        <v>1</v>
      </c>
      <c r="O822" t="s">
        <v>10954</v>
      </c>
    </row>
    <row r="823" spans="1:15" x14ac:dyDescent="0.25">
      <c r="A823">
        <v>694</v>
      </c>
      <c r="B823">
        <v>2</v>
      </c>
      <c r="C823">
        <v>5</v>
      </c>
      <c r="D823">
        <v>1</v>
      </c>
      <c r="E823">
        <v>1</v>
      </c>
      <c r="F823">
        <v>1</v>
      </c>
      <c r="G823" t="s">
        <v>8089</v>
      </c>
      <c r="H823" t="s">
        <v>8995</v>
      </c>
      <c r="I823" t="s">
        <v>4349</v>
      </c>
      <c r="J823" t="s">
        <v>9020</v>
      </c>
      <c r="K823" s="5">
        <v>45826</v>
      </c>
      <c r="L823" s="5" t="s">
        <v>4312</v>
      </c>
      <c r="M823" s="5">
        <v>46022</v>
      </c>
      <c r="N823">
        <v>1</v>
      </c>
      <c r="O823" t="s">
        <v>10955</v>
      </c>
    </row>
    <row r="824" spans="1:15" x14ac:dyDescent="0.25">
      <c r="A824">
        <v>695</v>
      </c>
      <c r="B824">
        <v>4</v>
      </c>
      <c r="C824">
        <v>168</v>
      </c>
      <c r="D824">
        <v>1</v>
      </c>
      <c r="E824">
        <v>38</v>
      </c>
      <c r="F824">
        <v>49</v>
      </c>
      <c r="G824" t="s">
        <v>8090</v>
      </c>
      <c r="H824" t="s">
        <v>8996</v>
      </c>
      <c r="I824" t="s">
        <v>4349</v>
      </c>
      <c r="J824" t="s">
        <v>9020</v>
      </c>
      <c r="K824" s="5">
        <v>45826</v>
      </c>
      <c r="L824" s="5">
        <v>45838</v>
      </c>
      <c r="M824" s="5" t="s">
        <v>4312</v>
      </c>
      <c r="N824">
        <v>0</v>
      </c>
      <c r="O824" t="s">
        <v>10956</v>
      </c>
    </row>
    <row r="825" spans="1:15" x14ac:dyDescent="0.25">
      <c r="A825">
        <v>696</v>
      </c>
      <c r="B825">
        <v>4</v>
      </c>
      <c r="C825">
        <v>161</v>
      </c>
      <c r="D825">
        <v>4</v>
      </c>
      <c r="E825">
        <v>38</v>
      </c>
      <c r="F825">
        <v>49</v>
      </c>
      <c r="G825">
        <v>60000105</v>
      </c>
      <c r="H825" t="s">
        <v>8996</v>
      </c>
      <c r="I825" t="s">
        <v>4349</v>
      </c>
      <c r="J825" t="s">
        <v>9020</v>
      </c>
      <c r="K825" s="5">
        <v>45828</v>
      </c>
      <c r="L825" s="5" t="s">
        <v>4312</v>
      </c>
      <c r="M825" s="5" t="s">
        <v>4312</v>
      </c>
      <c r="N825">
        <v>1</v>
      </c>
      <c r="O825" t="s">
        <v>10957</v>
      </c>
    </row>
    <row r="826" spans="1:15" x14ac:dyDescent="0.25">
      <c r="A826">
        <v>697</v>
      </c>
      <c r="B826">
        <v>1</v>
      </c>
      <c r="C826">
        <v>4</v>
      </c>
      <c r="D826">
        <v>1</v>
      </c>
      <c r="E826">
        <v>1</v>
      </c>
      <c r="F826">
        <v>1</v>
      </c>
      <c r="G826" t="s">
        <v>8091</v>
      </c>
      <c r="H826" t="s">
        <v>8996</v>
      </c>
      <c r="I826" t="s">
        <v>4349</v>
      </c>
      <c r="J826" t="s">
        <v>9020</v>
      </c>
      <c r="K826" s="5">
        <v>45839</v>
      </c>
      <c r="L826" s="5" t="s">
        <v>4312</v>
      </c>
      <c r="M826" s="5" t="s">
        <v>4312</v>
      </c>
      <c r="N826">
        <v>1</v>
      </c>
      <c r="O826" t="s">
        <v>10958</v>
      </c>
    </row>
    <row r="827" spans="1:15" x14ac:dyDescent="0.25">
      <c r="A827">
        <v>383</v>
      </c>
      <c r="B827">
        <v>2</v>
      </c>
      <c r="C827">
        <v>161</v>
      </c>
      <c r="D827">
        <v>4</v>
      </c>
      <c r="E827">
        <v>38</v>
      </c>
      <c r="F827">
        <v>49</v>
      </c>
      <c r="G827" t="s">
        <v>8092</v>
      </c>
      <c r="H827" t="s">
        <v>8996</v>
      </c>
      <c r="I827" t="s">
        <v>4349</v>
      </c>
      <c r="J827" t="s">
        <v>9020</v>
      </c>
      <c r="K827" s="5">
        <v>45839</v>
      </c>
      <c r="L827" s="5" t="s">
        <v>4312</v>
      </c>
      <c r="M827" s="5">
        <v>45991</v>
      </c>
      <c r="N827">
        <v>1</v>
      </c>
      <c r="O827" t="s">
        <v>10959</v>
      </c>
    </row>
    <row r="828" spans="1:15" x14ac:dyDescent="0.25">
      <c r="A828">
        <v>698</v>
      </c>
      <c r="B828">
        <v>2</v>
      </c>
      <c r="C828">
        <v>196</v>
      </c>
      <c r="D828">
        <v>1</v>
      </c>
      <c r="E828">
        <v>1</v>
      </c>
      <c r="F828">
        <v>1</v>
      </c>
      <c r="G828" t="s">
        <v>8093</v>
      </c>
      <c r="H828" t="s">
        <v>8996</v>
      </c>
      <c r="I828" t="s">
        <v>4348</v>
      </c>
      <c r="J828" t="s">
        <v>9020</v>
      </c>
      <c r="K828" s="5">
        <v>45839</v>
      </c>
      <c r="L828" s="5" t="s">
        <v>4312</v>
      </c>
      <c r="M828" s="5">
        <v>46022</v>
      </c>
      <c r="N828">
        <v>1</v>
      </c>
      <c r="O828" t="s">
        <v>10960</v>
      </c>
    </row>
    <row r="829" spans="1:15" x14ac:dyDescent="0.25">
      <c r="A829">
        <v>677</v>
      </c>
      <c r="B829">
        <v>3</v>
      </c>
      <c r="C829">
        <v>156</v>
      </c>
      <c r="D829">
        <v>2</v>
      </c>
      <c r="E829">
        <v>23</v>
      </c>
      <c r="F829">
        <v>24</v>
      </c>
      <c r="G829" t="s">
        <v>8094</v>
      </c>
      <c r="H829" t="s">
        <v>8996</v>
      </c>
      <c r="I829" t="s">
        <v>4349</v>
      </c>
      <c r="J829" t="s">
        <v>9027</v>
      </c>
      <c r="K829" s="5">
        <v>45840</v>
      </c>
      <c r="L829" s="5" t="s">
        <v>4312</v>
      </c>
      <c r="M829" s="5">
        <v>46022</v>
      </c>
      <c r="N829">
        <v>1</v>
      </c>
      <c r="O829" t="s">
        <v>10961</v>
      </c>
    </row>
    <row r="830" spans="1:15" x14ac:dyDescent="0.25">
      <c r="A830">
        <v>699</v>
      </c>
      <c r="B830">
        <v>4</v>
      </c>
      <c r="C830">
        <v>168</v>
      </c>
      <c r="D830">
        <v>1</v>
      </c>
      <c r="E830">
        <v>38</v>
      </c>
      <c r="F830">
        <v>49</v>
      </c>
      <c r="G830" t="s">
        <v>8095</v>
      </c>
      <c r="H830" t="s">
        <v>8996</v>
      </c>
      <c r="I830" t="s">
        <v>4349</v>
      </c>
      <c r="J830" t="s">
        <v>9020</v>
      </c>
      <c r="K830" s="5">
        <v>45845</v>
      </c>
      <c r="L830" s="5" t="s">
        <v>4312</v>
      </c>
      <c r="M830" s="5" t="s">
        <v>4312</v>
      </c>
      <c r="N830">
        <v>1</v>
      </c>
      <c r="O830" t="s">
        <v>10962</v>
      </c>
    </row>
    <row r="831" spans="1:15" x14ac:dyDescent="0.25">
      <c r="A831">
        <v>700</v>
      </c>
      <c r="B831">
        <v>2</v>
      </c>
      <c r="C831">
        <v>181</v>
      </c>
      <c r="D831">
        <v>1</v>
      </c>
      <c r="E831">
        <v>1</v>
      </c>
      <c r="F831">
        <v>1</v>
      </c>
      <c r="G831" t="s">
        <v>8096</v>
      </c>
      <c r="H831" t="s">
        <v>8996</v>
      </c>
      <c r="I831" t="s">
        <v>4349</v>
      </c>
      <c r="J831" t="s">
        <v>9020</v>
      </c>
      <c r="K831" s="5">
        <v>45852</v>
      </c>
      <c r="L831" s="5" t="s">
        <v>4312</v>
      </c>
      <c r="M831" s="5">
        <v>46142</v>
      </c>
      <c r="N831">
        <v>1</v>
      </c>
      <c r="O831" t="s">
        <v>10963</v>
      </c>
    </row>
    <row r="832" spans="1:15" x14ac:dyDescent="0.25">
      <c r="A832">
        <v>701</v>
      </c>
      <c r="B832">
        <v>2</v>
      </c>
      <c r="C832">
        <v>186</v>
      </c>
      <c r="D832">
        <v>1</v>
      </c>
      <c r="E832">
        <v>1</v>
      </c>
      <c r="F832">
        <v>1</v>
      </c>
      <c r="G832" t="s">
        <v>8097</v>
      </c>
      <c r="H832" t="s">
        <v>8996</v>
      </c>
      <c r="I832" t="s">
        <v>4349</v>
      </c>
      <c r="J832" t="s">
        <v>9020</v>
      </c>
      <c r="K832" s="5">
        <v>45852</v>
      </c>
      <c r="L832" s="5">
        <v>45961</v>
      </c>
      <c r="M832" s="5">
        <v>45961</v>
      </c>
      <c r="N832">
        <v>0</v>
      </c>
      <c r="O832" t="s">
        <v>10460</v>
      </c>
    </row>
    <row r="833" spans="1:15" x14ac:dyDescent="0.25">
      <c r="A833">
        <v>702</v>
      </c>
      <c r="B833">
        <v>1</v>
      </c>
      <c r="C833">
        <v>129</v>
      </c>
      <c r="D833">
        <v>1</v>
      </c>
      <c r="E833">
        <v>1</v>
      </c>
      <c r="F833">
        <v>1</v>
      </c>
      <c r="G833" t="s">
        <v>8098</v>
      </c>
      <c r="H833" t="s">
        <v>8995</v>
      </c>
      <c r="I833" t="s">
        <v>9003</v>
      </c>
      <c r="J833" t="s">
        <v>9020</v>
      </c>
      <c r="K833" s="5">
        <v>40609</v>
      </c>
      <c r="L833" s="5" t="s">
        <v>4312</v>
      </c>
      <c r="M833" s="5" t="s">
        <v>4312</v>
      </c>
      <c r="N833">
        <v>1</v>
      </c>
      <c r="O833" t="s">
        <v>10964</v>
      </c>
    </row>
    <row r="834" spans="1:15" x14ac:dyDescent="0.25">
      <c r="A834">
        <v>703</v>
      </c>
      <c r="B834">
        <v>5</v>
      </c>
      <c r="C834">
        <v>87</v>
      </c>
      <c r="D834">
        <v>1</v>
      </c>
      <c r="E834">
        <v>1</v>
      </c>
      <c r="F834">
        <v>1</v>
      </c>
      <c r="G834" t="s">
        <v>8099</v>
      </c>
      <c r="H834" t="s">
        <v>8996</v>
      </c>
      <c r="I834" t="s">
        <v>4349</v>
      </c>
      <c r="J834" t="s">
        <v>9020</v>
      </c>
      <c r="K834" s="5">
        <v>45854</v>
      </c>
      <c r="L834" s="5" t="s">
        <v>4312</v>
      </c>
      <c r="M834" s="5">
        <v>46053</v>
      </c>
      <c r="N834">
        <v>1</v>
      </c>
      <c r="O834" t="s">
        <v>10965</v>
      </c>
    </row>
    <row r="835" spans="1:15" x14ac:dyDescent="0.25">
      <c r="A835">
        <v>704</v>
      </c>
      <c r="B835">
        <v>3</v>
      </c>
      <c r="C835">
        <v>163</v>
      </c>
      <c r="D835">
        <v>1</v>
      </c>
      <c r="E835">
        <v>34</v>
      </c>
      <c r="F835">
        <v>42</v>
      </c>
      <c r="G835" t="s">
        <v>8100</v>
      </c>
      <c r="H835" t="s">
        <v>8996</v>
      </c>
      <c r="I835" t="s">
        <v>4349</v>
      </c>
      <c r="J835" t="s">
        <v>9029</v>
      </c>
      <c r="K835" s="5">
        <v>45854</v>
      </c>
      <c r="L835" s="5" t="s">
        <v>4312</v>
      </c>
      <c r="M835" s="5">
        <v>46053</v>
      </c>
      <c r="N835">
        <v>1</v>
      </c>
      <c r="O835" t="s">
        <v>10966</v>
      </c>
    </row>
    <row r="836" spans="1:15" x14ac:dyDescent="0.25">
      <c r="A836">
        <v>705</v>
      </c>
      <c r="B836">
        <v>2</v>
      </c>
      <c r="C836">
        <v>134</v>
      </c>
      <c r="D836">
        <v>2</v>
      </c>
      <c r="E836">
        <v>1</v>
      </c>
      <c r="F836">
        <v>1</v>
      </c>
      <c r="G836" t="s">
        <v>8101</v>
      </c>
      <c r="H836" t="s">
        <v>8996</v>
      </c>
      <c r="I836" t="s">
        <v>4349</v>
      </c>
      <c r="J836" t="s">
        <v>9020</v>
      </c>
      <c r="K836" s="5">
        <v>44718</v>
      </c>
      <c r="L836" s="5" t="s">
        <v>4312</v>
      </c>
      <c r="M836" s="5">
        <v>46112</v>
      </c>
      <c r="N836">
        <v>1</v>
      </c>
      <c r="O836" t="s">
        <v>10967</v>
      </c>
    </row>
    <row r="837" spans="1:15" x14ac:dyDescent="0.25">
      <c r="A837">
        <v>706</v>
      </c>
      <c r="B837">
        <v>3</v>
      </c>
      <c r="C837">
        <v>134</v>
      </c>
      <c r="D837">
        <v>1</v>
      </c>
      <c r="E837">
        <v>36</v>
      </c>
      <c r="F837">
        <v>21</v>
      </c>
      <c r="G837" t="s">
        <v>8102</v>
      </c>
      <c r="H837" t="s">
        <v>8996</v>
      </c>
      <c r="I837" t="s">
        <v>4349</v>
      </c>
      <c r="J837" t="s">
        <v>9021</v>
      </c>
      <c r="K837" s="5">
        <v>45398</v>
      </c>
      <c r="L837" s="5" t="s">
        <v>4312</v>
      </c>
      <c r="M837" s="5">
        <v>46053</v>
      </c>
      <c r="N837">
        <v>1</v>
      </c>
      <c r="O837" t="s">
        <v>10968</v>
      </c>
    </row>
    <row r="838" spans="1:15" x14ac:dyDescent="0.25">
      <c r="A838">
        <v>707</v>
      </c>
      <c r="B838">
        <v>2</v>
      </c>
      <c r="C838">
        <v>140</v>
      </c>
      <c r="D838">
        <v>1</v>
      </c>
      <c r="E838">
        <v>1</v>
      </c>
      <c r="F838">
        <v>1</v>
      </c>
      <c r="G838" t="s">
        <v>8103</v>
      </c>
      <c r="H838" t="s">
        <v>8996</v>
      </c>
      <c r="I838" t="s">
        <v>4349</v>
      </c>
      <c r="J838" t="s">
        <v>9020</v>
      </c>
      <c r="K838" s="5">
        <v>45862</v>
      </c>
      <c r="L838" s="5" t="s">
        <v>4312</v>
      </c>
      <c r="M838" s="5">
        <v>46053</v>
      </c>
      <c r="N838">
        <v>1</v>
      </c>
      <c r="O838" t="s">
        <v>10969</v>
      </c>
    </row>
    <row r="839" spans="1:15" x14ac:dyDescent="0.25">
      <c r="A839">
        <v>708</v>
      </c>
      <c r="B839">
        <v>4</v>
      </c>
      <c r="C839">
        <v>161</v>
      </c>
      <c r="D839">
        <v>2</v>
      </c>
      <c r="E839">
        <v>38</v>
      </c>
      <c r="F839">
        <v>49</v>
      </c>
      <c r="G839" t="s">
        <v>8104</v>
      </c>
      <c r="H839" t="s">
        <v>8996</v>
      </c>
      <c r="I839" t="s">
        <v>4349</v>
      </c>
      <c r="J839" t="s">
        <v>9020</v>
      </c>
      <c r="K839" s="5">
        <v>45862</v>
      </c>
      <c r="L839" s="5" t="s">
        <v>4312</v>
      </c>
      <c r="M839" s="5" t="s">
        <v>4312</v>
      </c>
      <c r="N839">
        <v>1</v>
      </c>
      <c r="O839" t="s">
        <v>10970</v>
      </c>
    </row>
    <row r="840" spans="1:15" x14ac:dyDescent="0.25">
      <c r="A840">
        <v>709</v>
      </c>
      <c r="B840">
        <v>4</v>
      </c>
      <c r="C840">
        <v>58</v>
      </c>
      <c r="D840">
        <v>1</v>
      </c>
      <c r="E840">
        <v>38</v>
      </c>
      <c r="F840">
        <v>49</v>
      </c>
      <c r="G840" t="s">
        <v>8105</v>
      </c>
      <c r="H840" t="s">
        <v>8996</v>
      </c>
      <c r="I840" t="s">
        <v>4349</v>
      </c>
      <c r="J840" t="s">
        <v>9020</v>
      </c>
      <c r="K840" s="5">
        <v>45870</v>
      </c>
      <c r="L840" s="5" t="s">
        <v>4312</v>
      </c>
      <c r="M840" s="5" t="s">
        <v>4312</v>
      </c>
      <c r="N840">
        <v>1</v>
      </c>
      <c r="O840" t="s">
        <v>10971</v>
      </c>
    </row>
    <row r="841" spans="1:15" x14ac:dyDescent="0.25">
      <c r="A841">
        <v>710</v>
      </c>
      <c r="B841">
        <v>4</v>
      </c>
      <c r="C841">
        <v>168</v>
      </c>
      <c r="D841">
        <v>1</v>
      </c>
      <c r="E841">
        <v>38</v>
      </c>
      <c r="F841">
        <v>49</v>
      </c>
      <c r="G841" t="s">
        <v>8106</v>
      </c>
      <c r="H841" t="s">
        <v>8996</v>
      </c>
      <c r="I841" t="s">
        <v>4349</v>
      </c>
      <c r="J841" t="s">
        <v>9020</v>
      </c>
      <c r="K841" s="5">
        <v>45870</v>
      </c>
      <c r="L841" s="5" t="s">
        <v>4312</v>
      </c>
      <c r="M841" s="5" t="s">
        <v>4312</v>
      </c>
      <c r="N841">
        <v>1</v>
      </c>
      <c r="O841" t="s">
        <v>10972</v>
      </c>
    </row>
    <row r="842" spans="1:15" x14ac:dyDescent="0.25">
      <c r="A842">
        <v>711</v>
      </c>
      <c r="B842">
        <v>4</v>
      </c>
      <c r="C842">
        <v>168</v>
      </c>
      <c r="D842">
        <v>1</v>
      </c>
      <c r="E842">
        <v>38</v>
      </c>
      <c r="F842">
        <v>49</v>
      </c>
      <c r="G842" t="s">
        <v>8107</v>
      </c>
      <c r="H842" t="s">
        <v>8996</v>
      </c>
      <c r="I842" t="s">
        <v>4349</v>
      </c>
      <c r="J842" t="s">
        <v>9020</v>
      </c>
      <c r="K842" s="5">
        <v>45870</v>
      </c>
      <c r="L842" s="5" t="s">
        <v>4312</v>
      </c>
      <c r="M842" s="5" t="s">
        <v>4312</v>
      </c>
      <c r="N842">
        <v>1</v>
      </c>
      <c r="O842" t="s">
        <v>10973</v>
      </c>
    </row>
    <row r="843" spans="1:15" x14ac:dyDescent="0.25">
      <c r="A843">
        <v>712</v>
      </c>
      <c r="B843">
        <v>4</v>
      </c>
      <c r="C843">
        <v>168</v>
      </c>
      <c r="D843">
        <v>1</v>
      </c>
      <c r="E843">
        <v>38</v>
      </c>
      <c r="F843">
        <v>49</v>
      </c>
      <c r="G843" t="s">
        <v>8108</v>
      </c>
      <c r="H843" t="s">
        <v>8996</v>
      </c>
      <c r="I843" t="s">
        <v>4349</v>
      </c>
      <c r="J843" t="s">
        <v>9020</v>
      </c>
      <c r="K843" s="5">
        <v>45870</v>
      </c>
      <c r="L843" s="5">
        <v>45991</v>
      </c>
      <c r="M843" s="5" t="s">
        <v>4312</v>
      </c>
      <c r="N843">
        <v>0</v>
      </c>
      <c r="O843" t="s">
        <v>10974</v>
      </c>
    </row>
    <row r="844" spans="1:15" x14ac:dyDescent="0.25">
      <c r="A844">
        <v>713</v>
      </c>
      <c r="B844">
        <v>4</v>
      </c>
      <c r="C844">
        <v>161</v>
      </c>
      <c r="D844">
        <v>1</v>
      </c>
      <c r="E844">
        <v>38</v>
      </c>
      <c r="F844">
        <v>49</v>
      </c>
      <c r="G844" t="s">
        <v>8109</v>
      </c>
      <c r="H844" t="s">
        <v>8996</v>
      </c>
      <c r="I844" t="s">
        <v>4349</v>
      </c>
      <c r="J844" t="s">
        <v>9020</v>
      </c>
      <c r="K844" s="5">
        <v>45870</v>
      </c>
      <c r="L844" s="5">
        <v>45983</v>
      </c>
      <c r="M844" s="5" t="s">
        <v>4312</v>
      </c>
      <c r="N844">
        <v>0</v>
      </c>
      <c r="O844" t="s">
        <v>10975</v>
      </c>
    </row>
    <row r="845" spans="1:15" x14ac:dyDescent="0.25">
      <c r="A845">
        <v>714</v>
      </c>
      <c r="B845">
        <v>3</v>
      </c>
      <c r="C845">
        <v>156</v>
      </c>
      <c r="D845">
        <v>1</v>
      </c>
      <c r="E845">
        <v>10</v>
      </c>
      <c r="F845">
        <v>14</v>
      </c>
      <c r="G845" t="s">
        <v>8110</v>
      </c>
      <c r="H845" t="s">
        <v>8996</v>
      </c>
      <c r="I845" t="s">
        <v>4349</v>
      </c>
      <c r="J845" t="s">
        <v>9025</v>
      </c>
      <c r="K845" s="5">
        <v>45873</v>
      </c>
      <c r="L845" s="5" t="s">
        <v>4312</v>
      </c>
      <c r="M845" s="5">
        <v>45991</v>
      </c>
      <c r="N845">
        <v>1</v>
      </c>
      <c r="O845" t="s">
        <v>10976</v>
      </c>
    </row>
    <row r="846" spans="1:15" x14ac:dyDescent="0.25">
      <c r="A846">
        <v>217</v>
      </c>
      <c r="B846">
        <v>2</v>
      </c>
      <c r="C846">
        <v>168</v>
      </c>
      <c r="D846">
        <v>1</v>
      </c>
      <c r="E846">
        <v>38</v>
      </c>
      <c r="F846">
        <v>49</v>
      </c>
      <c r="G846" t="s">
        <v>8111</v>
      </c>
      <c r="H846" t="s">
        <v>8996</v>
      </c>
      <c r="I846" t="s">
        <v>4349</v>
      </c>
      <c r="J846" t="s">
        <v>9020</v>
      </c>
      <c r="K846" s="5">
        <v>45873</v>
      </c>
      <c r="L846" s="5" t="s">
        <v>4312</v>
      </c>
      <c r="M846" s="5">
        <v>45991</v>
      </c>
      <c r="N846">
        <v>1</v>
      </c>
      <c r="O846" t="s">
        <v>10977</v>
      </c>
    </row>
    <row r="847" spans="1:15" x14ac:dyDescent="0.25">
      <c r="A847">
        <v>715</v>
      </c>
      <c r="B847">
        <v>3</v>
      </c>
      <c r="C847">
        <v>134</v>
      </c>
      <c r="D847">
        <v>1</v>
      </c>
      <c r="E847">
        <v>36</v>
      </c>
      <c r="F847">
        <v>21</v>
      </c>
      <c r="G847" t="s">
        <v>8112</v>
      </c>
      <c r="H847" t="s">
        <v>8996</v>
      </c>
      <c r="I847" t="s">
        <v>4349</v>
      </c>
      <c r="J847" t="s">
        <v>9021</v>
      </c>
      <c r="K847" s="5">
        <v>45600</v>
      </c>
      <c r="L847" s="5" t="s">
        <v>4312</v>
      </c>
      <c r="M847" s="5">
        <v>46053</v>
      </c>
      <c r="N847">
        <v>1</v>
      </c>
      <c r="O847" t="s">
        <v>10978</v>
      </c>
    </row>
    <row r="848" spans="1:15" x14ac:dyDescent="0.25">
      <c r="A848">
        <v>716</v>
      </c>
      <c r="B848">
        <v>2</v>
      </c>
      <c r="C848">
        <v>168</v>
      </c>
      <c r="D848">
        <v>1</v>
      </c>
      <c r="E848">
        <v>38</v>
      </c>
      <c r="F848">
        <v>49</v>
      </c>
      <c r="G848" t="s">
        <v>8113</v>
      </c>
      <c r="H848" t="s">
        <v>8996</v>
      </c>
      <c r="I848" t="s">
        <v>4349</v>
      </c>
      <c r="J848" t="s">
        <v>9030</v>
      </c>
      <c r="K848" s="5">
        <v>45876</v>
      </c>
      <c r="L848" s="5">
        <v>45982</v>
      </c>
      <c r="M848" s="5">
        <v>45991</v>
      </c>
      <c r="N848">
        <v>0</v>
      </c>
      <c r="O848" t="s">
        <v>10461</v>
      </c>
    </row>
    <row r="849" spans="1:15" x14ac:dyDescent="0.25">
      <c r="A849">
        <v>717</v>
      </c>
      <c r="B849">
        <v>4</v>
      </c>
      <c r="C849">
        <v>121</v>
      </c>
      <c r="D849">
        <v>1</v>
      </c>
      <c r="E849">
        <v>38</v>
      </c>
      <c r="F849">
        <v>49</v>
      </c>
      <c r="G849" t="s">
        <v>8114</v>
      </c>
      <c r="H849" t="s">
        <v>8996</v>
      </c>
      <c r="I849" t="s">
        <v>4349</v>
      </c>
      <c r="J849" t="s">
        <v>9020</v>
      </c>
      <c r="K849" s="5">
        <v>45877</v>
      </c>
      <c r="L849" s="5" t="s">
        <v>4312</v>
      </c>
      <c r="M849" s="5" t="s">
        <v>4312</v>
      </c>
      <c r="N849">
        <v>1</v>
      </c>
      <c r="O849" t="s">
        <v>10979</v>
      </c>
    </row>
    <row r="850" spans="1:15" x14ac:dyDescent="0.25">
      <c r="A850">
        <v>718</v>
      </c>
      <c r="B850">
        <v>3</v>
      </c>
      <c r="C850">
        <v>156</v>
      </c>
      <c r="D850">
        <v>2</v>
      </c>
      <c r="E850">
        <v>3</v>
      </c>
      <c r="F850">
        <v>3</v>
      </c>
      <c r="G850" t="s">
        <v>8115</v>
      </c>
      <c r="H850" t="s">
        <v>8996</v>
      </c>
      <c r="I850" t="s">
        <v>4349</v>
      </c>
      <c r="J850" t="s">
        <v>9029</v>
      </c>
      <c r="K850" s="5">
        <v>45880</v>
      </c>
      <c r="L850" s="5" t="s">
        <v>4312</v>
      </c>
      <c r="M850" s="5">
        <v>45991</v>
      </c>
      <c r="N850">
        <v>1</v>
      </c>
      <c r="O850" t="s">
        <v>10980</v>
      </c>
    </row>
    <row r="851" spans="1:15" x14ac:dyDescent="0.25">
      <c r="A851">
        <v>719</v>
      </c>
      <c r="B851">
        <v>3</v>
      </c>
      <c r="C851">
        <v>163</v>
      </c>
      <c r="D851">
        <v>2</v>
      </c>
      <c r="E851">
        <v>32</v>
      </c>
      <c r="F851">
        <v>35</v>
      </c>
      <c r="G851" t="s">
        <v>8116</v>
      </c>
      <c r="H851" t="s">
        <v>8996</v>
      </c>
      <c r="I851" t="s">
        <v>4349</v>
      </c>
      <c r="J851" t="s">
        <v>9027</v>
      </c>
      <c r="K851" s="5">
        <v>45880</v>
      </c>
      <c r="L851" s="5" t="s">
        <v>4312</v>
      </c>
      <c r="M851" s="5">
        <v>45991</v>
      </c>
      <c r="N851">
        <v>1</v>
      </c>
      <c r="O851" t="s">
        <v>10981</v>
      </c>
    </row>
    <row r="852" spans="1:15" x14ac:dyDescent="0.25">
      <c r="A852">
        <v>720</v>
      </c>
      <c r="B852">
        <v>3</v>
      </c>
      <c r="C852">
        <v>163</v>
      </c>
      <c r="D852">
        <v>2</v>
      </c>
      <c r="E852">
        <v>23</v>
      </c>
      <c r="F852">
        <v>24</v>
      </c>
      <c r="G852" t="s">
        <v>8117</v>
      </c>
      <c r="H852" t="s">
        <v>8996</v>
      </c>
      <c r="I852" t="s">
        <v>4349</v>
      </c>
      <c r="J852" t="s">
        <v>9031</v>
      </c>
      <c r="K852" s="5">
        <v>45880</v>
      </c>
      <c r="L852" s="5" t="s">
        <v>4312</v>
      </c>
      <c r="M852" s="5">
        <v>45991</v>
      </c>
      <c r="N852">
        <v>1</v>
      </c>
      <c r="O852" t="s">
        <v>10982</v>
      </c>
    </row>
    <row r="853" spans="1:15" x14ac:dyDescent="0.25">
      <c r="A853">
        <v>545</v>
      </c>
      <c r="B853">
        <v>2</v>
      </c>
      <c r="C853">
        <v>168</v>
      </c>
      <c r="D853">
        <v>1</v>
      </c>
      <c r="E853">
        <v>38</v>
      </c>
      <c r="F853">
        <v>49</v>
      </c>
      <c r="G853" t="s">
        <v>8118</v>
      </c>
      <c r="H853" t="s">
        <v>8996</v>
      </c>
      <c r="I853" t="s">
        <v>4349</v>
      </c>
      <c r="J853" t="s">
        <v>9020</v>
      </c>
      <c r="K853" s="5">
        <v>45880</v>
      </c>
      <c r="L853" s="5" t="s">
        <v>4312</v>
      </c>
      <c r="M853" s="5">
        <v>45991</v>
      </c>
      <c r="N853">
        <v>1</v>
      </c>
      <c r="O853" t="s">
        <v>10983</v>
      </c>
    </row>
    <row r="854" spans="1:15" x14ac:dyDescent="0.25">
      <c r="A854">
        <v>721</v>
      </c>
      <c r="B854">
        <v>4</v>
      </c>
      <c r="C854">
        <v>60</v>
      </c>
      <c r="D854">
        <v>1</v>
      </c>
      <c r="E854">
        <v>38</v>
      </c>
      <c r="F854">
        <v>49</v>
      </c>
      <c r="G854" t="s">
        <v>8119</v>
      </c>
      <c r="H854" t="s">
        <v>8996</v>
      </c>
      <c r="I854" t="s">
        <v>4349</v>
      </c>
      <c r="J854" t="s">
        <v>9020</v>
      </c>
      <c r="K854" s="5">
        <v>45880</v>
      </c>
      <c r="L854" s="5" t="s">
        <v>4312</v>
      </c>
      <c r="M854" s="5" t="s">
        <v>4312</v>
      </c>
      <c r="N854">
        <v>1</v>
      </c>
      <c r="O854" t="s">
        <v>10984</v>
      </c>
    </row>
    <row r="855" spans="1:15" x14ac:dyDescent="0.25">
      <c r="A855">
        <v>722</v>
      </c>
      <c r="B855">
        <v>4</v>
      </c>
      <c r="C855">
        <v>161</v>
      </c>
      <c r="D855">
        <v>2</v>
      </c>
      <c r="E855">
        <v>38</v>
      </c>
      <c r="F855">
        <v>49</v>
      </c>
      <c r="G855" t="s">
        <v>8120</v>
      </c>
      <c r="H855" t="s">
        <v>8996</v>
      </c>
      <c r="I855" t="s">
        <v>4349</v>
      </c>
      <c r="J855" t="s">
        <v>9020</v>
      </c>
      <c r="K855" s="5">
        <v>45882</v>
      </c>
      <c r="L855" s="5" t="s">
        <v>4312</v>
      </c>
      <c r="M855" s="5" t="s">
        <v>4312</v>
      </c>
      <c r="N855">
        <v>1</v>
      </c>
      <c r="O855" t="s">
        <v>10985</v>
      </c>
    </row>
    <row r="856" spans="1:15" x14ac:dyDescent="0.25">
      <c r="A856">
        <v>723</v>
      </c>
      <c r="B856">
        <v>4</v>
      </c>
      <c r="C856">
        <v>161</v>
      </c>
      <c r="D856">
        <v>2</v>
      </c>
      <c r="E856">
        <v>38</v>
      </c>
      <c r="F856">
        <v>49</v>
      </c>
      <c r="G856" t="s">
        <v>8121</v>
      </c>
      <c r="H856" t="s">
        <v>8996</v>
      </c>
      <c r="I856" t="s">
        <v>4349</v>
      </c>
      <c r="J856" t="s">
        <v>9020</v>
      </c>
      <c r="K856" s="5">
        <v>45882</v>
      </c>
      <c r="L856" s="5" t="s">
        <v>4312</v>
      </c>
      <c r="M856" s="5" t="s">
        <v>4312</v>
      </c>
      <c r="N856">
        <v>1</v>
      </c>
      <c r="O856" t="s">
        <v>10986</v>
      </c>
    </row>
    <row r="857" spans="1:15" x14ac:dyDescent="0.25">
      <c r="A857">
        <v>724</v>
      </c>
      <c r="B857">
        <v>5</v>
      </c>
      <c r="C857">
        <v>79</v>
      </c>
      <c r="D857">
        <v>1</v>
      </c>
      <c r="E857">
        <v>1</v>
      </c>
      <c r="F857">
        <v>1</v>
      </c>
      <c r="G857" t="s">
        <v>8122</v>
      </c>
      <c r="H857" t="s">
        <v>8996</v>
      </c>
      <c r="I857" t="s">
        <v>4349</v>
      </c>
      <c r="J857" t="s">
        <v>9020</v>
      </c>
      <c r="K857" s="5">
        <v>45882</v>
      </c>
      <c r="L857" s="5" t="s">
        <v>4312</v>
      </c>
      <c r="M857" s="5">
        <v>46081</v>
      </c>
      <c r="N857">
        <v>1</v>
      </c>
      <c r="O857" t="s">
        <v>10987</v>
      </c>
    </row>
    <row r="858" spans="1:15" x14ac:dyDescent="0.25">
      <c r="A858">
        <v>725</v>
      </c>
      <c r="B858">
        <v>2</v>
      </c>
      <c r="C858">
        <v>168</v>
      </c>
      <c r="D858">
        <v>1</v>
      </c>
      <c r="E858">
        <v>38</v>
      </c>
      <c r="F858">
        <v>49</v>
      </c>
      <c r="G858" t="s">
        <v>8123</v>
      </c>
      <c r="H858" t="s">
        <v>8996</v>
      </c>
      <c r="I858" t="s">
        <v>4349</v>
      </c>
      <c r="J858" t="s">
        <v>9020</v>
      </c>
      <c r="K858" s="5">
        <v>45882</v>
      </c>
      <c r="L858" s="5">
        <v>45991</v>
      </c>
      <c r="M858" s="5">
        <v>45991</v>
      </c>
      <c r="N858">
        <v>0</v>
      </c>
      <c r="O858" t="s">
        <v>10462</v>
      </c>
    </row>
    <row r="859" spans="1:15" x14ac:dyDescent="0.25">
      <c r="A859">
        <v>726</v>
      </c>
      <c r="B859">
        <v>4</v>
      </c>
      <c r="C859">
        <v>66</v>
      </c>
      <c r="D859">
        <v>1</v>
      </c>
      <c r="E859">
        <v>1</v>
      </c>
      <c r="F859">
        <v>1</v>
      </c>
      <c r="G859" t="s">
        <v>8124</v>
      </c>
      <c r="H859" t="s">
        <v>8996</v>
      </c>
      <c r="I859" t="s">
        <v>4349</v>
      </c>
      <c r="J859" t="s">
        <v>9020</v>
      </c>
      <c r="K859" s="5">
        <v>45882</v>
      </c>
      <c r="L859" s="5" t="s">
        <v>4312</v>
      </c>
      <c r="M859" s="5" t="s">
        <v>4312</v>
      </c>
      <c r="N859">
        <v>1</v>
      </c>
      <c r="O859" t="s">
        <v>10988</v>
      </c>
    </row>
    <row r="860" spans="1:15" x14ac:dyDescent="0.25">
      <c r="A860">
        <v>727</v>
      </c>
      <c r="B860">
        <v>3</v>
      </c>
      <c r="C860">
        <v>134</v>
      </c>
      <c r="D860">
        <v>1</v>
      </c>
      <c r="E860">
        <v>36</v>
      </c>
      <c r="F860">
        <v>21</v>
      </c>
      <c r="G860" t="s">
        <v>8125</v>
      </c>
      <c r="H860" t="s">
        <v>8996</v>
      </c>
      <c r="I860" t="s">
        <v>4349</v>
      </c>
      <c r="J860" t="s">
        <v>9021</v>
      </c>
      <c r="K860" s="5">
        <v>45628</v>
      </c>
      <c r="L860" s="5" t="s">
        <v>4312</v>
      </c>
      <c r="M860" s="5">
        <v>46053</v>
      </c>
      <c r="N860">
        <v>1</v>
      </c>
      <c r="O860" t="s">
        <v>10989</v>
      </c>
    </row>
    <row r="861" spans="1:15" x14ac:dyDescent="0.25">
      <c r="A861">
        <v>728</v>
      </c>
      <c r="B861">
        <v>2</v>
      </c>
      <c r="C861">
        <v>231</v>
      </c>
      <c r="D861">
        <v>1</v>
      </c>
      <c r="E861">
        <v>1</v>
      </c>
      <c r="F861">
        <v>1</v>
      </c>
      <c r="G861" t="s">
        <v>8126</v>
      </c>
      <c r="H861" t="s">
        <v>8996</v>
      </c>
      <c r="I861" t="s">
        <v>4349</v>
      </c>
      <c r="J861" t="s">
        <v>9020</v>
      </c>
      <c r="K861" s="5">
        <v>45887</v>
      </c>
      <c r="L861" s="5" t="s">
        <v>4312</v>
      </c>
      <c r="M861" s="5">
        <v>45991</v>
      </c>
      <c r="N861">
        <v>1</v>
      </c>
      <c r="O861" t="s">
        <v>10990</v>
      </c>
    </row>
    <row r="862" spans="1:15" x14ac:dyDescent="0.25">
      <c r="A862">
        <v>106</v>
      </c>
      <c r="B862">
        <v>1</v>
      </c>
      <c r="C862">
        <v>134</v>
      </c>
      <c r="D862">
        <v>3</v>
      </c>
      <c r="E862">
        <v>1</v>
      </c>
      <c r="F862">
        <v>1</v>
      </c>
      <c r="G862" t="s">
        <v>8127</v>
      </c>
      <c r="H862" t="s">
        <v>8996</v>
      </c>
      <c r="I862" t="s">
        <v>4349</v>
      </c>
      <c r="J862" t="s">
        <v>9020</v>
      </c>
      <c r="K862" s="5">
        <v>45719</v>
      </c>
      <c r="L862" s="5" t="s">
        <v>4312</v>
      </c>
      <c r="M862" s="5" t="s">
        <v>4312</v>
      </c>
      <c r="N862">
        <v>1</v>
      </c>
      <c r="O862" t="s">
        <v>10991</v>
      </c>
    </row>
    <row r="863" spans="1:15" x14ac:dyDescent="0.25">
      <c r="A863">
        <v>729</v>
      </c>
      <c r="B863">
        <v>2</v>
      </c>
      <c r="C863">
        <v>245</v>
      </c>
      <c r="D863">
        <v>1</v>
      </c>
      <c r="E863">
        <v>1</v>
      </c>
      <c r="F863">
        <v>1</v>
      </c>
      <c r="G863" t="s">
        <v>8128</v>
      </c>
      <c r="H863" t="s">
        <v>8996</v>
      </c>
      <c r="I863" t="s">
        <v>4349</v>
      </c>
      <c r="J863" t="s">
        <v>9020</v>
      </c>
      <c r="K863" s="5">
        <v>45889</v>
      </c>
      <c r="L863" s="5" t="s">
        <v>4312</v>
      </c>
      <c r="M863" s="5">
        <v>46081</v>
      </c>
      <c r="N863">
        <v>1</v>
      </c>
      <c r="O863" t="s">
        <v>10992</v>
      </c>
    </row>
    <row r="864" spans="1:15" x14ac:dyDescent="0.25">
      <c r="A864">
        <v>730</v>
      </c>
      <c r="B864">
        <v>2</v>
      </c>
      <c r="C864">
        <v>173</v>
      </c>
      <c r="D864">
        <v>1</v>
      </c>
      <c r="E864">
        <v>1</v>
      </c>
      <c r="F864">
        <v>1</v>
      </c>
      <c r="G864" t="s">
        <v>8129</v>
      </c>
      <c r="H864" t="s">
        <v>8996</v>
      </c>
      <c r="I864" t="s">
        <v>4349</v>
      </c>
      <c r="J864" t="s">
        <v>9020</v>
      </c>
      <c r="K864" s="5">
        <v>45889</v>
      </c>
      <c r="L864" s="5" t="s">
        <v>4312</v>
      </c>
      <c r="M864" s="5">
        <v>46081</v>
      </c>
      <c r="N864">
        <v>1</v>
      </c>
      <c r="O864" t="s">
        <v>10993</v>
      </c>
    </row>
    <row r="865" spans="1:15" x14ac:dyDescent="0.25">
      <c r="A865">
        <v>731</v>
      </c>
      <c r="B865">
        <v>3</v>
      </c>
      <c r="C865">
        <v>156</v>
      </c>
      <c r="D865">
        <v>4</v>
      </c>
      <c r="E865">
        <v>34</v>
      </c>
      <c r="F865">
        <v>35</v>
      </c>
      <c r="G865" t="s">
        <v>8130</v>
      </c>
      <c r="H865" t="s">
        <v>8996</v>
      </c>
      <c r="I865" t="s">
        <v>4349</v>
      </c>
      <c r="J865" t="s">
        <v>9023</v>
      </c>
      <c r="K865" s="5">
        <v>45894</v>
      </c>
      <c r="L865" s="5" t="s">
        <v>4312</v>
      </c>
      <c r="M865" s="5">
        <v>46081</v>
      </c>
      <c r="N865">
        <v>1</v>
      </c>
      <c r="O865" t="s">
        <v>10994</v>
      </c>
    </row>
    <row r="866" spans="1:15" x14ac:dyDescent="0.25">
      <c r="A866">
        <v>732</v>
      </c>
      <c r="B866">
        <v>3</v>
      </c>
      <c r="C866">
        <v>163</v>
      </c>
      <c r="D866">
        <v>3</v>
      </c>
      <c r="E866">
        <v>34</v>
      </c>
      <c r="F866">
        <v>45</v>
      </c>
      <c r="G866">
        <v>50000531</v>
      </c>
      <c r="H866" t="s">
        <v>8996</v>
      </c>
      <c r="I866" t="s">
        <v>4349</v>
      </c>
      <c r="J866" t="s">
        <v>9021</v>
      </c>
      <c r="K866" s="5">
        <v>45894</v>
      </c>
      <c r="L866" s="5">
        <v>45944</v>
      </c>
      <c r="M866" s="5">
        <v>46081</v>
      </c>
      <c r="N866">
        <v>0</v>
      </c>
      <c r="O866" t="s">
        <v>10463</v>
      </c>
    </row>
    <row r="867" spans="1:15" x14ac:dyDescent="0.25">
      <c r="A867">
        <v>733</v>
      </c>
      <c r="B867">
        <v>3</v>
      </c>
      <c r="C867">
        <v>156</v>
      </c>
      <c r="D867">
        <v>4</v>
      </c>
      <c r="E867">
        <v>34</v>
      </c>
      <c r="F867">
        <v>35</v>
      </c>
      <c r="G867" t="s">
        <v>8131</v>
      </c>
      <c r="H867" t="s">
        <v>8996</v>
      </c>
      <c r="I867" t="s">
        <v>4349</v>
      </c>
      <c r="J867" t="s">
        <v>9023</v>
      </c>
      <c r="K867" s="5">
        <v>45894</v>
      </c>
      <c r="L867" s="5" t="s">
        <v>4312</v>
      </c>
      <c r="M867" s="5">
        <v>46081</v>
      </c>
      <c r="N867">
        <v>1</v>
      </c>
      <c r="O867" t="s">
        <v>10995</v>
      </c>
    </row>
    <row r="868" spans="1:15" x14ac:dyDescent="0.25">
      <c r="A868">
        <v>734</v>
      </c>
      <c r="B868">
        <v>3</v>
      </c>
      <c r="C868">
        <v>156</v>
      </c>
      <c r="D868">
        <v>4</v>
      </c>
      <c r="E868">
        <v>34</v>
      </c>
      <c r="F868">
        <v>35</v>
      </c>
      <c r="G868" t="s">
        <v>8132</v>
      </c>
      <c r="H868" t="s">
        <v>8996</v>
      </c>
      <c r="I868" t="s">
        <v>4349</v>
      </c>
      <c r="J868" t="s">
        <v>4340</v>
      </c>
      <c r="K868" s="5">
        <v>45894</v>
      </c>
      <c r="L868" s="5">
        <v>45894</v>
      </c>
      <c r="M868" s="5">
        <v>46081</v>
      </c>
      <c r="N868">
        <v>0</v>
      </c>
      <c r="O868" t="s">
        <v>10464</v>
      </c>
    </row>
    <row r="869" spans="1:15" x14ac:dyDescent="0.25">
      <c r="A869">
        <v>735</v>
      </c>
      <c r="B869">
        <v>2</v>
      </c>
      <c r="C869">
        <v>194</v>
      </c>
      <c r="D869">
        <v>1</v>
      </c>
      <c r="E869">
        <v>1</v>
      </c>
      <c r="F869">
        <v>1</v>
      </c>
      <c r="G869" t="s">
        <v>8133</v>
      </c>
      <c r="H869" t="s">
        <v>8996</v>
      </c>
      <c r="I869" t="s">
        <v>4349</v>
      </c>
      <c r="J869" t="s">
        <v>9020</v>
      </c>
      <c r="K869" s="5">
        <v>45894</v>
      </c>
      <c r="L869" s="5" t="s">
        <v>4312</v>
      </c>
      <c r="M869" s="5">
        <v>45991</v>
      </c>
      <c r="N869">
        <v>1</v>
      </c>
      <c r="O869" t="s">
        <v>10996</v>
      </c>
    </row>
    <row r="870" spans="1:15" x14ac:dyDescent="0.25">
      <c r="A870">
        <v>736</v>
      </c>
      <c r="B870">
        <v>2</v>
      </c>
      <c r="C870">
        <v>134</v>
      </c>
      <c r="D870">
        <v>4</v>
      </c>
      <c r="E870">
        <v>1</v>
      </c>
      <c r="F870">
        <v>1</v>
      </c>
      <c r="G870" t="s">
        <v>8134</v>
      </c>
      <c r="H870" t="s">
        <v>8996</v>
      </c>
      <c r="I870" t="s">
        <v>4349</v>
      </c>
      <c r="J870" t="s">
        <v>9020</v>
      </c>
      <c r="K870" s="5">
        <v>45770</v>
      </c>
      <c r="L870" s="5" t="s">
        <v>4312</v>
      </c>
      <c r="M870" s="5">
        <v>46142</v>
      </c>
      <c r="N870">
        <v>1</v>
      </c>
      <c r="O870" t="s">
        <v>10997</v>
      </c>
    </row>
    <row r="871" spans="1:15" x14ac:dyDescent="0.25">
      <c r="A871">
        <v>737</v>
      </c>
      <c r="B871">
        <v>2</v>
      </c>
      <c r="C871">
        <v>134</v>
      </c>
      <c r="D871">
        <v>1</v>
      </c>
      <c r="E871">
        <v>1</v>
      </c>
      <c r="F871">
        <v>1</v>
      </c>
      <c r="G871" t="s">
        <v>8135</v>
      </c>
      <c r="H871" t="s">
        <v>8996</v>
      </c>
      <c r="I871" t="s">
        <v>4349</v>
      </c>
      <c r="J871" t="s">
        <v>9020</v>
      </c>
      <c r="K871" s="5">
        <v>45791</v>
      </c>
      <c r="L871" s="5">
        <v>45991</v>
      </c>
      <c r="M871" s="5">
        <v>45991</v>
      </c>
      <c r="N871">
        <v>0</v>
      </c>
      <c r="O871" t="s">
        <v>10465</v>
      </c>
    </row>
    <row r="872" spans="1:15" x14ac:dyDescent="0.25">
      <c r="A872">
        <v>738</v>
      </c>
      <c r="B872">
        <v>2</v>
      </c>
      <c r="C872">
        <v>134</v>
      </c>
      <c r="D872">
        <v>2</v>
      </c>
      <c r="E872">
        <v>1</v>
      </c>
      <c r="F872">
        <v>1</v>
      </c>
      <c r="G872" t="s">
        <v>8136</v>
      </c>
      <c r="H872" t="s">
        <v>8996</v>
      </c>
      <c r="I872" t="s">
        <v>4349</v>
      </c>
      <c r="J872" t="s">
        <v>9020</v>
      </c>
      <c r="K872" s="5">
        <v>45887</v>
      </c>
      <c r="L872" s="5" t="s">
        <v>4312</v>
      </c>
      <c r="M872" s="5">
        <v>45991</v>
      </c>
      <c r="N872">
        <v>1</v>
      </c>
      <c r="O872" t="s">
        <v>10998</v>
      </c>
    </row>
    <row r="873" spans="1:15" x14ac:dyDescent="0.25">
      <c r="A873">
        <v>739</v>
      </c>
      <c r="B873">
        <v>4</v>
      </c>
      <c r="C873">
        <v>159</v>
      </c>
      <c r="D873">
        <v>1</v>
      </c>
      <c r="E873">
        <v>38</v>
      </c>
      <c r="F873">
        <v>49</v>
      </c>
      <c r="G873" t="s">
        <v>8137</v>
      </c>
      <c r="H873" t="s">
        <v>8996</v>
      </c>
      <c r="I873" t="s">
        <v>4349</v>
      </c>
      <c r="J873" t="s">
        <v>4340</v>
      </c>
      <c r="K873" s="5">
        <v>45901</v>
      </c>
      <c r="L873" s="5">
        <v>45905</v>
      </c>
      <c r="M873" s="5" t="s">
        <v>4312</v>
      </c>
      <c r="N873">
        <v>0</v>
      </c>
      <c r="O873" t="s">
        <v>10999</v>
      </c>
    </row>
    <row r="874" spans="1:15" x14ac:dyDescent="0.25">
      <c r="A874">
        <v>740</v>
      </c>
      <c r="B874">
        <v>3</v>
      </c>
      <c r="C874">
        <v>163</v>
      </c>
      <c r="D874">
        <v>3</v>
      </c>
      <c r="E874">
        <v>34</v>
      </c>
      <c r="F874">
        <v>45</v>
      </c>
      <c r="G874" t="s">
        <v>8138</v>
      </c>
      <c r="H874" t="s">
        <v>8996</v>
      </c>
      <c r="I874" t="s">
        <v>4349</v>
      </c>
      <c r="J874" t="s">
        <v>9021</v>
      </c>
      <c r="K874" s="5">
        <v>45901</v>
      </c>
      <c r="L874" s="5" t="s">
        <v>4312</v>
      </c>
      <c r="M874" s="5">
        <v>46081</v>
      </c>
      <c r="N874">
        <v>1</v>
      </c>
      <c r="O874" t="s">
        <v>11000</v>
      </c>
    </row>
    <row r="875" spans="1:15" x14ac:dyDescent="0.25">
      <c r="A875">
        <v>741</v>
      </c>
      <c r="B875">
        <v>4</v>
      </c>
      <c r="C875">
        <v>246</v>
      </c>
      <c r="D875">
        <v>1</v>
      </c>
      <c r="E875">
        <v>1</v>
      </c>
      <c r="F875">
        <v>1</v>
      </c>
      <c r="G875">
        <v>60000121</v>
      </c>
      <c r="H875" t="s">
        <v>8996</v>
      </c>
      <c r="I875" t="s">
        <v>4349</v>
      </c>
      <c r="J875" t="s">
        <v>9020</v>
      </c>
      <c r="K875" s="5">
        <v>45901</v>
      </c>
      <c r="L875" s="5" t="s">
        <v>4312</v>
      </c>
      <c r="M875" s="5" t="s">
        <v>4312</v>
      </c>
      <c r="N875">
        <v>1</v>
      </c>
      <c r="O875" t="s">
        <v>11001</v>
      </c>
    </row>
    <row r="876" spans="1:15" x14ac:dyDescent="0.25">
      <c r="A876">
        <v>742</v>
      </c>
      <c r="B876">
        <v>4</v>
      </c>
      <c r="C876">
        <v>145</v>
      </c>
      <c r="D876">
        <v>1</v>
      </c>
      <c r="E876">
        <v>1</v>
      </c>
      <c r="F876">
        <v>1</v>
      </c>
      <c r="G876" t="s">
        <v>8139</v>
      </c>
      <c r="H876" t="s">
        <v>8996</v>
      </c>
      <c r="I876" t="s">
        <v>4349</v>
      </c>
      <c r="J876" t="s">
        <v>9020</v>
      </c>
      <c r="K876" s="5">
        <v>45901</v>
      </c>
      <c r="L876" s="5" t="s">
        <v>4312</v>
      </c>
      <c r="M876" s="5" t="s">
        <v>4312</v>
      </c>
      <c r="N876">
        <v>1</v>
      </c>
      <c r="O876" t="s">
        <v>11002</v>
      </c>
    </row>
    <row r="877" spans="1:15" x14ac:dyDescent="0.25">
      <c r="A877">
        <v>534</v>
      </c>
      <c r="B877">
        <v>2</v>
      </c>
      <c r="C877">
        <v>190</v>
      </c>
      <c r="D877">
        <v>2</v>
      </c>
      <c r="E877">
        <v>1</v>
      </c>
      <c r="F877">
        <v>1</v>
      </c>
      <c r="G877" t="s">
        <v>7910</v>
      </c>
      <c r="H877" t="s">
        <v>8996</v>
      </c>
      <c r="I877" t="s">
        <v>4349</v>
      </c>
      <c r="J877" t="s">
        <v>9020</v>
      </c>
      <c r="K877" s="5">
        <v>45901</v>
      </c>
      <c r="L877" s="5" t="s">
        <v>4312</v>
      </c>
      <c r="M877" s="5">
        <v>45991</v>
      </c>
      <c r="N877">
        <v>1</v>
      </c>
      <c r="O877" t="s">
        <v>11003</v>
      </c>
    </row>
    <row r="878" spans="1:15" x14ac:dyDescent="0.25">
      <c r="A878">
        <v>743</v>
      </c>
      <c r="B878">
        <v>4</v>
      </c>
      <c r="C878">
        <v>160</v>
      </c>
      <c r="D878">
        <v>1</v>
      </c>
      <c r="E878">
        <v>38</v>
      </c>
      <c r="F878">
        <v>49</v>
      </c>
      <c r="G878" t="s">
        <v>8140</v>
      </c>
      <c r="H878" t="s">
        <v>8996</v>
      </c>
      <c r="I878" t="s">
        <v>4349</v>
      </c>
      <c r="J878" t="s">
        <v>9020</v>
      </c>
      <c r="K878" s="5">
        <v>45903</v>
      </c>
      <c r="L878" s="5" t="s">
        <v>4312</v>
      </c>
      <c r="M878" s="5" t="s">
        <v>4312</v>
      </c>
      <c r="N878">
        <v>1</v>
      </c>
      <c r="O878" t="s">
        <v>11004</v>
      </c>
    </row>
    <row r="879" spans="1:15" x14ac:dyDescent="0.25">
      <c r="A879">
        <v>744</v>
      </c>
      <c r="B879">
        <v>4</v>
      </c>
      <c r="C879">
        <v>161</v>
      </c>
      <c r="D879">
        <v>1</v>
      </c>
      <c r="E879">
        <v>38</v>
      </c>
      <c r="F879">
        <v>49</v>
      </c>
      <c r="G879" t="s">
        <v>8141</v>
      </c>
      <c r="H879" t="s">
        <v>8996</v>
      </c>
      <c r="I879" t="s">
        <v>4349</v>
      </c>
      <c r="J879" t="s">
        <v>9020</v>
      </c>
      <c r="K879" s="5">
        <v>45903</v>
      </c>
      <c r="L879" s="5" t="s">
        <v>4312</v>
      </c>
      <c r="M879" s="5" t="s">
        <v>4312</v>
      </c>
      <c r="N879">
        <v>1</v>
      </c>
      <c r="O879" t="s">
        <v>11005</v>
      </c>
    </row>
    <row r="880" spans="1:15" x14ac:dyDescent="0.25">
      <c r="A880">
        <v>745</v>
      </c>
      <c r="B880">
        <v>3</v>
      </c>
      <c r="C880">
        <v>163</v>
      </c>
      <c r="D880">
        <v>1</v>
      </c>
      <c r="E880">
        <v>10</v>
      </c>
      <c r="F880">
        <v>14</v>
      </c>
      <c r="G880" t="s">
        <v>8142</v>
      </c>
      <c r="H880" t="s">
        <v>8996</v>
      </c>
      <c r="I880" t="s">
        <v>4349</v>
      </c>
      <c r="J880" t="s">
        <v>9024</v>
      </c>
      <c r="K880" s="5">
        <v>45908</v>
      </c>
      <c r="L880" s="5" t="s">
        <v>4312</v>
      </c>
      <c r="M880" s="5">
        <v>46022</v>
      </c>
      <c r="N880">
        <v>1</v>
      </c>
      <c r="O880" t="s">
        <v>11006</v>
      </c>
    </row>
    <row r="881" spans="1:15" x14ac:dyDescent="0.25">
      <c r="A881">
        <v>746</v>
      </c>
      <c r="B881">
        <v>3</v>
      </c>
      <c r="C881">
        <v>156</v>
      </c>
      <c r="D881">
        <v>4</v>
      </c>
      <c r="E881">
        <v>34</v>
      </c>
      <c r="F881">
        <v>35</v>
      </c>
      <c r="G881" t="s">
        <v>8143</v>
      </c>
      <c r="H881" t="s">
        <v>8996</v>
      </c>
      <c r="I881" t="s">
        <v>4349</v>
      </c>
      <c r="J881" t="s">
        <v>9023</v>
      </c>
      <c r="K881" s="5">
        <v>45908</v>
      </c>
      <c r="L881" s="5" t="s">
        <v>4312</v>
      </c>
      <c r="M881" s="5">
        <v>46022</v>
      </c>
      <c r="N881">
        <v>1</v>
      </c>
      <c r="O881" t="s">
        <v>11007</v>
      </c>
    </row>
    <row r="882" spans="1:15" x14ac:dyDescent="0.25">
      <c r="A882">
        <v>747</v>
      </c>
      <c r="B882">
        <v>2</v>
      </c>
      <c r="C882">
        <v>167</v>
      </c>
      <c r="D882">
        <v>1</v>
      </c>
      <c r="E882">
        <v>38</v>
      </c>
      <c r="F882">
        <v>49</v>
      </c>
      <c r="G882" t="s">
        <v>8144</v>
      </c>
      <c r="H882" t="s">
        <v>8996</v>
      </c>
      <c r="I882" t="s">
        <v>4349</v>
      </c>
      <c r="J882" t="s">
        <v>9020</v>
      </c>
      <c r="K882" s="5">
        <v>45910</v>
      </c>
      <c r="L882" s="5" t="s">
        <v>4312</v>
      </c>
      <c r="M882" s="5">
        <v>46112</v>
      </c>
      <c r="N882">
        <v>1</v>
      </c>
      <c r="O882" t="s">
        <v>11008</v>
      </c>
    </row>
    <row r="883" spans="1:15" x14ac:dyDescent="0.25">
      <c r="A883">
        <v>24</v>
      </c>
      <c r="B883">
        <v>1</v>
      </c>
      <c r="C883">
        <v>134</v>
      </c>
      <c r="D883">
        <v>1</v>
      </c>
      <c r="E883">
        <v>1</v>
      </c>
      <c r="F883">
        <v>1</v>
      </c>
      <c r="G883" t="s">
        <v>7542</v>
      </c>
      <c r="H883" t="s">
        <v>8996</v>
      </c>
      <c r="I883" t="s">
        <v>4349</v>
      </c>
      <c r="J883" t="s">
        <v>9020</v>
      </c>
      <c r="K883" s="5">
        <v>45901</v>
      </c>
      <c r="L883" s="5" t="s">
        <v>4312</v>
      </c>
      <c r="M883" s="5" t="s">
        <v>4312</v>
      </c>
      <c r="N883">
        <v>1</v>
      </c>
      <c r="O883" t="s">
        <v>11009</v>
      </c>
    </row>
    <row r="884" spans="1:15" x14ac:dyDescent="0.25">
      <c r="A884">
        <v>748</v>
      </c>
      <c r="B884">
        <v>2</v>
      </c>
      <c r="C884">
        <v>256</v>
      </c>
      <c r="D884">
        <v>1</v>
      </c>
      <c r="E884">
        <v>1</v>
      </c>
      <c r="F884">
        <v>1</v>
      </c>
      <c r="G884" t="s">
        <v>8145</v>
      </c>
      <c r="H884" t="s">
        <v>8996</v>
      </c>
      <c r="I884" t="s">
        <v>4349</v>
      </c>
      <c r="J884" t="s">
        <v>9020</v>
      </c>
      <c r="K884" s="5">
        <v>45916</v>
      </c>
      <c r="L884" s="5" t="s">
        <v>4312</v>
      </c>
      <c r="M884" s="5">
        <v>46022</v>
      </c>
      <c r="N884">
        <v>1</v>
      </c>
      <c r="O884" t="s">
        <v>11010</v>
      </c>
    </row>
    <row r="885" spans="1:15" x14ac:dyDescent="0.25">
      <c r="A885">
        <v>749</v>
      </c>
      <c r="B885">
        <v>4</v>
      </c>
      <c r="C885">
        <v>121</v>
      </c>
      <c r="D885">
        <v>1</v>
      </c>
      <c r="E885">
        <v>38</v>
      </c>
      <c r="F885">
        <v>49</v>
      </c>
      <c r="G885" t="s">
        <v>8146</v>
      </c>
      <c r="H885" t="s">
        <v>8996</v>
      </c>
      <c r="I885" t="s">
        <v>4349</v>
      </c>
      <c r="J885" t="s">
        <v>9020</v>
      </c>
      <c r="K885" s="5">
        <v>45917</v>
      </c>
      <c r="L885" s="5">
        <v>45968</v>
      </c>
      <c r="M885" s="5" t="s">
        <v>4312</v>
      </c>
      <c r="N885">
        <v>0</v>
      </c>
      <c r="O885" t="s">
        <v>11011</v>
      </c>
    </row>
    <row r="886" spans="1:15" x14ac:dyDescent="0.25">
      <c r="A886">
        <v>750</v>
      </c>
      <c r="B886">
        <v>2</v>
      </c>
      <c r="C886">
        <v>5</v>
      </c>
      <c r="D886">
        <v>1</v>
      </c>
      <c r="E886">
        <v>1</v>
      </c>
      <c r="F886">
        <v>1</v>
      </c>
      <c r="G886" t="s">
        <v>8147</v>
      </c>
      <c r="H886" t="s">
        <v>8995</v>
      </c>
      <c r="I886" t="s">
        <v>4349</v>
      </c>
      <c r="J886" t="s">
        <v>9020</v>
      </c>
      <c r="K886" s="5">
        <v>45917</v>
      </c>
      <c r="L886" s="5" t="s">
        <v>4312</v>
      </c>
      <c r="M886" s="5">
        <v>46022</v>
      </c>
      <c r="N886">
        <v>1</v>
      </c>
      <c r="O886" t="s">
        <v>11012</v>
      </c>
    </row>
    <row r="887" spans="1:15" x14ac:dyDescent="0.25">
      <c r="A887">
        <v>751</v>
      </c>
      <c r="B887">
        <v>4</v>
      </c>
      <c r="C887">
        <v>161</v>
      </c>
      <c r="D887">
        <v>2</v>
      </c>
      <c r="E887">
        <v>38</v>
      </c>
      <c r="F887">
        <v>49</v>
      </c>
      <c r="G887" t="s">
        <v>8148</v>
      </c>
      <c r="H887" t="s">
        <v>8996</v>
      </c>
      <c r="I887" t="s">
        <v>4349</v>
      </c>
      <c r="J887" t="s">
        <v>9020</v>
      </c>
      <c r="K887" s="5">
        <v>45918</v>
      </c>
      <c r="L887" s="5" t="s">
        <v>4312</v>
      </c>
      <c r="M887" s="5" t="s">
        <v>4312</v>
      </c>
      <c r="N887">
        <v>1</v>
      </c>
      <c r="O887" t="s">
        <v>11013</v>
      </c>
    </row>
    <row r="888" spans="1:15" x14ac:dyDescent="0.25">
      <c r="A888">
        <v>752</v>
      </c>
      <c r="B888">
        <v>2</v>
      </c>
      <c r="C888">
        <v>111</v>
      </c>
      <c r="D888">
        <v>1</v>
      </c>
      <c r="E888">
        <v>1</v>
      </c>
      <c r="F888">
        <v>1</v>
      </c>
      <c r="G888" t="s">
        <v>8149</v>
      </c>
      <c r="H888" t="s">
        <v>8996</v>
      </c>
      <c r="I888" t="s">
        <v>4349</v>
      </c>
      <c r="J888" t="s">
        <v>9020</v>
      </c>
      <c r="K888" s="5">
        <v>45918</v>
      </c>
      <c r="L888" s="5" t="s">
        <v>4312</v>
      </c>
      <c r="M888" s="5">
        <v>46112</v>
      </c>
      <c r="N888">
        <v>1</v>
      </c>
      <c r="O888" t="s">
        <v>11014</v>
      </c>
    </row>
    <row r="889" spans="1:15" x14ac:dyDescent="0.25">
      <c r="A889">
        <v>753</v>
      </c>
      <c r="B889">
        <v>3</v>
      </c>
      <c r="C889">
        <v>163</v>
      </c>
      <c r="D889">
        <v>1</v>
      </c>
      <c r="E889">
        <v>2</v>
      </c>
      <c r="F889">
        <v>2</v>
      </c>
      <c r="G889" t="s">
        <v>8150</v>
      </c>
      <c r="H889" t="s">
        <v>8996</v>
      </c>
      <c r="I889" t="s">
        <v>4349</v>
      </c>
      <c r="J889" t="s">
        <v>9029</v>
      </c>
      <c r="K889" s="5">
        <v>45922</v>
      </c>
      <c r="L889" s="5" t="s">
        <v>4312</v>
      </c>
      <c r="M889" s="5">
        <v>46022</v>
      </c>
      <c r="N889">
        <v>1</v>
      </c>
      <c r="O889" t="s">
        <v>11015</v>
      </c>
    </row>
    <row r="890" spans="1:15" x14ac:dyDescent="0.25">
      <c r="A890">
        <v>754</v>
      </c>
      <c r="B890">
        <v>2</v>
      </c>
      <c r="C890">
        <v>168</v>
      </c>
      <c r="D890">
        <v>2</v>
      </c>
      <c r="E890">
        <v>38</v>
      </c>
      <c r="F890">
        <v>49</v>
      </c>
      <c r="G890" t="s">
        <v>8151</v>
      </c>
      <c r="H890" t="s">
        <v>8996</v>
      </c>
      <c r="I890" t="s">
        <v>4349</v>
      </c>
      <c r="J890" t="s">
        <v>9020</v>
      </c>
      <c r="K890" s="5">
        <v>45922</v>
      </c>
      <c r="L890" s="5" t="s">
        <v>4312</v>
      </c>
      <c r="M890" s="5">
        <v>46022</v>
      </c>
      <c r="N890">
        <v>1</v>
      </c>
      <c r="O890" t="s">
        <v>11016</v>
      </c>
    </row>
    <row r="891" spans="1:15" x14ac:dyDescent="0.25">
      <c r="A891">
        <v>755</v>
      </c>
      <c r="B891">
        <v>2</v>
      </c>
      <c r="C891">
        <v>5</v>
      </c>
      <c r="D891">
        <v>1</v>
      </c>
      <c r="E891">
        <v>1</v>
      </c>
      <c r="F891">
        <v>1</v>
      </c>
      <c r="G891" t="s">
        <v>8152</v>
      </c>
      <c r="H891" t="s">
        <v>8995</v>
      </c>
      <c r="I891" t="s">
        <v>4349</v>
      </c>
      <c r="J891" t="s">
        <v>9020</v>
      </c>
      <c r="K891" s="5">
        <v>45922</v>
      </c>
      <c r="L891" s="5">
        <v>45968</v>
      </c>
      <c r="M891" s="5">
        <v>46112</v>
      </c>
      <c r="N891">
        <v>0</v>
      </c>
      <c r="O891" t="s">
        <v>10466</v>
      </c>
    </row>
    <row r="892" spans="1:15" x14ac:dyDescent="0.25">
      <c r="A892">
        <v>756</v>
      </c>
      <c r="B892">
        <v>2</v>
      </c>
      <c r="C892">
        <v>5</v>
      </c>
      <c r="D892">
        <v>1</v>
      </c>
      <c r="E892">
        <v>1</v>
      </c>
      <c r="F892">
        <v>1</v>
      </c>
      <c r="G892" t="s">
        <v>8153</v>
      </c>
      <c r="H892" t="s">
        <v>8995</v>
      </c>
      <c r="I892" t="s">
        <v>4349</v>
      </c>
      <c r="J892" t="s">
        <v>9020</v>
      </c>
      <c r="K892" s="5">
        <v>45924</v>
      </c>
      <c r="L892" s="5" t="s">
        <v>4312</v>
      </c>
      <c r="M892" s="5">
        <v>46112</v>
      </c>
      <c r="N892">
        <v>1</v>
      </c>
      <c r="O892" t="s">
        <v>11017</v>
      </c>
    </row>
    <row r="893" spans="1:15" x14ac:dyDescent="0.25">
      <c r="A893">
        <v>757</v>
      </c>
      <c r="B893">
        <v>3</v>
      </c>
      <c r="C893">
        <v>155</v>
      </c>
      <c r="D893">
        <v>2</v>
      </c>
      <c r="E893">
        <v>34</v>
      </c>
      <c r="F893">
        <v>40</v>
      </c>
      <c r="G893" t="s">
        <v>8154</v>
      </c>
      <c r="H893" t="s">
        <v>8996</v>
      </c>
      <c r="I893" t="s">
        <v>4349</v>
      </c>
      <c r="J893" t="s">
        <v>9027</v>
      </c>
      <c r="K893" s="5">
        <v>45931</v>
      </c>
      <c r="L893" s="5" t="s">
        <v>4312</v>
      </c>
      <c r="M893" s="5">
        <v>46022</v>
      </c>
      <c r="N893">
        <v>1</v>
      </c>
      <c r="O893" t="s">
        <v>11018</v>
      </c>
    </row>
    <row r="894" spans="1:15" x14ac:dyDescent="0.25">
      <c r="A894">
        <v>758</v>
      </c>
      <c r="B894">
        <v>2</v>
      </c>
      <c r="C894">
        <v>91</v>
      </c>
      <c r="D894">
        <v>1</v>
      </c>
      <c r="E894">
        <v>1</v>
      </c>
      <c r="F894">
        <v>1</v>
      </c>
      <c r="G894" t="s">
        <v>8155</v>
      </c>
      <c r="H894" t="s">
        <v>8996</v>
      </c>
      <c r="I894" t="s">
        <v>4349</v>
      </c>
      <c r="J894" t="s">
        <v>9020</v>
      </c>
      <c r="K894" s="5">
        <v>45931</v>
      </c>
      <c r="L894" s="5" t="s">
        <v>4312</v>
      </c>
      <c r="M894" s="5">
        <v>46112</v>
      </c>
      <c r="N894">
        <v>1</v>
      </c>
      <c r="O894" t="s">
        <v>11019</v>
      </c>
    </row>
    <row r="895" spans="1:15" x14ac:dyDescent="0.25">
      <c r="A895">
        <v>759</v>
      </c>
      <c r="B895">
        <v>2</v>
      </c>
      <c r="C895">
        <v>223</v>
      </c>
      <c r="D895">
        <v>1</v>
      </c>
      <c r="E895">
        <v>1</v>
      </c>
      <c r="F895">
        <v>1</v>
      </c>
      <c r="G895" t="s">
        <v>8156</v>
      </c>
      <c r="H895" t="s">
        <v>8996</v>
      </c>
      <c r="I895" t="s">
        <v>4349</v>
      </c>
      <c r="J895" t="s">
        <v>9020</v>
      </c>
      <c r="K895" s="5">
        <v>45931</v>
      </c>
      <c r="L895" s="5" t="s">
        <v>4312</v>
      </c>
      <c r="M895" s="5">
        <v>46112</v>
      </c>
      <c r="N895">
        <v>1</v>
      </c>
      <c r="O895" t="s">
        <v>11020</v>
      </c>
    </row>
    <row r="896" spans="1:15" x14ac:dyDescent="0.25">
      <c r="A896">
        <v>598</v>
      </c>
      <c r="B896">
        <v>2</v>
      </c>
      <c r="C896">
        <v>161</v>
      </c>
      <c r="D896">
        <v>2</v>
      </c>
      <c r="E896">
        <v>38</v>
      </c>
      <c r="F896">
        <v>49</v>
      </c>
      <c r="G896" t="s">
        <v>8157</v>
      </c>
      <c r="H896" t="s">
        <v>8996</v>
      </c>
      <c r="I896" t="s">
        <v>4349</v>
      </c>
      <c r="J896" t="s">
        <v>9020</v>
      </c>
      <c r="K896" s="5">
        <v>45931</v>
      </c>
      <c r="L896" s="5" t="s">
        <v>4312</v>
      </c>
      <c r="M896" s="5">
        <v>46022</v>
      </c>
      <c r="N896">
        <v>1</v>
      </c>
      <c r="O896" t="s">
        <v>11021</v>
      </c>
    </row>
    <row r="897" spans="1:15" x14ac:dyDescent="0.25">
      <c r="A897">
        <v>613</v>
      </c>
      <c r="B897">
        <v>2</v>
      </c>
      <c r="C897">
        <v>59</v>
      </c>
      <c r="D897">
        <v>2</v>
      </c>
      <c r="E897">
        <v>38</v>
      </c>
      <c r="F897">
        <v>49</v>
      </c>
      <c r="G897" t="s">
        <v>8158</v>
      </c>
      <c r="H897" t="s">
        <v>8996</v>
      </c>
      <c r="I897" t="s">
        <v>4349</v>
      </c>
      <c r="J897" t="s">
        <v>9020</v>
      </c>
      <c r="K897" s="5">
        <v>45931</v>
      </c>
      <c r="L897" s="5" t="s">
        <v>4312</v>
      </c>
      <c r="M897" s="5">
        <v>46022</v>
      </c>
      <c r="N897">
        <v>1</v>
      </c>
      <c r="O897" t="s">
        <v>11022</v>
      </c>
    </row>
    <row r="898" spans="1:15" x14ac:dyDescent="0.25">
      <c r="A898">
        <v>760</v>
      </c>
      <c r="B898">
        <v>3</v>
      </c>
      <c r="C898">
        <v>156</v>
      </c>
      <c r="D898">
        <v>3</v>
      </c>
      <c r="E898">
        <v>34</v>
      </c>
      <c r="F898">
        <v>45</v>
      </c>
      <c r="G898" t="s">
        <v>8159</v>
      </c>
      <c r="H898" t="s">
        <v>8996</v>
      </c>
      <c r="I898" t="s">
        <v>4349</v>
      </c>
      <c r="J898" t="s">
        <v>9021</v>
      </c>
      <c r="K898" s="5">
        <v>45936</v>
      </c>
      <c r="L898" s="5" t="s">
        <v>4312</v>
      </c>
      <c r="M898" s="5">
        <v>46142</v>
      </c>
      <c r="N898">
        <v>1</v>
      </c>
      <c r="O898" t="s">
        <v>11023</v>
      </c>
    </row>
    <row r="899" spans="1:15" x14ac:dyDescent="0.25">
      <c r="A899">
        <v>761</v>
      </c>
      <c r="B899">
        <v>2</v>
      </c>
      <c r="C899">
        <v>186</v>
      </c>
      <c r="D899">
        <v>1</v>
      </c>
      <c r="E899">
        <v>1</v>
      </c>
      <c r="F899">
        <v>1</v>
      </c>
      <c r="G899" t="s">
        <v>8160</v>
      </c>
      <c r="H899" t="s">
        <v>8996</v>
      </c>
      <c r="I899" t="s">
        <v>4349</v>
      </c>
      <c r="J899" t="s">
        <v>9020</v>
      </c>
      <c r="K899" s="5">
        <v>45939</v>
      </c>
      <c r="L899" s="5" t="s">
        <v>4312</v>
      </c>
      <c r="M899" s="5">
        <v>46053</v>
      </c>
      <c r="N899">
        <v>1</v>
      </c>
      <c r="O899" t="s">
        <v>11024</v>
      </c>
    </row>
    <row r="900" spans="1:15" x14ac:dyDescent="0.25">
      <c r="A900">
        <v>762</v>
      </c>
      <c r="B900">
        <v>2</v>
      </c>
      <c r="C900">
        <v>5</v>
      </c>
      <c r="D900">
        <v>1</v>
      </c>
      <c r="E900">
        <v>1</v>
      </c>
      <c r="F900">
        <v>1</v>
      </c>
      <c r="G900" t="s">
        <v>8161</v>
      </c>
      <c r="H900" t="s">
        <v>8995</v>
      </c>
      <c r="I900" t="s">
        <v>4349</v>
      </c>
      <c r="J900" t="s">
        <v>9020</v>
      </c>
      <c r="K900" s="5">
        <v>45939</v>
      </c>
      <c r="L900" s="5">
        <v>45939</v>
      </c>
      <c r="M900" s="5">
        <v>46142</v>
      </c>
      <c r="N900">
        <v>0</v>
      </c>
      <c r="O900" t="s">
        <v>10467</v>
      </c>
    </row>
    <row r="901" spans="1:15" x14ac:dyDescent="0.25">
      <c r="A901">
        <v>763</v>
      </c>
      <c r="B901">
        <v>1</v>
      </c>
      <c r="C901">
        <v>135</v>
      </c>
      <c r="D901">
        <v>1</v>
      </c>
      <c r="E901">
        <v>1</v>
      </c>
      <c r="F901">
        <v>1</v>
      </c>
      <c r="G901" t="s">
        <v>8162</v>
      </c>
      <c r="H901" t="s">
        <v>8996</v>
      </c>
      <c r="I901" t="s">
        <v>4349</v>
      </c>
      <c r="J901" t="s">
        <v>9020</v>
      </c>
      <c r="K901" s="5">
        <v>41141</v>
      </c>
      <c r="L901" s="5" t="s">
        <v>4312</v>
      </c>
      <c r="M901" s="5" t="s">
        <v>4312</v>
      </c>
      <c r="N901">
        <v>1</v>
      </c>
      <c r="O901" t="s">
        <v>11025</v>
      </c>
    </row>
    <row r="902" spans="1:15" x14ac:dyDescent="0.25">
      <c r="A902">
        <v>764</v>
      </c>
      <c r="B902">
        <v>12</v>
      </c>
      <c r="C902">
        <v>190</v>
      </c>
      <c r="D902">
        <v>2</v>
      </c>
      <c r="E902">
        <v>1</v>
      </c>
      <c r="F902">
        <v>1</v>
      </c>
      <c r="G902" t="s">
        <v>8163</v>
      </c>
      <c r="H902" t="s">
        <v>8996</v>
      </c>
      <c r="I902" t="s">
        <v>4349</v>
      </c>
      <c r="J902" t="s">
        <v>9020</v>
      </c>
      <c r="K902" s="5">
        <v>45943</v>
      </c>
      <c r="L902" s="5" t="s">
        <v>4312</v>
      </c>
      <c r="M902" s="5">
        <v>46053</v>
      </c>
      <c r="N902">
        <v>1</v>
      </c>
      <c r="O902" t="s">
        <v>11026</v>
      </c>
    </row>
    <row r="903" spans="1:15" x14ac:dyDescent="0.25">
      <c r="A903">
        <v>765</v>
      </c>
      <c r="B903">
        <v>4</v>
      </c>
      <c r="C903">
        <v>161</v>
      </c>
      <c r="D903">
        <v>1</v>
      </c>
      <c r="E903">
        <v>38</v>
      </c>
      <c r="F903">
        <v>49</v>
      </c>
      <c r="G903" t="s">
        <v>8164</v>
      </c>
      <c r="H903" t="s">
        <v>8996</v>
      </c>
      <c r="I903" t="s">
        <v>4349</v>
      </c>
      <c r="J903" t="s">
        <v>9020</v>
      </c>
      <c r="K903" s="5">
        <v>45946</v>
      </c>
      <c r="L903" s="5" t="s">
        <v>4312</v>
      </c>
      <c r="M903" s="5" t="s">
        <v>4312</v>
      </c>
      <c r="N903">
        <v>1</v>
      </c>
      <c r="O903" t="s">
        <v>11027</v>
      </c>
    </row>
    <row r="904" spans="1:15" x14ac:dyDescent="0.25">
      <c r="A904">
        <v>766</v>
      </c>
      <c r="B904">
        <v>2</v>
      </c>
      <c r="C904">
        <v>168</v>
      </c>
      <c r="D904">
        <v>2</v>
      </c>
      <c r="E904">
        <v>38</v>
      </c>
      <c r="F904">
        <v>49</v>
      </c>
      <c r="G904" t="s">
        <v>8165</v>
      </c>
      <c r="H904" t="s">
        <v>8996</v>
      </c>
      <c r="I904" t="s">
        <v>4349</v>
      </c>
      <c r="J904" t="s">
        <v>9020</v>
      </c>
      <c r="K904" s="5">
        <v>45946</v>
      </c>
      <c r="L904" s="5" t="s">
        <v>4312</v>
      </c>
      <c r="M904" s="5">
        <v>46053</v>
      </c>
      <c r="N904">
        <v>1</v>
      </c>
      <c r="O904" t="s">
        <v>11028</v>
      </c>
    </row>
    <row r="905" spans="1:15" x14ac:dyDescent="0.25">
      <c r="A905">
        <v>767</v>
      </c>
      <c r="B905">
        <v>3</v>
      </c>
      <c r="C905">
        <v>156</v>
      </c>
      <c r="D905">
        <v>1</v>
      </c>
      <c r="E905">
        <v>10</v>
      </c>
      <c r="F905">
        <v>14</v>
      </c>
      <c r="G905" t="s">
        <v>8166</v>
      </c>
      <c r="H905" t="s">
        <v>8996</v>
      </c>
      <c r="I905" t="s">
        <v>4349</v>
      </c>
      <c r="J905" t="s">
        <v>9024</v>
      </c>
      <c r="K905" s="5">
        <v>45947</v>
      </c>
      <c r="L905" s="5" t="s">
        <v>4312</v>
      </c>
      <c r="M905" s="5">
        <v>46053</v>
      </c>
      <c r="N905">
        <v>1</v>
      </c>
      <c r="O905" t="s">
        <v>11029</v>
      </c>
    </row>
    <row r="906" spans="1:15" x14ac:dyDescent="0.25">
      <c r="A906">
        <v>768</v>
      </c>
      <c r="B906">
        <v>2</v>
      </c>
      <c r="C906">
        <v>166</v>
      </c>
      <c r="D906">
        <v>1</v>
      </c>
      <c r="E906">
        <v>38</v>
      </c>
      <c r="F906">
        <v>49</v>
      </c>
      <c r="G906" t="s">
        <v>8167</v>
      </c>
      <c r="H906" t="s">
        <v>8996</v>
      </c>
      <c r="I906" t="s">
        <v>4349</v>
      </c>
      <c r="J906" t="s">
        <v>9020</v>
      </c>
      <c r="K906" s="5">
        <v>45950</v>
      </c>
      <c r="L906" s="5" t="s">
        <v>4312</v>
      </c>
      <c r="M906" s="5">
        <v>46053</v>
      </c>
      <c r="N906">
        <v>1</v>
      </c>
      <c r="O906" t="s">
        <v>11030</v>
      </c>
    </row>
    <row r="907" spans="1:15" x14ac:dyDescent="0.25">
      <c r="A907">
        <v>769</v>
      </c>
      <c r="B907">
        <v>2</v>
      </c>
      <c r="C907">
        <v>215</v>
      </c>
      <c r="D907">
        <v>1</v>
      </c>
      <c r="E907">
        <v>1</v>
      </c>
      <c r="F907">
        <v>1</v>
      </c>
      <c r="G907" t="s">
        <v>8168</v>
      </c>
      <c r="H907" t="s">
        <v>8996</v>
      </c>
      <c r="I907" t="s">
        <v>4349</v>
      </c>
      <c r="J907" t="s">
        <v>9020</v>
      </c>
      <c r="K907" s="5">
        <v>45952</v>
      </c>
      <c r="L907" s="5" t="s">
        <v>4312</v>
      </c>
      <c r="M907" s="5">
        <v>46053</v>
      </c>
      <c r="N907">
        <v>1</v>
      </c>
      <c r="O907" t="s">
        <v>11031</v>
      </c>
    </row>
    <row r="908" spans="1:15" x14ac:dyDescent="0.25">
      <c r="A908">
        <v>770</v>
      </c>
      <c r="B908">
        <v>2</v>
      </c>
      <c r="C908">
        <v>5</v>
      </c>
      <c r="D908">
        <v>1</v>
      </c>
      <c r="E908">
        <v>1</v>
      </c>
      <c r="F908">
        <v>1</v>
      </c>
      <c r="G908" t="s">
        <v>8169</v>
      </c>
      <c r="H908" t="s">
        <v>8995</v>
      </c>
      <c r="I908" t="s">
        <v>4349</v>
      </c>
      <c r="J908" t="s">
        <v>9020</v>
      </c>
      <c r="K908" s="5">
        <v>45952</v>
      </c>
      <c r="L908" s="5" t="s">
        <v>4312</v>
      </c>
      <c r="M908" s="5">
        <v>46142</v>
      </c>
      <c r="N908">
        <v>1</v>
      </c>
      <c r="O908" t="s">
        <v>11032</v>
      </c>
    </row>
    <row r="909" spans="1:15" x14ac:dyDescent="0.25">
      <c r="A909">
        <v>771</v>
      </c>
      <c r="B909">
        <v>4</v>
      </c>
      <c r="C909">
        <v>161</v>
      </c>
      <c r="D909">
        <v>1</v>
      </c>
      <c r="E909">
        <v>38</v>
      </c>
      <c r="F909">
        <v>49</v>
      </c>
      <c r="G909" t="s">
        <v>8170</v>
      </c>
      <c r="H909" t="s">
        <v>8996</v>
      </c>
      <c r="I909" t="s">
        <v>4349</v>
      </c>
      <c r="J909" t="s">
        <v>9020</v>
      </c>
      <c r="K909" s="5">
        <v>45953</v>
      </c>
      <c r="L909" s="5" t="s">
        <v>4312</v>
      </c>
      <c r="M909" s="5" t="s">
        <v>4312</v>
      </c>
      <c r="N909">
        <v>1</v>
      </c>
      <c r="O909" t="s">
        <v>11033</v>
      </c>
    </row>
    <row r="910" spans="1:15" x14ac:dyDescent="0.25">
      <c r="A910">
        <v>772</v>
      </c>
      <c r="B910">
        <v>1</v>
      </c>
      <c r="C910">
        <v>135</v>
      </c>
      <c r="D910">
        <v>4</v>
      </c>
      <c r="E910">
        <v>1</v>
      </c>
      <c r="F910">
        <v>1</v>
      </c>
      <c r="G910" t="s">
        <v>8171</v>
      </c>
      <c r="H910" t="s">
        <v>8996</v>
      </c>
      <c r="I910" t="s">
        <v>4349</v>
      </c>
      <c r="J910" t="s">
        <v>9020</v>
      </c>
      <c r="K910" s="5">
        <v>41800</v>
      </c>
      <c r="L910" s="5" t="s">
        <v>4312</v>
      </c>
      <c r="M910" s="5" t="s">
        <v>4312</v>
      </c>
      <c r="N910">
        <v>1</v>
      </c>
      <c r="O910" t="s">
        <v>11034</v>
      </c>
    </row>
    <row r="911" spans="1:15" x14ac:dyDescent="0.25">
      <c r="A911">
        <v>773</v>
      </c>
      <c r="B911">
        <v>3</v>
      </c>
      <c r="C911">
        <v>163</v>
      </c>
      <c r="D911">
        <v>1</v>
      </c>
      <c r="E911">
        <v>10</v>
      </c>
      <c r="F911">
        <v>14</v>
      </c>
      <c r="G911" t="s">
        <v>8172</v>
      </c>
      <c r="H911" t="s">
        <v>8996</v>
      </c>
      <c r="I911" t="s">
        <v>4349</v>
      </c>
      <c r="J911" t="s">
        <v>9024</v>
      </c>
      <c r="K911" s="5">
        <v>45957</v>
      </c>
      <c r="L911" s="5" t="s">
        <v>4312</v>
      </c>
      <c r="M911" s="5">
        <v>46053</v>
      </c>
      <c r="N911">
        <v>1</v>
      </c>
      <c r="O911" t="s">
        <v>11035</v>
      </c>
    </row>
    <row r="912" spans="1:15" x14ac:dyDescent="0.25">
      <c r="A912">
        <v>774</v>
      </c>
      <c r="B912">
        <v>3</v>
      </c>
      <c r="C912">
        <v>163</v>
      </c>
      <c r="D912">
        <v>1</v>
      </c>
      <c r="E912">
        <v>37</v>
      </c>
      <c r="F912">
        <v>46</v>
      </c>
      <c r="G912" t="s">
        <v>8173</v>
      </c>
      <c r="H912" t="s">
        <v>8996</v>
      </c>
      <c r="I912" t="s">
        <v>4349</v>
      </c>
      <c r="J912" t="s">
        <v>9027</v>
      </c>
      <c r="K912" s="5">
        <v>45957</v>
      </c>
      <c r="L912" s="5" t="s">
        <v>4312</v>
      </c>
      <c r="M912" s="5">
        <v>46053</v>
      </c>
      <c r="N912">
        <v>1</v>
      </c>
      <c r="O912" t="s">
        <v>11036</v>
      </c>
    </row>
    <row r="913" spans="1:15" x14ac:dyDescent="0.25">
      <c r="A913">
        <v>775</v>
      </c>
      <c r="B913">
        <v>2</v>
      </c>
      <c r="C913">
        <v>126</v>
      </c>
      <c r="D913">
        <v>1</v>
      </c>
      <c r="E913">
        <v>1</v>
      </c>
      <c r="F913">
        <v>1</v>
      </c>
      <c r="G913" t="s">
        <v>8174</v>
      </c>
      <c r="H913" t="s">
        <v>8996</v>
      </c>
      <c r="I913" t="s">
        <v>4349</v>
      </c>
      <c r="J913" t="s">
        <v>9020</v>
      </c>
      <c r="K913" s="5">
        <v>45957</v>
      </c>
      <c r="L913" s="5" t="s">
        <v>4312</v>
      </c>
      <c r="M913" s="5">
        <v>46142</v>
      </c>
      <c r="N913">
        <v>1</v>
      </c>
      <c r="O913" t="s">
        <v>11037</v>
      </c>
    </row>
    <row r="914" spans="1:15" x14ac:dyDescent="0.25">
      <c r="A914">
        <v>776</v>
      </c>
      <c r="B914">
        <v>4</v>
      </c>
      <c r="C914">
        <v>246</v>
      </c>
      <c r="D914">
        <v>1</v>
      </c>
      <c r="E914">
        <v>1</v>
      </c>
      <c r="F914">
        <v>1</v>
      </c>
      <c r="G914" t="s">
        <v>8175</v>
      </c>
      <c r="H914" t="s">
        <v>8996</v>
      </c>
      <c r="I914" t="s">
        <v>4349</v>
      </c>
      <c r="J914" t="s">
        <v>9020</v>
      </c>
      <c r="K914" s="5">
        <v>45957</v>
      </c>
      <c r="L914" s="5" t="s">
        <v>4312</v>
      </c>
      <c r="M914" s="5" t="s">
        <v>4312</v>
      </c>
      <c r="N914">
        <v>1</v>
      </c>
      <c r="O914" t="s">
        <v>11038</v>
      </c>
    </row>
    <row r="915" spans="1:15" x14ac:dyDescent="0.25">
      <c r="A915">
        <v>777</v>
      </c>
      <c r="B915">
        <v>4</v>
      </c>
      <c r="C915">
        <v>246</v>
      </c>
      <c r="D915">
        <v>1</v>
      </c>
      <c r="E915">
        <v>1</v>
      </c>
      <c r="F915">
        <v>1</v>
      </c>
      <c r="G915" t="s">
        <v>8176</v>
      </c>
      <c r="H915" t="s">
        <v>8996</v>
      </c>
      <c r="I915" t="s">
        <v>4349</v>
      </c>
      <c r="J915" t="s">
        <v>9020</v>
      </c>
      <c r="K915" s="5">
        <v>45957</v>
      </c>
      <c r="L915" s="5" t="s">
        <v>4312</v>
      </c>
      <c r="M915" s="5" t="s">
        <v>4312</v>
      </c>
      <c r="N915">
        <v>1</v>
      </c>
      <c r="O915" t="s">
        <v>11039</v>
      </c>
    </row>
    <row r="916" spans="1:15" x14ac:dyDescent="0.25">
      <c r="A916">
        <v>778</v>
      </c>
      <c r="B916">
        <v>2</v>
      </c>
      <c r="C916">
        <v>215</v>
      </c>
      <c r="D916">
        <v>1</v>
      </c>
      <c r="E916">
        <v>1</v>
      </c>
      <c r="F916">
        <v>1</v>
      </c>
      <c r="G916" t="s">
        <v>8177</v>
      </c>
      <c r="H916" t="s">
        <v>8996</v>
      </c>
      <c r="I916" t="s">
        <v>4349</v>
      </c>
      <c r="J916" t="s">
        <v>9020</v>
      </c>
      <c r="K916" s="5">
        <v>45964</v>
      </c>
      <c r="L916" s="5" t="s">
        <v>4312</v>
      </c>
      <c r="M916" s="5">
        <v>46081</v>
      </c>
      <c r="N916">
        <v>1</v>
      </c>
      <c r="O916" t="s">
        <v>11040</v>
      </c>
    </row>
    <row r="917" spans="1:15" x14ac:dyDescent="0.25">
      <c r="A917">
        <v>290</v>
      </c>
      <c r="B917">
        <v>2</v>
      </c>
      <c r="C917">
        <v>160</v>
      </c>
      <c r="D917">
        <v>2</v>
      </c>
      <c r="E917">
        <v>38</v>
      </c>
      <c r="F917">
        <v>49</v>
      </c>
      <c r="G917" t="s">
        <v>8178</v>
      </c>
      <c r="H917" t="s">
        <v>8996</v>
      </c>
      <c r="I917" t="s">
        <v>4349</v>
      </c>
      <c r="J917" t="s">
        <v>9020</v>
      </c>
      <c r="K917" s="5">
        <v>45964</v>
      </c>
      <c r="L917" s="5" t="s">
        <v>4312</v>
      </c>
      <c r="M917" s="5">
        <v>46081</v>
      </c>
      <c r="N917">
        <v>1</v>
      </c>
      <c r="O917" t="s">
        <v>11041</v>
      </c>
    </row>
    <row r="918" spans="1:15" x14ac:dyDescent="0.25">
      <c r="A918">
        <v>779</v>
      </c>
      <c r="B918">
        <v>2</v>
      </c>
      <c r="C918">
        <v>135</v>
      </c>
      <c r="D918">
        <v>2</v>
      </c>
      <c r="E918">
        <v>1</v>
      </c>
      <c r="F918">
        <v>1</v>
      </c>
      <c r="G918" t="s">
        <v>8179</v>
      </c>
      <c r="H918" t="s">
        <v>8996</v>
      </c>
      <c r="I918" t="s">
        <v>4349</v>
      </c>
      <c r="J918" t="s">
        <v>9020</v>
      </c>
      <c r="K918" s="5">
        <v>45721</v>
      </c>
      <c r="L918" s="5" t="s">
        <v>4312</v>
      </c>
      <c r="M918" s="5">
        <v>46112</v>
      </c>
      <c r="N918">
        <v>1</v>
      </c>
      <c r="O918" t="s">
        <v>11042</v>
      </c>
    </row>
    <row r="919" spans="1:15" x14ac:dyDescent="0.25">
      <c r="A919">
        <v>780</v>
      </c>
      <c r="B919">
        <v>2</v>
      </c>
      <c r="C919">
        <v>10</v>
      </c>
      <c r="D919">
        <v>1</v>
      </c>
      <c r="E919">
        <v>1</v>
      </c>
      <c r="F919">
        <v>1</v>
      </c>
      <c r="G919" t="s">
        <v>8180</v>
      </c>
      <c r="H919" t="s">
        <v>8996</v>
      </c>
      <c r="I919" t="s">
        <v>4349</v>
      </c>
      <c r="J919" t="s">
        <v>9020</v>
      </c>
      <c r="K919" s="5">
        <v>45964</v>
      </c>
      <c r="L919" s="5" t="s">
        <v>4312</v>
      </c>
      <c r="M919" s="5">
        <v>46173</v>
      </c>
      <c r="N919">
        <v>1</v>
      </c>
      <c r="O919" t="s">
        <v>11043</v>
      </c>
    </row>
    <row r="920" spans="1:15" x14ac:dyDescent="0.25">
      <c r="A920">
        <v>781</v>
      </c>
      <c r="B920">
        <v>2</v>
      </c>
      <c r="C920">
        <v>220</v>
      </c>
      <c r="D920">
        <v>2</v>
      </c>
      <c r="E920">
        <v>1</v>
      </c>
      <c r="F920">
        <v>1</v>
      </c>
      <c r="G920" t="s">
        <v>8181</v>
      </c>
      <c r="H920" t="s">
        <v>8996</v>
      </c>
      <c r="I920" t="s">
        <v>4349</v>
      </c>
      <c r="J920" t="s">
        <v>9020</v>
      </c>
      <c r="K920" s="5">
        <v>45964</v>
      </c>
      <c r="L920" s="5" t="s">
        <v>4312</v>
      </c>
      <c r="M920" s="5">
        <v>46081</v>
      </c>
      <c r="N920">
        <v>1</v>
      </c>
      <c r="O920" t="s">
        <v>11044</v>
      </c>
    </row>
    <row r="921" spans="1:15" x14ac:dyDescent="0.25">
      <c r="A921">
        <v>782</v>
      </c>
      <c r="B921">
        <v>3</v>
      </c>
      <c r="C921">
        <v>156</v>
      </c>
      <c r="D921">
        <v>1</v>
      </c>
      <c r="E921">
        <v>24</v>
      </c>
      <c r="F921">
        <v>25</v>
      </c>
      <c r="G921" t="s">
        <v>8182</v>
      </c>
      <c r="H921" t="s">
        <v>8996</v>
      </c>
      <c r="I921" t="s">
        <v>4349</v>
      </c>
      <c r="J921" t="s">
        <v>9024</v>
      </c>
      <c r="K921" s="5">
        <v>45964</v>
      </c>
      <c r="L921" s="5" t="s">
        <v>4312</v>
      </c>
      <c r="M921" s="5">
        <v>46081</v>
      </c>
      <c r="N921">
        <v>1</v>
      </c>
      <c r="O921" t="s">
        <v>11045</v>
      </c>
    </row>
    <row r="922" spans="1:15" x14ac:dyDescent="0.25">
      <c r="A922">
        <v>783</v>
      </c>
      <c r="B922">
        <v>3</v>
      </c>
      <c r="C922">
        <v>163</v>
      </c>
      <c r="D922">
        <v>1</v>
      </c>
      <c r="E922">
        <v>10</v>
      </c>
      <c r="F922">
        <v>14</v>
      </c>
      <c r="G922" t="s">
        <v>8183</v>
      </c>
      <c r="H922" t="s">
        <v>8996</v>
      </c>
      <c r="I922" t="s">
        <v>4349</v>
      </c>
      <c r="J922" t="s">
        <v>4340</v>
      </c>
      <c r="K922" s="5">
        <v>45964</v>
      </c>
      <c r="L922" s="5" t="s">
        <v>4312</v>
      </c>
      <c r="M922" s="5">
        <v>46081</v>
      </c>
      <c r="N922">
        <v>1</v>
      </c>
      <c r="O922" t="s">
        <v>11046</v>
      </c>
    </row>
    <row r="923" spans="1:15" x14ac:dyDescent="0.25">
      <c r="A923">
        <v>784</v>
      </c>
      <c r="B923">
        <v>4</v>
      </c>
      <c r="C923">
        <v>160</v>
      </c>
      <c r="D923">
        <v>1</v>
      </c>
      <c r="E923">
        <v>38</v>
      </c>
      <c r="F923">
        <v>49</v>
      </c>
      <c r="G923" t="s">
        <v>8184</v>
      </c>
      <c r="H923" t="s">
        <v>8996</v>
      </c>
      <c r="I923" t="s">
        <v>4349</v>
      </c>
      <c r="J923" t="s">
        <v>9020</v>
      </c>
      <c r="K923" s="5">
        <v>45966</v>
      </c>
      <c r="L923" s="5" t="s">
        <v>4312</v>
      </c>
      <c r="M923" s="5" t="s">
        <v>4312</v>
      </c>
      <c r="N923">
        <v>1</v>
      </c>
      <c r="O923" t="s">
        <v>11047</v>
      </c>
    </row>
    <row r="924" spans="1:15" x14ac:dyDescent="0.25">
      <c r="A924">
        <v>785</v>
      </c>
      <c r="B924">
        <v>4</v>
      </c>
      <c r="C924">
        <v>246</v>
      </c>
      <c r="D924">
        <v>1</v>
      </c>
      <c r="E924">
        <v>1</v>
      </c>
      <c r="F924">
        <v>1</v>
      </c>
      <c r="G924" t="s">
        <v>8185</v>
      </c>
      <c r="H924" t="s">
        <v>8996</v>
      </c>
      <c r="I924" t="s">
        <v>4349</v>
      </c>
      <c r="J924" t="s">
        <v>9020</v>
      </c>
      <c r="K924" s="5">
        <v>45966</v>
      </c>
      <c r="L924" s="5" t="s">
        <v>4312</v>
      </c>
      <c r="M924" s="5" t="s">
        <v>4312</v>
      </c>
      <c r="N924">
        <v>1</v>
      </c>
      <c r="O924" t="s">
        <v>11048</v>
      </c>
    </row>
    <row r="925" spans="1:15" x14ac:dyDescent="0.25">
      <c r="A925">
        <v>786</v>
      </c>
      <c r="B925">
        <v>5</v>
      </c>
      <c r="C925">
        <v>93</v>
      </c>
      <c r="D925">
        <v>1</v>
      </c>
      <c r="E925">
        <v>1</v>
      </c>
      <c r="F925">
        <v>1</v>
      </c>
      <c r="G925" t="s">
        <v>8186</v>
      </c>
      <c r="H925" t="s">
        <v>8996</v>
      </c>
      <c r="I925" t="s">
        <v>4349</v>
      </c>
      <c r="J925" t="s">
        <v>9020</v>
      </c>
      <c r="K925" s="5">
        <v>45972</v>
      </c>
      <c r="L925" s="5" t="s">
        <v>4312</v>
      </c>
      <c r="M925" s="5">
        <v>46081</v>
      </c>
      <c r="N925">
        <v>1</v>
      </c>
      <c r="O925" t="s">
        <v>11049</v>
      </c>
    </row>
    <row r="926" spans="1:15" x14ac:dyDescent="0.25">
      <c r="A926">
        <v>787</v>
      </c>
      <c r="B926">
        <v>2</v>
      </c>
      <c r="C926">
        <v>27</v>
      </c>
      <c r="D926">
        <v>1</v>
      </c>
      <c r="E926">
        <v>1</v>
      </c>
      <c r="F926">
        <v>1</v>
      </c>
      <c r="G926" t="s">
        <v>8187</v>
      </c>
      <c r="H926" t="s">
        <v>8996</v>
      </c>
      <c r="I926" t="s">
        <v>4349</v>
      </c>
      <c r="J926" t="s">
        <v>9020</v>
      </c>
      <c r="K926" s="5">
        <v>45971</v>
      </c>
      <c r="L926" s="5" t="s">
        <v>4312</v>
      </c>
      <c r="M926" s="5">
        <v>46081</v>
      </c>
      <c r="N926">
        <v>1</v>
      </c>
      <c r="O926" t="s">
        <v>11050</v>
      </c>
    </row>
    <row r="927" spans="1:15" x14ac:dyDescent="0.25">
      <c r="A927">
        <v>788</v>
      </c>
      <c r="B927">
        <v>2</v>
      </c>
      <c r="C927">
        <v>26</v>
      </c>
      <c r="D927">
        <v>1</v>
      </c>
      <c r="E927">
        <v>1</v>
      </c>
      <c r="F927">
        <v>1</v>
      </c>
      <c r="G927" t="s">
        <v>8188</v>
      </c>
      <c r="H927" t="s">
        <v>8995</v>
      </c>
      <c r="I927" t="s">
        <v>4349</v>
      </c>
      <c r="J927" t="s">
        <v>9020</v>
      </c>
      <c r="K927" s="5">
        <v>45973</v>
      </c>
      <c r="L927" s="5" t="s">
        <v>4312</v>
      </c>
      <c r="M927" s="5">
        <v>46173</v>
      </c>
      <c r="N927">
        <v>1</v>
      </c>
      <c r="O927" t="s">
        <v>11051</v>
      </c>
    </row>
    <row r="928" spans="1:15" x14ac:dyDescent="0.25">
      <c r="A928">
        <v>637</v>
      </c>
      <c r="B928">
        <v>2</v>
      </c>
      <c r="C928">
        <v>195</v>
      </c>
      <c r="D928">
        <v>1</v>
      </c>
      <c r="E928">
        <v>1</v>
      </c>
      <c r="F928">
        <v>1</v>
      </c>
      <c r="G928" t="s">
        <v>8022</v>
      </c>
      <c r="H928" t="s">
        <v>8996</v>
      </c>
      <c r="I928" t="s">
        <v>4349</v>
      </c>
      <c r="J928" t="s">
        <v>9020</v>
      </c>
      <c r="K928" s="5">
        <v>45978</v>
      </c>
      <c r="L928" s="5" t="s">
        <v>4312</v>
      </c>
      <c r="M928" s="5">
        <v>46081</v>
      </c>
      <c r="N928">
        <v>1</v>
      </c>
      <c r="O928" t="s">
        <v>11052</v>
      </c>
    </row>
  </sheetData>
  <autoFilter ref="A1:O928" xr:uid="{4135A110-897D-40E3-A8BC-6E511AB76F5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9B12-5629-49AB-9228-AAB8CB8772FF}">
  <dimension ref="A1:C40"/>
  <sheetViews>
    <sheetView workbookViewId="0">
      <selection activeCell="C2" sqref="C2"/>
    </sheetView>
  </sheetViews>
  <sheetFormatPr baseColWidth="10" defaultRowHeight="15" x14ac:dyDescent="0.25"/>
  <cols>
    <col min="2" max="2" width="25.5703125" bestFit="1" customWidth="1"/>
    <col min="3" max="3" width="30.140625" bestFit="1" customWidth="1"/>
  </cols>
  <sheetData>
    <row r="1" spans="1:3" x14ac:dyDescent="0.25">
      <c r="B1" t="s">
        <v>4341</v>
      </c>
    </row>
    <row r="2" spans="1:3" x14ac:dyDescent="0.25">
      <c r="A2">
        <v>1</v>
      </c>
      <c r="B2" t="s">
        <v>9035</v>
      </c>
      <c r="C2" t="str">
        <f>_xlfn.CONCAT("('",B2,"',","1),")</f>
        <v>('ADMINISTRATIVO',1),</v>
      </c>
    </row>
    <row r="3" spans="1:3" x14ac:dyDescent="0.25">
      <c r="A3">
        <v>2</v>
      </c>
      <c r="B3" t="s">
        <v>9087</v>
      </c>
      <c r="C3" t="str">
        <f t="shared" ref="C3:C40" si="0">_xlfn.CONCAT("('",B3,"',","1),")</f>
        <v>('AGRICOLA ANDREA',1),</v>
      </c>
    </row>
    <row r="4" spans="1:3" x14ac:dyDescent="0.25">
      <c r="A4">
        <v>3</v>
      </c>
      <c r="B4" t="s">
        <v>9109</v>
      </c>
      <c r="C4" t="str">
        <f t="shared" si="0"/>
        <v>('AGRÍCOLA ANDREA - AIB',1),</v>
      </c>
    </row>
    <row r="5" spans="1:3" x14ac:dyDescent="0.25">
      <c r="A5">
        <v>4</v>
      </c>
      <c r="B5" t="s">
        <v>9062</v>
      </c>
      <c r="C5" t="str">
        <f t="shared" si="0"/>
        <v>('AJANI',1),</v>
      </c>
    </row>
    <row r="6" spans="1:3" x14ac:dyDescent="0.25">
      <c r="A6">
        <v>5</v>
      </c>
      <c r="B6" t="s">
        <v>9093</v>
      </c>
      <c r="C6" t="str">
        <f t="shared" si="0"/>
        <v>('CCECC (China Civil)',1),</v>
      </c>
    </row>
    <row r="7" spans="1:3" x14ac:dyDescent="0.25">
      <c r="A7">
        <v>6</v>
      </c>
      <c r="B7" t="s">
        <v>9104</v>
      </c>
      <c r="C7" t="str">
        <f t="shared" si="0"/>
        <v>('CJR',1),</v>
      </c>
    </row>
    <row r="8" spans="1:3" x14ac:dyDescent="0.25">
      <c r="A8">
        <v>7</v>
      </c>
      <c r="B8" t="s">
        <v>9057</v>
      </c>
      <c r="C8" t="str">
        <f t="shared" si="0"/>
        <v>('CONSORCIO CHINCHEROS',1),</v>
      </c>
    </row>
    <row r="9" spans="1:3" x14ac:dyDescent="0.25">
      <c r="A9">
        <v>8</v>
      </c>
      <c r="B9" t="s">
        <v>9046</v>
      </c>
      <c r="C9" t="str">
        <f t="shared" si="0"/>
        <v>('CONSORCIO COSAPI',1),</v>
      </c>
    </row>
    <row r="10" spans="1:3" x14ac:dyDescent="0.25">
      <c r="A10">
        <v>9</v>
      </c>
      <c r="B10" t="s">
        <v>4344</v>
      </c>
      <c r="C10" t="str">
        <f t="shared" si="0"/>
        <v>('CONSORCIO CUSCO',1),</v>
      </c>
    </row>
    <row r="11" spans="1:3" x14ac:dyDescent="0.25">
      <c r="A11">
        <v>10</v>
      </c>
      <c r="B11" t="s">
        <v>4343</v>
      </c>
      <c r="C11" t="str">
        <f t="shared" si="0"/>
        <v>('CONSORCIO ICC',1),</v>
      </c>
    </row>
    <row r="12" spans="1:3" x14ac:dyDescent="0.25">
      <c r="A12">
        <v>11</v>
      </c>
      <c r="B12" t="s">
        <v>9068</v>
      </c>
      <c r="C12" t="str">
        <f t="shared" si="0"/>
        <v>('CONSORCIO INTIPUNKU',1),</v>
      </c>
    </row>
    <row r="13" spans="1:3" x14ac:dyDescent="0.25">
      <c r="A13">
        <v>12</v>
      </c>
      <c r="B13" t="s">
        <v>9065</v>
      </c>
      <c r="C13" t="str">
        <f t="shared" si="0"/>
        <v>('CONSORCIO MARCO POLO',1),</v>
      </c>
    </row>
    <row r="14" spans="1:3" x14ac:dyDescent="0.25">
      <c r="A14">
        <v>13</v>
      </c>
      <c r="B14" t="s">
        <v>9101</v>
      </c>
      <c r="C14" t="str">
        <f t="shared" si="0"/>
        <v>('CONSORCIO MOTUPE',1),</v>
      </c>
    </row>
    <row r="15" spans="1:3" x14ac:dyDescent="0.25">
      <c r="A15">
        <v>14</v>
      </c>
      <c r="B15" t="s">
        <v>9083</v>
      </c>
      <c r="C15" t="str">
        <f t="shared" si="0"/>
        <v>('CONSORCIO RIO CHINCHA',1),</v>
      </c>
    </row>
    <row r="16" spans="1:3" x14ac:dyDescent="0.25">
      <c r="A16">
        <v>15</v>
      </c>
      <c r="B16" t="s">
        <v>9055</v>
      </c>
      <c r="C16" t="str">
        <f t="shared" si="0"/>
        <v>('CONSORCIO VIAL WARI',1),</v>
      </c>
    </row>
    <row r="17" spans="1:3" x14ac:dyDescent="0.25">
      <c r="A17">
        <v>16</v>
      </c>
      <c r="B17" t="s">
        <v>9072</v>
      </c>
      <c r="C17" t="str">
        <f t="shared" si="0"/>
        <v>('COSAPI',1),</v>
      </c>
    </row>
    <row r="18" spans="1:3" x14ac:dyDescent="0.25">
      <c r="A18">
        <v>17</v>
      </c>
      <c r="B18" t="s">
        <v>9094</v>
      </c>
      <c r="C18" t="str">
        <f t="shared" si="0"/>
        <v>('COSAPI HV',1),</v>
      </c>
    </row>
    <row r="19" spans="1:3" x14ac:dyDescent="0.25">
      <c r="A19">
        <v>18</v>
      </c>
      <c r="B19" t="s">
        <v>9036</v>
      </c>
      <c r="C19" t="str">
        <f t="shared" si="0"/>
        <v>('COSAPI MINERIA',1),</v>
      </c>
    </row>
    <row r="20" spans="1:3" x14ac:dyDescent="0.25">
      <c r="A20">
        <v>19</v>
      </c>
      <c r="B20" t="s">
        <v>9103</v>
      </c>
      <c r="C20" t="str">
        <f t="shared" si="0"/>
        <v>('COSAPI S.A.',1),</v>
      </c>
    </row>
    <row r="21" spans="1:3" x14ac:dyDescent="0.25">
      <c r="A21">
        <v>20</v>
      </c>
      <c r="B21" t="s">
        <v>9067</v>
      </c>
      <c r="C21" t="str">
        <f t="shared" si="0"/>
        <v>('CUMBRA',1),</v>
      </c>
    </row>
    <row r="22" spans="1:3" x14ac:dyDescent="0.25">
      <c r="A22">
        <v>21</v>
      </c>
      <c r="B22" t="s">
        <v>9039</v>
      </c>
      <c r="C22" t="str">
        <f t="shared" si="0"/>
        <v>('CUMBRA S.A.',1),</v>
      </c>
    </row>
    <row r="23" spans="1:3" x14ac:dyDescent="0.25">
      <c r="A23">
        <v>22</v>
      </c>
      <c r="B23" t="s">
        <v>9051</v>
      </c>
      <c r="C23" t="str">
        <f t="shared" si="0"/>
        <v>('ECOSAC AGRICOLA',1),</v>
      </c>
    </row>
    <row r="24" spans="1:3" x14ac:dyDescent="0.25">
      <c r="A24">
        <v>23</v>
      </c>
      <c r="B24" t="s">
        <v>4342</v>
      </c>
      <c r="C24" t="str">
        <f t="shared" si="0"/>
        <v>('ECOSAC AGRICOLA S.A.C.',1),</v>
      </c>
    </row>
    <row r="25" spans="1:3" x14ac:dyDescent="0.25">
      <c r="A25">
        <v>24</v>
      </c>
      <c r="B25" t="s">
        <v>9041</v>
      </c>
      <c r="C25" t="str">
        <f t="shared" si="0"/>
        <v>('GRUPO PERGOLA',1),</v>
      </c>
    </row>
    <row r="26" spans="1:3" x14ac:dyDescent="0.25">
      <c r="A26">
        <v>25</v>
      </c>
      <c r="B26" t="s">
        <v>9074</v>
      </c>
      <c r="C26" t="str">
        <f t="shared" si="0"/>
        <v>('HFE BERRIES',1),</v>
      </c>
    </row>
    <row r="27" spans="1:3" x14ac:dyDescent="0.25">
      <c r="A27">
        <v>26</v>
      </c>
      <c r="B27" t="s">
        <v>9053</v>
      </c>
      <c r="C27" t="str">
        <f t="shared" si="0"/>
        <v>('HORTIFRUT',1),</v>
      </c>
    </row>
    <row r="28" spans="1:3" x14ac:dyDescent="0.25">
      <c r="A28">
        <v>27</v>
      </c>
      <c r="B28" t="s">
        <v>9099</v>
      </c>
      <c r="C28" t="str">
        <f t="shared" si="0"/>
        <v>('MILICIC',1),</v>
      </c>
    </row>
    <row r="29" spans="1:3" x14ac:dyDescent="0.25">
      <c r="A29">
        <v>28</v>
      </c>
      <c r="B29" t="s">
        <v>9079</v>
      </c>
      <c r="C29" t="str">
        <f t="shared" si="0"/>
        <v>('MINERA IRL',1),</v>
      </c>
    </row>
    <row r="30" spans="1:3" x14ac:dyDescent="0.25">
      <c r="A30">
        <v>29</v>
      </c>
      <c r="B30" t="s">
        <v>9049</v>
      </c>
      <c r="C30" t="str">
        <f t="shared" si="0"/>
        <v>('MOTA ENGIL PERU',1),</v>
      </c>
    </row>
    <row r="31" spans="1:3" x14ac:dyDescent="0.25">
      <c r="A31">
        <v>30</v>
      </c>
      <c r="B31" t="s">
        <v>9078</v>
      </c>
      <c r="C31" t="str">
        <f t="shared" si="0"/>
        <v>('NO APLICA',1),</v>
      </c>
    </row>
    <row r="32" spans="1:3" x14ac:dyDescent="0.25">
      <c r="A32">
        <v>31</v>
      </c>
      <c r="B32" t="s">
        <v>9086</v>
      </c>
      <c r="C32" t="str">
        <f t="shared" si="0"/>
        <v>('OHLA',1),</v>
      </c>
    </row>
    <row r="33" spans="1:3" x14ac:dyDescent="0.25">
      <c r="A33">
        <v>32</v>
      </c>
      <c r="B33" t="s">
        <v>4345</v>
      </c>
      <c r="C33" t="str">
        <f t="shared" si="0"/>
        <v>('PURA FRUIT COMPANY S.A.',1),</v>
      </c>
    </row>
    <row r="34" spans="1:3" x14ac:dyDescent="0.25">
      <c r="A34">
        <v>33</v>
      </c>
      <c r="B34" t="s">
        <v>9097</v>
      </c>
      <c r="C34" t="str">
        <f t="shared" si="0"/>
        <v>('ROVELLA ',1),</v>
      </c>
    </row>
    <row r="35" spans="1:3" x14ac:dyDescent="0.25">
      <c r="A35">
        <v>34</v>
      </c>
      <c r="B35" t="s">
        <v>9043</v>
      </c>
      <c r="C35" t="str">
        <f t="shared" si="0"/>
        <v>('RUTERO',1),</v>
      </c>
    </row>
    <row r="36" spans="1:3" x14ac:dyDescent="0.25">
      <c r="A36">
        <v>35</v>
      </c>
      <c r="B36" t="s">
        <v>9060</v>
      </c>
      <c r="C36" t="str">
        <f t="shared" si="0"/>
        <v>('SACYR AJANI',1),</v>
      </c>
    </row>
    <row r="37" spans="1:3" x14ac:dyDescent="0.25">
      <c r="A37">
        <v>36</v>
      </c>
      <c r="B37" t="s">
        <v>9048</v>
      </c>
      <c r="C37" t="str">
        <f t="shared" si="0"/>
        <v>('SAN MARTIN CONTRATISTAS',1),</v>
      </c>
    </row>
    <row r="38" spans="1:3" x14ac:dyDescent="0.25">
      <c r="A38">
        <v>37</v>
      </c>
      <c r="B38" t="s">
        <v>4332</v>
      </c>
      <c r="C38" t="str">
        <f t="shared" si="0"/>
        <v>('STRACON',1),</v>
      </c>
    </row>
    <row r="39" spans="1:3" x14ac:dyDescent="0.25">
      <c r="A39">
        <v>38</v>
      </c>
      <c r="B39" t="s">
        <v>4292</v>
      </c>
      <c r="C39" t="str">
        <f t="shared" si="0"/>
        <v>('TALLER',1),</v>
      </c>
    </row>
    <row r="40" spans="1:3" x14ac:dyDescent="0.25">
      <c r="A40">
        <v>39</v>
      </c>
      <c r="B40" t="s">
        <v>9108</v>
      </c>
      <c r="C40" t="str">
        <f t="shared" si="0"/>
        <v>('TALSA',1),</v>
      </c>
    </row>
  </sheetData>
  <autoFilter ref="B1:B40" xr:uid="{EBE49B12-5629-49AB-9228-AAB8CB8772FF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1E5B-907A-4548-8144-3ADB8D1A6868}">
  <dimension ref="A1:C50"/>
  <sheetViews>
    <sheetView workbookViewId="0">
      <selection activeCell="C35" sqref="C35"/>
    </sheetView>
  </sheetViews>
  <sheetFormatPr baseColWidth="10" defaultRowHeight="15" x14ac:dyDescent="0.25"/>
  <cols>
    <col min="2" max="2" width="45.28515625" bestFit="1" customWidth="1"/>
    <col min="3" max="3" width="61.5703125" bestFit="1" customWidth="1"/>
  </cols>
  <sheetData>
    <row r="1" spans="1:3" x14ac:dyDescent="0.25">
      <c r="B1" t="s">
        <v>4339</v>
      </c>
      <c r="C1" s="6" t="s">
        <v>9112</v>
      </c>
    </row>
    <row r="2" spans="1:3" x14ac:dyDescent="0.25">
      <c r="A2">
        <v>1</v>
      </c>
      <c r="B2" t="s">
        <v>9035</v>
      </c>
      <c r="C2" t="str">
        <f>_xlfn.CONCAT("('",B2,"',","1),")</f>
        <v>('ADMINISTRATIVO',1),</v>
      </c>
    </row>
    <row r="3" spans="1:3" x14ac:dyDescent="0.25">
      <c r="A3">
        <v>2</v>
      </c>
      <c r="B3" t="s">
        <v>9088</v>
      </c>
      <c r="C3" t="str">
        <f t="shared" ref="C3:C50" si="0">_xlfn.CONCAT("('",B3,"',","1),")</f>
        <v>('FUNDO CALIFORNIA',1),</v>
      </c>
    </row>
    <row r="4" spans="1:3" x14ac:dyDescent="0.25">
      <c r="A4">
        <v>3</v>
      </c>
      <c r="B4" t="s">
        <v>9110</v>
      </c>
      <c r="C4" t="str">
        <f t="shared" si="0"/>
        <v>('FUNDOS JAYANCA',1),</v>
      </c>
    </row>
    <row r="5" spans="1:3" x14ac:dyDescent="0.25">
      <c r="A5">
        <v>4</v>
      </c>
      <c r="B5" t="s">
        <v>9063</v>
      </c>
      <c r="C5" t="str">
        <f t="shared" si="0"/>
        <v>('MINA CRESPO',1),</v>
      </c>
    </row>
    <row r="6" spans="1:3" x14ac:dyDescent="0.25">
      <c r="A6">
        <v>5</v>
      </c>
      <c r="B6" t="s">
        <v>9077</v>
      </c>
      <c r="C6" t="str">
        <f t="shared" si="0"/>
        <v>('RIO MATAGENTE',1),</v>
      </c>
    </row>
    <row r="7" spans="1:3" x14ac:dyDescent="0.25">
      <c r="A7">
        <v>6</v>
      </c>
      <c r="B7" t="s">
        <v>9082</v>
      </c>
      <c r="C7" t="str">
        <f t="shared" si="0"/>
        <v>('LACRAMARCA',1),</v>
      </c>
    </row>
    <row r="8" spans="1:3" x14ac:dyDescent="0.25">
      <c r="A8">
        <v>7</v>
      </c>
      <c r="B8" t="s">
        <v>9089</v>
      </c>
      <c r="C8" t="str">
        <f t="shared" si="0"/>
        <v>('QUEBRADA DE LEON',1),</v>
      </c>
    </row>
    <row r="9" spans="1:3" x14ac:dyDescent="0.25">
      <c r="A9">
        <v>8</v>
      </c>
      <c r="B9" t="s">
        <v>9050</v>
      </c>
      <c r="C9" t="str">
        <f t="shared" si="0"/>
        <v>('LAS BAMBAS',1),</v>
      </c>
    </row>
    <row r="10" spans="1:3" x14ac:dyDescent="0.25">
      <c r="A10">
        <v>9</v>
      </c>
      <c r="B10" t="s">
        <v>9105</v>
      </c>
      <c r="C10" t="str">
        <f t="shared" si="0"/>
        <v>('INTIPAMPA',1),</v>
      </c>
    </row>
    <row r="11" spans="1:3" x14ac:dyDescent="0.25">
      <c r="A11">
        <v>10</v>
      </c>
      <c r="B11" t="s">
        <v>9058</v>
      </c>
      <c r="C11" t="str">
        <f t="shared" si="0"/>
        <v>('AEROPUERTO CHINCHEROS',1),</v>
      </c>
    </row>
    <row r="12" spans="1:3" x14ac:dyDescent="0.25">
      <c r="A12">
        <v>11</v>
      </c>
      <c r="B12" t="s">
        <v>9040</v>
      </c>
      <c r="C12" t="str">
        <f t="shared" si="0"/>
        <v>('SAN GABRIEL',1),</v>
      </c>
    </row>
    <row r="13" spans="1:3" x14ac:dyDescent="0.25">
      <c r="A13">
        <v>12</v>
      </c>
      <c r="B13" t="s">
        <v>9094</v>
      </c>
      <c r="C13" t="str">
        <f t="shared" si="0"/>
        <v>('COSAPI HV',1),</v>
      </c>
    </row>
    <row r="14" spans="1:3" x14ac:dyDescent="0.25">
      <c r="A14">
        <v>13</v>
      </c>
      <c r="B14" t="s">
        <v>9071</v>
      </c>
      <c r="C14" t="str">
        <f t="shared" si="0"/>
        <v>('VILCANOTA ',1),</v>
      </c>
    </row>
    <row r="15" spans="1:3" x14ac:dyDescent="0.25">
      <c r="A15">
        <v>14</v>
      </c>
      <c r="B15" t="s">
        <v>9038</v>
      </c>
      <c r="C15" t="str">
        <f t="shared" si="0"/>
        <v>('CARRETERA TAUCA PALLASCA',1),</v>
      </c>
    </row>
    <row r="16" spans="1:3" x14ac:dyDescent="0.25">
      <c r="A16">
        <v>15</v>
      </c>
      <c r="B16" t="s">
        <v>9069</v>
      </c>
      <c r="C16" t="str">
        <f t="shared" si="0"/>
        <v>('LIMA AIRPORT PARTNERS S.R.L.',1),</v>
      </c>
    </row>
    <row r="17" spans="1:3" x14ac:dyDescent="0.25">
      <c r="A17">
        <v>16</v>
      </c>
      <c r="B17" t="s">
        <v>9066</v>
      </c>
      <c r="C17" t="str">
        <f t="shared" si="0"/>
        <v>('MEJORAMIENTO DE PISTAS JAEN',1),</v>
      </c>
    </row>
    <row r="18" spans="1:3" x14ac:dyDescent="0.25">
      <c r="A18">
        <v>17</v>
      </c>
      <c r="B18" t="s">
        <v>9102</v>
      </c>
      <c r="C18" t="str">
        <f t="shared" si="0"/>
        <v>('DEFENSA RIBEREÑA RIO MOTUPE Y LA LECHE',1),</v>
      </c>
    </row>
    <row r="19" spans="1:3" x14ac:dyDescent="0.25">
      <c r="A19">
        <v>18</v>
      </c>
      <c r="B19" t="s">
        <v>9084</v>
      </c>
      <c r="C19" t="str">
        <f t="shared" si="0"/>
        <v>('CANTERA RIO CHINCHA',1),</v>
      </c>
    </row>
    <row r="20" spans="1:3" x14ac:dyDescent="0.25">
      <c r="A20">
        <v>19</v>
      </c>
      <c r="B20" t="s">
        <v>9056</v>
      </c>
      <c r="C20" t="str">
        <f t="shared" si="0"/>
        <v>('CARRETERA PATAHUASI-YAURI-SICUANI',1),</v>
      </c>
    </row>
    <row r="21" spans="1:3" x14ac:dyDescent="0.25">
      <c r="A21">
        <v>20</v>
      </c>
      <c r="B21" t="s">
        <v>9073</v>
      </c>
      <c r="C21" t="str">
        <f t="shared" si="0"/>
        <v>('PARQUE EÓLICO PUNTA LOMITAS',1),</v>
      </c>
    </row>
    <row r="22" spans="1:3" x14ac:dyDescent="0.25">
      <c r="A22">
        <v>21</v>
      </c>
      <c r="B22" t="s">
        <v>9037</v>
      </c>
      <c r="C22" t="str">
        <f t="shared" si="0"/>
        <v>('SHOUGANG',1),</v>
      </c>
    </row>
    <row r="23" spans="1:3" x14ac:dyDescent="0.25">
      <c r="A23">
        <v>22</v>
      </c>
      <c r="B23" t="s">
        <v>9059</v>
      </c>
      <c r="C23" t="str">
        <f t="shared" si="0"/>
        <v>('TOROMOCHO',1),</v>
      </c>
    </row>
    <row r="24" spans="1:3" x14ac:dyDescent="0.25">
      <c r="A24">
        <v>23</v>
      </c>
      <c r="B24" t="s">
        <v>9061</v>
      </c>
      <c r="C24" t="str">
        <f t="shared" si="0"/>
        <v>('QUELLAVECO',1),</v>
      </c>
    </row>
    <row r="25" spans="1:3" x14ac:dyDescent="0.25">
      <c r="A25">
        <v>24</v>
      </c>
      <c r="B25" t="s">
        <v>9052</v>
      </c>
      <c r="C25" t="str">
        <f t="shared" si="0"/>
        <v>('FUNDO ECOSAC',1),</v>
      </c>
    </row>
    <row r="26" spans="1:3" x14ac:dyDescent="0.25">
      <c r="A26">
        <v>25</v>
      </c>
      <c r="B26" t="s">
        <v>9042</v>
      </c>
      <c r="C26" t="str">
        <f t="shared" si="0"/>
        <v>('CARRETERA SAYAN - CHURIN',1),</v>
      </c>
    </row>
    <row r="27" spans="1:3" x14ac:dyDescent="0.25">
      <c r="A27">
        <v>26</v>
      </c>
      <c r="B27" t="s">
        <v>9075</v>
      </c>
      <c r="C27" t="str">
        <f t="shared" si="0"/>
        <v>('FUNDO OLMOS',1),</v>
      </c>
    </row>
    <row r="28" spans="1:3" x14ac:dyDescent="0.25">
      <c r="A28">
        <v>27</v>
      </c>
      <c r="B28" t="s">
        <v>9053</v>
      </c>
      <c r="C28" t="str">
        <f t="shared" si="0"/>
        <v>('HORTIFRUT',1),</v>
      </c>
    </row>
    <row r="29" spans="1:3" x14ac:dyDescent="0.25">
      <c r="A29">
        <v>28</v>
      </c>
      <c r="B29" t="s">
        <v>9100</v>
      </c>
      <c r="C29" t="str">
        <f t="shared" si="0"/>
        <v>('QUEBRADA CABUYAL TUMBES',1),</v>
      </c>
    </row>
    <row r="30" spans="1:3" x14ac:dyDescent="0.25">
      <c r="A30">
        <v>29</v>
      </c>
      <c r="B30" t="s">
        <v>9106</v>
      </c>
      <c r="C30" t="str">
        <f t="shared" si="0"/>
        <v>('RIO ZAÑA',1),</v>
      </c>
    </row>
    <row r="31" spans="1:3" x14ac:dyDescent="0.25">
      <c r="A31">
        <v>30</v>
      </c>
      <c r="B31" t="s">
        <v>9080</v>
      </c>
      <c r="C31" t="str">
        <f t="shared" si="0"/>
        <v>('CORIHUARMI',1),</v>
      </c>
    </row>
    <row r="32" spans="1:3" x14ac:dyDescent="0.25">
      <c r="A32">
        <v>31</v>
      </c>
      <c r="B32" t="s">
        <v>9054</v>
      </c>
      <c r="C32" t="str">
        <f t="shared" si="0"/>
        <v>('ANTAMINA',1),</v>
      </c>
    </row>
    <row r="33" spans="1:3" x14ac:dyDescent="0.25">
      <c r="A33">
        <v>32</v>
      </c>
      <c r="B33" t="s">
        <v>9078</v>
      </c>
      <c r="C33" t="str">
        <f t="shared" si="0"/>
        <v>('NO APLICA',1),</v>
      </c>
    </row>
    <row r="34" spans="1:3" x14ac:dyDescent="0.25">
      <c r="A34">
        <v>33</v>
      </c>
      <c r="B34" t="s">
        <v>9095</v>
      </c>
      <c r="C34" t="str">
        <f t="shared" si="0"/>
        <v>('RIO HUARMEY',1),</v>
      </c>
    </row>
    <row r="35" spans="1:3" x14ac:dyDescent="0.25">
      <c r="A35">
        <v>34</v>
      </c>
      <c r="B35" t="s">
        <v>9064</v>
      </c>
      <c r="C35" t="str">
        <f t="shared" si="0"/>
        <v>('FUNDO BOTA SULLANA',1),</v>
      </c>
    </row>
    <row r="36" spans="1:3" x14ac:dyDescent="0.25">
      <c r="A36">
        <v>35</v>
      </c>
      <c r="B36" t="s">
        <v>9044</v>
      </c>
      <c r="C36" t="str">
        <f t="shared" si="0"/>
        <v>('DIVERSOS',1),</v>
      </c>
    </row>
    <row r="37" spans="1:3" x14ac:dyDescent="0.25">
      <c r="A37">
        <v>36</v>
      </c>
      <c r="B37" t="s">
        <v>9098</v>
      </c>
      <c r="C37" t="str">
        <f t="shared" si="0"/>
        <v>('DEFENSAS RIVEREÑAS OLMOS',1),</v>
      </c>
    </row>
    <row r="38" spans="1:3" x14ac:dyDescent="0.25">
      <c r="A38">
        <v>37</v>
      </c>
      <c r="B38" t="s">
        <v>9045</v>
      </c>
      <c r="C38" t="str">
        <f t="shared" si="0"/>
        <v>('DIVERSOS / RAURA',1),</v>
      </c>
    </row>
    <row r="39" spans="1:3" x14ac:dyDescent="0.25">
      <c r="A39">
        <v>38</v>
      </c>
      <c r="B39" t="s">
        <v>9047</v>
      </c>
      <c r="C39" t="str">
        <f t="shared" si="0"/>
        <v>('DIVERSOS / LAP',1),</v>
      </c>
    </row>
    <row r="40" spans="1:3" x14ac:dyDescent="0.25">
      <c r="A40">
        <v>39</v>
      </c>
      <c r="B40" t="s">
        <v>9070</v>
      </c>
      <c r="C40" t="str">
        <f t="shared" si="0"/>
        <v>('RUTAS PIURA',1),</v>
      </c>
    </row>
    <row r="41" spans="1:3" x14ac:dyDescent="0.25">
      <c r="A41">
        <v>40</v>
      </c>
      <c r="B41" t="s">
        <v>9076</v>
      </c>
      <c r="C41" t="str">
        <f t="shared" si="0"/>
        <v>('RUTAS TRUJILLO',1),</v>
      </c>
    </row>
    <row r="42" spans="1:3" x14ac:dyDescent="0.25">
      <c r="A42">
        <v>41</v>
      </c>
      <c r="B42" t="s">
        <v>9091</v>
      </c>
      <c r="C42" t="str">
        <f t="shared" si="0"/>
        <v>('DIVERSOS / ICA',1),</v>
      </c>
    </row>
    <row r="43" spans="1:3" x14ac:dyDescent="0.25">
      <c r="A43">
        <v>42</v>
      </c>
      <c r="B43" t="s">
        <v>9092</v>
      </c>
      <c r="C43" t="str">
        <f t="shared" si="0"/>
        <v>('RUTAS ICA',1),</v>
      </c>
    </row>
    <row r="44" spans="1:3" x14ac:dyDescent="0.25">
      <c r="A44">
        <v>43</v>
      </c>
      <c r="B44" t="s">
        <v>9096</v>
      </c>
      <c r="C44" t="str">
        <f t="shared" si="0"/>
        <v>('DIVERSOS / PALLASCA',1),</v>
      </c>
    </row>
    <row r="45" spans="1:3" x14ac:dyDescent="0.25">
      <c r="A45">
        <v>44</v>
      </c>
      <c r="B45" t="s">
        <v>9107</v>
      </c>
      <c r="C45" t="str">
        <f t="shared" si="0"/>
        <v>('DIVERSOS / CAYLLOMA',1),</v>
      </c>
    </row>
    <row r="46" spans="1:3" x14ac:dyDescent="0.25">
      <c r="A46">
        <v>45</v>
      </c>
      <c r="B46" t="s">
        <v>9111</v>
      </c>
      <c r="C46" t="str">
        <f t="shared" si="0"/>
        <v>('RUTAS CUSCO',1),</v>
      </c>
    </row>
    <row r="47" spans="1:3" x14ac:dyDescent="0.25">
      <c r="A47">
        <v>46</v>
      </c>
      <c r="B47" t="s">
        <v>9081</v>
      </c>
      <c r="C47" t="str">
        <f t="shared" si="0"/>
        <v>('AMPLIACIÓN AEROPUERTO JORGE CHAVEZ',1),</v>
      </c>
    </row>
    <row r="48" spans="1:3" x14ac:dyDescent="0.25">
      <c r="A48">
        <v>47</v>
      </c>
      <c r="B48" t="s">
        <v>9085</v>
      </c>
      <c r="C48" t="str">
        <f t="shared" si="0"/>
        <v>('UNIDAD MINERA PIERINA',1),</v>
      </c>
    </row>
    <row r="49" spans="1:3" x14ac:dyDescent="0.25">
      <c r="A49">
        <v>48</v>
      </c>
      <c r="B49" t="s">
        <v>9090</v>
      </c>
      <c r="C49" t="str">
        <f t="shared" si="0"/>
        <v>('CONSTANCIA',1),</v>
      </c>
    </row>
    <row r="50" spans="1:3" x14ac:dyDescent="0.25">
      <c r="A50">
        <v>49</v>
      </c>
      <c r="B50" t="s">
        <v>4292</v>
      </c>
      <c r="C50" t="str">
        <f t="shared" si="0"/>
        <v>('TALLER',1),</v>
      </c>
    </row>
  </sheetData>
  <autoFilter ref="B1:B50" xr:uid="{C5231E5B-907A-4548-8144-3ADB8D1A6868}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C8F3-D1F4-46AB-B2C0-485F9F8AF5EB}">
  <dimension ref="A1:C928"/>
  <sheetViews>
    <sheetView workbookViewId="0">
      <selection activeCell="J16" sqref="I11:J16"/>
    </sheetView>
  </sheetViews>
  <sheetFormatPr baseColWidth="10" defaultRowHeight="15" x14ac:dyDescent="0.25"/>
  <cols>
    <col min="1" max="1" width="14.28515625" bestFit="1" customWidth="1"/>
    <col min="2" max="2" width="16.85546875" bestFit="1" customWidth="1"/>
  </cols>
  <sheetData>
    <row r="1" spans="1:3" x14ac:dyDescent="0.25">
      <c r="A1" t="s">
        <v>11053</v>
      </c>
      <c r="B1" t="s">
        <v>11054</v>
      </c>
      <c r="C1" t="s">
        <v>11055</v>
      </c>
    </row>
    <row r="2" spans="1:3" x14ac:dyDescent="0.25">
      <c r="A2" t="s">
        <v>8216</v>
      </c>
      <c r="B2">
        <v>789</v>
      </c>
      <c r="C2">
        <v>1</v>
      </c>
    </row>
    <row r="3" spans="1:3" x14ac:dyDescent="0.25">
      <c r="A3" t="s">
        <v>8245</v>
      </c>
      <c r="B3" t="s">
        <v>8216</v>
      </c>
      <c r="C3">
        <v>1</v>
      </c>
    </row>
    <row r="4" spans="1:3" x14ac:dyDescent="0.25">
      <c r="A4" t="s">
        <v>8280</v>
      </c>
      <c r="B4" t="s">
        <v>8216</v>
      </c>
      <c r="C4">
        <v>1</v>
      </c>
    </row>
    <row r="5" spans="1:3" x14ac:dyDescent="0.25">
      <c r="A5" t="s">
        <v>8249</v>
      </c>
      <c r="B5" t="s">
        <v>8259</v>
      </c>
      <c r="C5">
        <v>1</v>
      </c>
    </row>
    <row r="6" spans="1:3" x14ac:dyDescent="0.25">
      <c r="A6" t="s">
        <v>8527</v>
      </c>
      <c r="B6" t="s">
        <v>8250</v>
      </c>
      <c r="C6">
        <v>1</v>
      </c>
    </row>
    <row r="7" spans="1:3" x14ac:dyDescent="0.25">
      <c r="A7" t="s">
        <v>8454</v>
      </c>
      <c r="B7" t="s">
        <v>8250</v>
      </c>
      <c r="C7">
        <v>1</v>
      </c>
    </row>
    <row r="8" spans="1:3" x14ac:dyDescent="0.25">
      <c r="A8" t="s">
        <v>8401</v>
      </c>
      <c r="B8" t="s">
        <v>8352</v>
      </c>
      <c r="C8">
        <v>1</v>
      </c>
    </row>
    <row r="9" spans="1:3" x14ac:dyDescent="0.25">
      <c r="A9" t="s">
        <v>8380</v>
      </c>
      <c r="B9" t="s">
        <v>8403</v>
      </c>
      <c r="C9">
        <v>1</v>
      </c>
    </row>
    <row r="10" spans="1:3" x14ac:dyDescent="0.25">
      <c r="A10" t="s">
        <v>8229</v>
      </c>
      <c r="B10" t="s">
        <v>8387</v>
      </c>
      <c r="C10">
        <v>1</v>
      </c>
    </row>
    <row r="11" spans="1:3" x14ac:dyDescent="0.25">
      <c r="A11" t="s">
        <v>8562</v>
      </c>
      <c r="B11" t="s">
        <v>8250</v>
      </c>
      <c r="C11">
        <v>1</v>
      </c>
    </row>
    <row r="12" spans="1:3" x14ac:dyDescent="0.25">
      <c r="A12" t="s">
        <v>8348</v>
      </c>
      <c r="B12" t="s">
        <v>8245</v>
      </c>
      <c r="C12">
        <v>1</v>
      </c>
    </row>
    <row r="13" spans="1:3" x14ac:dyDescent="0.25">
      <c r="A13" t="s">
        <v>8343</v>
      </c>
      <c r="B13" t="s">
        <v>8245</v>
      </c>
      <c r="C13">
        <v>1</v>
      </c>
    </row>
    <row r="14" spans="1:3" x14ac:dyDescent="0.25">
      <c r="A14" t="s">
        <v>8468</v>
      </c>
      <c r="B14" t="s">
        <v>8261</v>
      </c>
      <c r="C14">
        <v>1</v>
      </c>
    </row>
    <row r="15" spans="1:3" x14ac:dyDescent="0.25">
      <c r="A15" t="s">
        <v>8297</v>
      </c>
      <c r="B15" t="s">
        <v>8304</v>
      </c>
      <c r="C15">
        <v>1</v>
      </c>
    </row>
    <row r="16" spans="1:3" x14ac:dyDescent="0.25">
      <c r="A16" t="s">
        <v>8319</v>
      </c>
      <c r="B16" t="s">
        <v>8572</v>
      </c>
      <c r="C16">
        <v>1</v>
      </c>
    </row>
    <row r="17" spans="1:3" x14ac:dyDescent="0.25">
      <c r="A17" t="s">
        <v>8341</v>
      </c>
      <c r="B17" t="s">
        <v>8572</v>
      </c>
      <c r="C17">
        <v>1</v>
      </c>
    </row>
    <row r="18" spans="1:3" x14ac:dyDescent="0.25">
      <c r="A18" t="s">
        <v>8243</v>
      </c>
      <c r="B18" t="s">
        <v>8859</v>
      </c>
      <c r="C18">
        <v>1</v>
      </c>
    </row>
    <row r="19" spans="1:3" x14ac:dyDescent="0.25">
      <c r="A19" t="s">
        <v>8691</v>
      </c>
      <c r="B19" t="s">
        <v>8816</v>
      </c>
      <c r="C19">
        <v>1</v>
      </c>
    </row>
    <row r="20" spans="1:3" x14ac:dyDescent="0.25">
      <c r="A20" t="s">
        <v>8328</v>
      </c>
      <c r="B20" t="s">
        <v>8245</v>
      </c>
      <c r="C20">
        <v>1</v>
      </c>
    </row>
    <row r="21" spans="1:3" x14ac:dyDescent="0.25">
      <c r="A21" t="s">
        <v>8423</v>
      </c>
      <c r="B21" t="s">
        <v>8215</v>
      </c>
      <c r="C21">
        <v>1</v>
      </c>
    </row>
    <row r="22" spans="1:3" x14ac:dyDescent="0.25">
      <c r="A22" t="s">
        <v>8362</v>
      </c>
      <c r="B22" t="s">
        <v>8216</v>
      </c>
      <c r="C22">
        <v>1</v>
      </c>
    </row>
    <row r="23" spans="1:3" x14ac:dyDescent="0.25">
      <c r="A23" t="s">
        <v>8299</v>
      </c>
      <c r="B23" t="s">
        <v>8259</v>
      </c>
      <c r="C23">
        <v>1</v>
      </c>
    </row>
    <row r="24" spans="1:3" x14ac:dyDescent="0.25">
      <c r="A24" t="s">
        <v>8432</v>
      </c>
      <c r="B24" t="s">
        <v>8237</v>
      </c>
      <c r="C24">
        <v>1</v>
      </c>
    </row>
    <row r="25" spans="1:3" x14ac:dyDescent="0.25">
      <c r="A25" t="s">
        <v>8261</v>
      </c>
      <c r="B25" t="s">
        <v>8566</v>
      </c>
      <c r="C25">
        <v>1</v>
      </c>
    </row>
    <row r="26" spans="1:3" x14ac:dyDescent="0.25">
      <c r="A26" t="s">
        <v>8227</v>
      </c>
      <c r="B26" t="s">
        <v>8425</v>
      </c>
      <c r="C26">
        <v>1</v>
      </c>
    </row>
    <row r="27" spans="1:3" x14ac:dyDescent="0.25">
      <c r="A27" t="s">
        <v>8289</v>
      </c>
      <c r="B27" t="s">
        <v>8348</v>
      </c>
      <c r="C27">
        <v>1</v>
      </c>
    </row>
    <row r="28" spans="1:3" x14ac:dyDescent="0.25">
      <c r="A28" t="s">
        <v>8921</v>
      </c>
      <c r="B28" t="s">
        <v>8237</v>
      </c>
      <c r="C28">
        <v>1</v>
      </c>
    </row>
    <row r="29" spans="1:3" x14ac:dyDescent="0.25">
      <c r="A29" t="s">
        <v>8972</v>
      </c>
      <c r="B29" t="s">
        <v>8555</v>
      </c>
      <c r="C29">
        <v>1</v>
      </c>
    </row>
    <row r="30" spans="1:3" x14ac:dyDescent="0.25">
      <c r="A30" t="s">
        <v>8359</v>
      </c>
      <c r="B30" t="s">
        <v>8475</v>
      </c>
      <c r="C30">
        <v>1</v>
      </c>
    </row>
    <row r="31" spans="1:3" x14ac:dyDescent="0.25">
      <c r="A31" t="s">
        <v>8370</v>
      </c>
      <c r="B31" t="s">
        <v>8498</v>
      </c>
      <c r="C31">
        <v>1</v>
      </c>
    </row>
    <row r="32" spans="1:3" x14ac:dyDescent="0.25">
      <c r="A32" t="s">
        <v>8320</v>
      </c>
      <c r="B32" t="s">
        <v>8261</v>
      </c>
      <c r="C32">
        <v>1</v>
      </c>
    </row>
    <row r="33" spans="1:3" x14ac:dyDescent="0.25">
      <c r="A33" t="s">
        <v>8313</v>
      </c>
      <c r="B33" t="s">
        <v>8215</v>
      </c>
      <c r="C33">
        <v>1</v>
      </c>
    </row>
    <row r="34" spans="1:3" x14ac:dyDescent="0.25">
      <c r="A34" t="s">
        <v>8386</v>
      </c>
      <c r="B34" t="s">
        <v>8221</v>
      </c>
      <c r="C34">
        <v>1</v>
      </c>
    </row>
    <row r="35" spans="1:3" x14ac:dyDescent="0.25">
      <c r="A35" t="s">
        <v>8426</v>
      </c>
      <c r="B35" t="s">
        <v>8215</v>
      </c>
      <c r="C35">
        <v>1</v>
      </c>
    </row>
    <row r="36" spans="1:3" x14ac:dyDescent="0.25">
      <c r="A36" t="s">
        <v>8283</v>
      </c>
      <c r="B36" t="s">
        <v>8859</v>
      </c>
      <c r="C36">
        <v>1</v>
      </c>
    </row>
    <row r="37" spans="1:3" x14ac:dyDescent="0.25">
      <c r="A37" t="s">
        <v>8384</v>
      </c>
      <c r="B37" t="s">
        <v>8295</v>
      </c>
      <c r="C37">
        <v>1</v>
      </c>
    </row>
    <row r="38" spans="1:3" x14ac:dyDescent="0.25">
      <c r="A38" t="s">
        <v>8480</v>
      </c>
      <c r="B38" t="s">
        <v>8566</v>
      </c>
      <c r="C38">
        <v>1</v>
      </c>
    </row>
    <row r="39" spans="1:3" x14ac:dyDescent="0.25">
      <c r="A39" t="s">
        <v>8356</v>
      </c>
      <c r="B39" t="s">
        <v>8404</v>
      </c>
      <c r="C39">
        <v>1</v>
      </c>
    </row>
    <row r="40" spans="1:3" x14ac:dyDescent="0.25">
      <c r="A40" t="s">
        <v>8403</v>
      </c>
      <c r="B40" t="s">
        <v>8566</v>
      </c>
      <c r="C40">
        <v>1</v>
      </c>
    </row>
    <row r="41" spans="1:3" x14ac:dyDescent="0.25">
      <c r="A41" t="s">
        <v>8717</v>
      </c>
      <c r="B41" t="s">
        <v>8245</v>
      </c>
      <c r="C41">
        <v>1</v>
      </c>
    </row>
    <row r="42" spans="1:3" x14ac:dyDescent="0.25">
      <c r="A42" t="s">
        <v>8361</v>
      </c>
      <c r="B42" t="s">
        <v>8475</v>
      </c>
      <c r="C42">
        <v>1</v>
      </c>
    </row>
    <row r="43" spans="1:3" x14ac:dyDescent="0.25">
      <c r="A43" t="s">
        <v>8417</v>
      </c>
      <c r="B43" t="s">
        <v>8362</v>
      </c>
      <c r="C43">
        <v>1</v>
      </c>
    </row>
    <row r="44" spans="1:3" x14ac:dyDescent="0.25">
      <c r="A44" t="s">
        <v>8377</v>
      </c>
      <c r="B44" t="s">
        <v>8237</v>
      </c>
      <c r="C44">
        <v>1</v>
      </c>
    </row>
    <row r="45" spans="1:3" x14ac:dyDescent="0.25">
      <c r="A45" t="s">
        <v>8333</v>
      </c>
      <c r="B45" t="s">
        <v>8216</v>
      </c>
      <c r="C45">
        <v>1</v>
      </c>
    </row>
    <row r="46" spans="1:3" x14ac:dyDescent="0.25">
      <c r="A46" t="s">
        <v>8232</v>
      </c>
      <c r="B46" t="s">
        <v>8425</v>
      </c>
      <c r="C46">
        <v>1</v>
      </c>
    </row>
    <row r="47" spans="1:3" x14ac:dyDescent="0.25">
      <c r="A47" t="s">
        <v>8350</v>
      </c>
      <c r="B47" t="s">
        <v>8328</v>
      </c>
      <c r="C47">
        <v>1</v>
      </c>
    </row>
    <row r="48" spans="1:3" x14ac:dyDescent="0.25">
      <c r="A48" t="s">
        <v>8305</v>
      </c>
      <c r="B48" t="s">
        <v>8498</v>
      </c>
      <c r="C48">
        <v>1</v>
      </c>
    </row>
    <row r="49" spans="1:3" x14ac:dyDescent="0.25">
      <c r="A49" t="s">
        <v>8476</v>
      </c>
      <c r="B49" t="s">
        <v>8475</v>
      </c>
      <c r="C49">
        <v>1</v>
      </c>
    </row>
    <row r="50" spans="1:3" x14ac:dyDescent="0.25">
      <c r="A50" t="s">
        <v>8398</v>
      </c>
      <c r="B50" t="s">
        <v>8417</v>
      </c>
      <c r="C50">
        <v>1</v>
      </c>
    </row>
    <row r="51" spans="1:3" x14ac:dyDescent="0.25">
      <c r="A51" t="s">
        <v>8337</v>
      </c>
      <c r="B51" t="s">
        <v>8717</v>
      </c>
      <c r="C51">
        <v>1</v>
      </c>
    </row>
    <row r="52" spans="1:3" x14ac:dyDescent="0.25">
      <c r="A52" t="s">
        <v>8425</v>
      </c>
      <c r="B52" t="s">
        <v>8250</v>
      </c>
      <c r="C52">
        <v>1</v>
      </c>
    </row>
    <row r="53" spans="1:3" x14ac:dyDescent="0.25">
      <c r="A53" t="s">
        <v>8247</v>
      </c>
      <c r="B53" t="s">
        <v>8237</v>
      </c>
      <c r="C53">
        <v>1</v>
      </c>
    </row>
    <row r="54" spans="1:3" x14ac:dyDescent="0.25">
      <c r="A54" t="s">
        <v>8251</v>
      </c>
      <c r="B54" t="s">
        <v>8245</v>
      </c>
      <c r="C54">
        <v>1</v>
      </c>
    </row>
    <row r="55" spans="1:3" x14ac:dyDescent="0.25">
      <c r="A55" t="s">
        <v>8918</v>
      </c>
      <c r="B55" t="s">
        <v>8613</v>
      </c>
      <c r="C55">
        <v>1</v>
      </c>
    </row>
    <row r="56" spans="1:3" x14ac:dyDescent="0.25">
      <c r="A56" t="s">
        <v>8291</v>
      </c>
      <c r="B56" t="s">
        <v>8717</v>
      </c>
      <c r="C56">
        <v>1</v>
      </c>
    </row>
    <row r="57" spans="1:3" x14ac:dyDescent="0.25">
      <c r="A57" t="s">
        <v>8335</v>
      </c>
      <c r="B57" t="s">
        <v>8670</v>
      </c>
      <c r="C57">
        <v>1</v>
      </c>
    </row>
    <row r="58" spans="1:3" x14ac:dyDescent="0.25">
      <c r="A58" t="s">
        <v>8276</v>
      </c>
      <c r="B58" t="s">
        <v>8237</v>
      </c>
      <c r="C58">
        <v>1</v>
      </c>
    </row>
    <row r="59" spans="1:3" x14ac:dyDescent="0.25">
      <c r="A59" t="s">
        <v>8241</v>
      </c>
      <c r="B59" t="s">
        <v>8859</v>
      </c>
      <c r="C59">
        <v>1</v>
      </c>
    </row>
    <row r="60" spans="1:3" x14ac:dyDescent="0.25">
      <c r="A60" t="s">
        <v>8379</v>
      </c>
      <c r="B60" t="s">
        <v>8717</v>
      </c>
      <c r="C60">
        <v>1</v>
      </c>
    </row>
    <row r="61" spans="1:3" x14ac:dyDescent="0.25">
      <c r="A61" t="s">
        <v>8591</v>
      </c>
      <c r="B61" t="s">
        <v>8297</v>
      </c>
      <c r="C61">
        <v>1</v>
      </c>
    </row>
    <row r="62" spans="1:3" x14ac:dyDescent="0.25">
      <c r="A62" t="s">
        <v>8412</v>
      </c>
      <c r="B62" t="s">
        <v>8297</v>
      </c>
      <c r="C62">
        <v>1</v>
      </c>
    </row>
    <row r="63" spans="1:3" x14ac:dyDescent="0.25">
      <c r="A63" t="s">
        <v>8364</v>
      </c>
      <c r="B63" t="s">
        <v>8670</v>
      </c>
      <c r="C63">
        <v>1</v>
      </c>
    </row>
    <row r="64" spans="1:3" x14ac:dyDescent="0.25">
      <c r="A64" t="s">
        <v>8338</v>
      </c>
      <c r="B64" t="s">
        <v>8261</v>
      </c>
      <c r="C64">
        <v>1</v>
      </c>
    </row>
    <row r="65" spans="1:3" x14ac:dyDescent="0.25">
      <c r="A65" t="s">
        <v>8588</v>
      </c>
      <c r="B65" t="s">
        <v>8403</v>
      </c>
      <c r="C65">
        <v>1</v>
      </c>
    </row>
    <row r="66" spans="1:3" x14ac:dyDescent="0.25">
      <c r="A66" t="s">
        <v>8495</v>
      </c>
      <c r="B66" t="s">
        <v>8237</v>
      </c>
      <c r="C66">
        <v>1</v>
      </c>
    </row>
    <row r="67" spans="1:3" x14ac:dyDescent="0.25">
      <c r="A67" t="s">
        <v>8570</v>
      </c>
      <c r="B67" t="s">
        <v>8359</v>
      </c>
      <c r="C67">
        <v>1</v>
      </c>
    </row>
    <row r="68" spans="1:3" x14ac:dyDescent="0.25">
      <c r="A68" t="s">
        <v>8487</v>
      </c>
      <c r="B68" t="s">
        <v>8284</v>
      </c>
      <c r="C68">
        <v>1</v>
      </c>
    </row>
    <row r="69" spans="1:3" x14ac:dyDescent="0.25">
      <c r="A69" t="s">
        <v>8285</v>
      </c>
      <c r="B69" t="s">
        <v>8237</v>
      </c>
      <c r="C69">
        <v>1</v>
      </c>
    </row>
    <row r="70" spans="1:3" x14ac:dyDescent="0.25">
      <c r="A70" t="s">
        <v>8259</v>
      </c>
      <c r="B70" t="s">
        <v>8216</v>
      </c>
      <c r="C70">
        <v>1</v>
      </c>
    </row>
    <row r="71" spans="1:3" x14ac:dyDescent="0.25">
      <c r="A71" t="s">
        <v>8635</v>
      </c>
      <c r="B71" t="s">
        <v>8462</v>
      </c>
      <c r="C71">
        <v>1</v>
      </c>
    </row>
    <row r="72" spans="1:3" x14ac:dyDescent="0.25">
      <c r="A72" t="s">
        <v>8388</v>
      </c>
      <c r="B72" t="s">
        <v>8295</v>
      </c>
      <c r="C72">
        <v>1</v>
      </c>
    </row>
    <row r="73" spans="1:3" x14ac:dyDescent="0.25">
      <c r="A73" t="s">
        <v>8429</v>
      </c>
      <c r="B73" t="s">
        <v>8215</v>
      </c>
      <c r="C73">
        <v>1</v>
      </c>
    </row>
    <row r="74" spans="1:3" x14ac:dyDescent="0.25">
      <c r="A74" t="s">
        <v>8422</v>
      </c>
      <c r="B74" t="s">
        <v>8492</v>
      </c>
      <c r="C74">
        <v>1</v>
      </c>
    </row>
    <row r="75" spans="1:3" x14ac:dyDescent="0.25">
      <c r="A75" t="s">
        <v>8434</v>
      </c>
      <c r="B75" t="s">
        <v>8237</v>
      </c>
      <c r="C75">
        <v>1</v>
      </c>
    </row>
    <row r="76" spans="1:3" x14ac:dyDescent="0.25">
      <c r="A76" t="s">
        <v>8456</v>
      </c>
      <c r="B76" t="s">
        <v>8475</v>
      </c>
      <c r="C76">
        <v>1</v>
      </c>
    </row>
    <row r="77" spans="1:3" x14ac:dyDescent="0.25">
      <c r="A77" t="s">
        <v>8273</v>
      </c>
      <c r="B77" t="s">
        <v>8299</v>
      </c>
      <c r="C77">
        <v>1</v>
      </c>
    </row>
    <row r="78" spans="1:3" x14ac:dyDescent="0.25">
      <c r="A78" t="s">
        <v>8321</v>
      </c>
      <c r="B78" t="s">
        <v>8297</v>
      </c>
      <c r="C78">
        <v>1</v>
      </c>
    </row>
    <row r="79" spans="1:3" x14ac:dyDescent="0.25">
      <c r="A79" t="s">
        <v>8340</v>
      </c>
      <c r="B79" t="s">
        <v>8245</v>
      </c>
      <c r="C79">
        <v>1</v>
      </c>
    </row>
    <row r="80" spans="1:3" x14ac:dyDescent="0.25">
      <c r="A80" t="s">
        <v>8567</v>
      </c>
      <c r="B80" t="s">
        <v>8215</v>
      </c>
      <c r="C80">
        <v>1</v>
      </c>
    </row>
    <row r="81" spans="1:3" x14ac:dyDescent="0.25">
      <c r="A81" t="s">
        <v>8392</v>
      </c>
      <c r="B81" t="s">
        <v>8259</v>
      </c>
      <c r="C81">
        <v>1</v>
      </c>
    </row>
    <row r="82" spans="1:3" x14ac:dyDescent="0.25">
      <c r="A82" t="s">
        <v>8238</v>
      </c>
      <c r="B82" t="s">
        <v>8362</v>
      </c>
      <c r="C82">
        <v>1</v>
      </c>
    </row>
    <row r="83" spans="1:3" x14ac:dyDescent="0.25">
      <c r="A83" t="s">
        <v>8430</v>
      </c>
      <c r="B83" t="s">
        <v>8237</v>
      </c>
      <c r="C83">
        <v>1</v>
      </c>
    </row>
    <row r="84" spans="1:3" x14ac:dyDescent="0.25">
      <c r="A84" t="s">
        <v>8604</v>
      </c>
      <c r="B84" t="s">
        <v>8572</v>
      </c>
      <c r="C84">
        <v>1</v>
      </c>
    </row>
    <row r="85" spans="1:3" x14ac:dyDescent="0.25">
      <c r="A85" t="s">
        <v>8745</v>
      </c>
      <c r="B85">
        <v>33</v>
      </c>
      <c r="C85">
        <v>1</v>
      </c>
    </row>
    <row r="86" spans="1:3" x14ac:dyDescent="0.25">
      <c r="A86" t="s">
        <v>8246</v>
      </c>
      <c r="B86" t="s">
        <v>8237</v>
      </c>
      <c r="C86">
        <v>1</v>
      </c>
    </row>
    <row r="87" spans="1:3" x14ac:dyDescent="0.25">
      <c r="A87" t="s">
        <v>8474</v>
      </c>
      <c r="B87" t="s">
        <v>8403</v>
      </c>
      <c r="C87">
        <v>1</v>
      </c>
    </row>
    <row r="88" spans="1:3" x14ac:dyDescent="0.25">
      <c r="A88" t="s">
        <v>8684</v>
      </c>
      <c r="B88" t="s">
        <v>8362</v>
      </c>
      <c r="C88">
        <v>1</v>
      </c>
    </row>
    <row r="89" spans="1:3" x14ac:dyDescent="0.25">
      <c r="A89" t="s">
        <v>8450</v>
      </c>
      <c r="B89" t="s">
        <v>8572</v>
      </c>
      <c r="C89">
        <v>1</v>
      </c>
    </row>
    <row r="90" spans="1:3" x14ac:dyDescent="0.25">
      <c r="A90" t="s">
        <v>8540</v>
      </c>
      <c r="B90" t="s">
        <v>8343</v>
      </c>
      <c r="C90">
        <v>1</v>
      </c>
    </row>
    <row r="91" spans="1:3" x14ac:dyDescent="0.25">
      <c r="A91" t="s">
        <v>8220</v>
      </c>
      <c r="B91" t="s">
        <v>8238</v>
      </c>
      <c r="C91">
        <v>1</v>
      </c>
    </row>
    <row r="92" spans="1:3" x14ac:dyDescent="0.25">
      <c r="A92" t="s">
        <v>8393</v>
      </c>
      <c r="B92" t="s">
        <v>8462</v>
      </c>
      <c r="C92">
        <v>1</v>
      </c>
    </row>
    <row r="93" spans="1:3" x14ac:dyDescent="0.25">
      <c r="A93" t="s">
        <v>8352</v>
      </c>
      <c r="B93" t="s">
        <v>8259</v>
      </c>
      <c r="C93">
        <v>1</v>
      </c>
    </row>
    <row r="94" spans="1:3" x14ac:dyDescent="0.25">
      <c r="A94" t="s">
        <v>8493</v>
      </c>
      <c r="B94" t="s">
        <v>8462</v>
      </c>
      <c r="C94">
        <v>1</v>
      </c>
    </row>
    <row r="95" spans="1:3" x14ac:dyDescent="0.25">
      <c r="A95" t="s">
        <v>8862</v>
      </c>
      <c r="B95" t="s">
        <v>8392</v>
      </c>
      <c r="C95">
        <v>1</v>
      </c>
    </row>
    <row r="96" spans="1:3" x14ac:dyDescent="0.25">
      <c r="A96" t="s">
        <v>8324</v>
      </c>
      <c r="B96" t="s">
        <v>8215</v>
      </c>
      <c r="C96">
        <v>1</v>
      </c>
    </row>
    <row r="97" spans="1:3" x14ac:dyDescent="0.25">
      <c r="A97" t="s">
        <v>8351</v>
      </c>
      <c r="B97" t="s">
        <v>8284</v>
      </c>
      <c r="C97">
        <v>1</v>
      </c>
    </row>
    <row r="98" spans="1:3" x14ac:dyDescent="0.25">
      <c r="A98" t="s">
        <v>8791</v>
      </c>
      <c r="B98" t="s">
        <v>8340</v>
      </c>
      <c r="C98">
        <v>1</v>
      </c>
    </row>
    <row r="99" spans="1:3" x14ac:dyDescent="0.25">
      <c r="A99" t="s">
        <v>8290</v>
      </c>
      <c r="B99" t="s">
        <v>8295</v>
      </c>
      <c r="C99">
        <v>1</v>
      </c>
    </row>
    <row r="100" spans="1:3" x14ac:dyDescent="0.25">
      <c r="A100" t="s">
        <v>8402</v>
      </c>
      <c r="B100" t="s">
        <v>8572</v>
      </c>
      <c r="C100">
        <v>1</v>
      </c>
    </row>
    <row r="101" spans="1:3" x14ac:dyDescent="0.25">
      <c r="A101" t="s">
        <v>8985</v>
      </c>
      <c r="B101" t="s">
        <v>8295</v>
      </c>
      <c r="C101">
        <v>1</v>
      </c>
    </row>
    <row r="102" spans="1:3" x14ac:dyDescent="0.25">
      <c r="A102" t="s">
        <v>8336</v>
      </c>
      <c r="B102" t="s">
        <v>8403</v>
      </c>
      <c r="C102">
        <v>1</v>
      </c>
    </row>
    <row r="103" spans="1:3" x14ac:dyDescent="0.25">
      <c r="A103" t="s">
        <v>8964</v>
      </c>
      <c r="B103" t="s">
        <v>8417</v>
      </c>
      <c r="C103">
        <v>1</v>
      </c>
    </row>
    <row r="104" spans="1:3" x14ac:dyDescent="0.25">
      <c r="A104" t="s">
        <v>8477</v>
      </c>
      <c r="B104" t="s">
        <v>8284</v>
      </c>
      <c r="C104">
        <v>1</v>
      </c>
    </row>
    <row r="105" spans="1:3" x14ac:dyDescent="0.25">
      <c r="A105" t="s">
        <v>8526</v>
      </c>
      <c r="B105" t="s">
        <v>8417</v>
      </c>
      <c r="C105">
        <v>1</v>
      </c>
    </row>
    <row r="106" spans="1:3" x14ac:dyDescent="0.25">
      <c r="A106" t="s">
        <v>8306</v>
      </c>
      <c r="B106" t="s">
        <v>8266</v>
      </c>
      <c r="C106">
        <v>1</v>
      </c>
    </row>
    <row r="107" spans="1:3" x14ac:dyDescent="0.25">
      <c r="A107" t="s">
        <v>8330</v>
      </c>
      <c r="B107" t="s">
        <v>8433</v>
      </c>
      <c r="C107">
        <v>1</v>
      </c>
    </row>
    <row r="108" spans="1:3" x14ac:dyDescent="0.25">
      <c r="A108" t="s">
        <v>8715</v>
      </c>
      <c r="B108" t="s">
        <v>8392</v>
      </c>
      <c r="C108">
        <v>1</v>
      </c>
    </row>
    <row r="109" spans="1:3" x14ac:dyDescent="0.25">
      <c r="A109" t="s">
        <v>8697</v>
      </c>
      <c r="B109" t="s">
        <v>8613</v>
      </c>
      <c r="C109">
        <v>1</v>
      </c>
    </row>
    <row r="110" spans="1:3" x14ac:dyDescent="0.25">
      <c r="A110" t="s">
        <v>8462</v>
      </c>
      <c r="B110" t="s">
        <v>8498</v>
      </c>
      <c r="C110">
        <v>1</v>
      </c>
    </row>
    <row r="111" spans="1:3" x14ac:dyDescent="0.25">
      <c r="A111" t="s">
        <v>8255</v>
      </c>
      <c r="B111" t="s">
        <v>8245</v>
      </c>
      <c r="C111">
        <v>1</v>
      </c>
    </row>
    <row r="112" spans="1:3" x14ac:dyDescent="0.25">
      <c r="A112" t="s">
        <v>8405</v>
      </c>
      <c r="B112" t="s">
        <v>8462</v>
      </c>
      <c r="C112">
        <v>1</v>
      </c>
    </row>
    <row r="113" spans="1:3" x14ac:dyDescent="0.25">
      <c r="A113" t="s">
        <v>8344</v>
      </c>
      <c r="B113" t="s">
        <v>8295</v>
      </c>
      <c r="C113">
        <v>1</v>
      </c>
    </row>
    <row r="114" spans="1:3" x14ac:dyDescent="0.25">
      <c r="A114" t="s">
        <v>8382</v>
      </c>
      <c r="B114" t="s">
        <v>8215</v>
      </c>
      <c r="C114">
        <v>1</v>
      </c>
    </row>
    <row r="115" spans="1:3" x14ac:dyDescent="0.25">
      <c r="A115" t="s">
        <v>8446</v>
      </c>
      <c r="B115" t="s">
        <v>8403</v>
      </c>
      <c r="C115">
        <v>1</v>
      </c>
    </row>
    <row r="116" spans="1:3" x14ac:dyDescent="0.25">
      <c r="A116" t="s">
        <v>8226</v>
      </c>
      <c r="B116" t="s">
        <v>8387</v>
      </c>
      <c r="C116">
        <v>1</v>
      </c>
    </row>
    <row r="117" spans="1:3" x14ac:dyDescent="0.25">
      <c r="A117" t="s">
        <v>8371</v>
      </c>
      <c r="B117" t="s">
        <v>8297</v>
      </c>
      <c r="C117">
        <v>1</v>
      </c>
    </row>
    <row r="118" spans="1:3" x14ac:dyDescent="0.25">
      <c r="A118" t="s">
        <v>8677</v>
      </c>
      <c r="B118" t="s">
        <v>8559</v>
      </c>
      <c r="C118">
        <v>1</v>
      </c>
    </row>
    <row r="119" spans="1:3" x14ac:dyDescent="0.25">
      <c r="A119" t="s">
        <v>8373</v>
      </c>
      <c r="B119" t="s">
        <v>8215</v>
      </c>
      <c r="C119">
        <v>1</v>
      </c>
    </row>
    <row r="120" spans="1:3" x14ac:dyDescent="0.25">
      <c r="A120" t="s">
        <v>8978</v>
      </c>
      <c r="B120" t="s">
        <v>8299</v>
      </c>
      <c r="C120">
        <v>1</v>
      </c>
    </row>
    <row r="121" spans="1:3" x14ac:dyDescent="0.25">
      <c r="A121" t="s">
        <v>8355</v>
      </c>
      <c r="B121" t="s">
        <v>8237</v>
      </c>
      <c r="C121">
        <v>1</v>
      </c>
    </row>
    <row r="122" spans="1:3" x14ac:dyDescent="0.25">
      <c r="A122" t="s">
        <v>8701</v>
      </c>
      <c r="B122" t="s">
        <v>8237</v>
      </c>
      <c r="C122">
        <v>1</v>
      </c>
    </row>
    <row r="123" spans="1:3" x14ac:dyDescent="0.25">
      <c r="A123" t="s">
        <v>8763</v>
      </c>
      <c r="B123" t="s">
        <v>8237</v>
      </c>
      <c r="C123">
        <v>1</v>
      </c>
    </row>
    <row r="124" spans="1:3" x14ac:dyDescent="0.25">
      <c r="A124" t="s">
        <v>8764</v>
      </c>
      <c r="B124" t="s">
        <v>8237</v>
      </c>
      <c r="C124">
        <v>1</v>
      </c>
    </row>
    <row r="125" spans="1:3" x14ac:dyDescent="0.25">
      <c r="A125" t="s">
        <v>8578</v>
      </c>
      <c r="B125" t="s">
        <v>8462</v>
      </c>
      <c r="C125">
        <v>1</v>
      </c>
    </row>
    <row r="126" spans="1:3" x14ac:dyDescent="0.25">
      <c r="A126" t="s">
        <v>8207</v>
      </c>
      <c r="B126" t="s">
        <v>8859</v>
      </c>
      <c r="C126">
        <v>1</v>
      </c>
    </row>
    <row r="127" spans="1:3" x14ac:dyDescent="0.25">
      <c r="A127" t="s">
        <v>8854</v>
      </c>
      <c r="B127" t="s">
        <v>8237</v>
      </c>
      <c r="C127">
        <v>1</v>
      </c>
    </row>
    <row r="128" spans="1:3" x14ac:dyDescent="0.25">
      <c r="A128" t="s">
        <v>8459</v>
      </c>
      <c r="B128" t="s">
        <v>8332</v>
      </c>
      <c r="C128">
        <v>1</v>
      </c>
    </row>
    <row r="129" spans="1:3" x14ac:dyDescent="0.25">
      <c r="A129" t="s">
        <v>8409</v>
      </c>
      <c r="B129" t="s">
        <v>8403</v>
      </c>
      <c r="C129">
        <v>1</v>
      </c>
    </row>
    <row r="130" spans="1:3" x14ac:dyDescent="0.25">
      <c r="A130" t="s">
        <v>8568</v>
      </c>
      <c r="B130" t="s">
        <v>8261</v>
      </c>
      <c r="C130">
        <v>1</v>
      </c>
    </row>
    <row r="131" spans="1:3" x14ac:dyDescent="0.25">
      <c r="A131" t="s">
        <v>8472</v>
      </c>
      <c r="B131" t="s">
        <v>8559</v>
      </c>
      <c r="C131">
        <v>1</v>
      </c>
    </row>
    <row r="132" spans="1:3" x14ac:dyDescent="0.25">
      <c r="A132" t="s">
        <v>8719</v>
      </c>
      <c r="B132" t="s">
        <v>8237</v>
      </c>
      <c r="C132">
        <v>1</v>
      </c>
    </row>
    <row r="133" spans="1:3" x14ac:dyDescent="0.25">
      <c r="A133" t="s">
        <v>8977</v>
      </c>
      <c r="B133" t="s">
        <v>8215</v>
      </c>
      <c r="C133">
        <v>1</v>
      </c>
    </row>
    <row r="134" spans="1:3" x14ac:dyDescent="0.25">
      <c r="A134" t="s">
        <v>8867</v>
      </c>
      <c r="B134" t="s">
        <v>8237</v>
      </c>
      <c r="C134">
        <v>1</v>
      </c>
    </row>
    <row r="135" spans="1:3" x14ac:dyDescent="0.25">
      <c r="A135" t="s">
        <v>8736</v>
      </c>
      <c r="B135" t="s">
        <v>8462</v>
      </c>
      <c r="C135">
        <v>1</v>
      </c>
    </row>
    <row r="136" spans="1:3" x14ac:dyDescent="0.25">
      <c r="A136" t="s">
        <v>8404</v>
      </c>
      <c r="B136" t="s">
        <v>8238</v>
      </c>
      <c r="C136">
        <v>1</v>
      </c>
    </row>
    <row r="137" spans="1:3" x14ac:dyDescent="0.25">
      <c r="A137" t="s">
        <v>8662</v>
      </c>
      <c r="B137" t="s">
        <v>8475</v>
      </c>
      <c r="C137">
        <v>1</v>
      </c>
    </row>
    <row r="138" spans="1:3" x14ac:dyDescent="0.25">
      <c r="A138" t="s">
        <v>8808</v>
      </c>
      <c r="B138" t="s">
        <v>8328</v>
      </c>
      <c r="C138">
        <v>1</v>
      </c>
    </row>
    <row r="139" spans="1:3" x14ac:dyDescent="0.25">
      <c r="A139" t="s">
        <v>8946</v>
      </c>
      <c r="B139" t="s">
        <v>8859</v>
      </c>
      <c r="C139">
        <v>1</v>
      </c>
    </row>
    <row r="140" spans="1:3" x14ac:dyDescent="0.25">
      <c r="A140" t="s">
        <v>8595</v>
      </c>
      <c r="B140" t="s">
        <v>8215</v>
      </c>
      <c r="C140">
        <v>1</v>
      </c>
    </row>
    <row r="141" spans="1:3" x14ac:dyDescent="0.25">
      <c r="A141" t="s">
        <v>8270</v>
      </c>
      <c r="B141" t="s">
        <v>8816</v>
      </c>
      <c r="C141">
        <v>1</v>
      </c>
    </row>
    <row r="142" spans="1:3" x14ac:dyDescent="0.25">
      <c r="A142" t="s">
        <v>8267</v>
      </c>
      <c r="B142" t="s">
        <v>8237</v>
      </c>
      <c r="C142">
        <v>1</v>
      </c>
    </row>
    <row r="143" spans="1:3" x14ac:dyDescent="0.25">
      <c r="A143" t="s">
        <v>8924</v>
      </c>
      <c r="B143" t="s">
        <v>8238</v>
      </c>
      <c r="C143">
        <v>1</v>
      </c>
    </row>
    <row r="144" spans="1:3" x14ac:dyDescent="0.25">
      <c r="A144" t="s">
        <v>8905</v>
      </c>
      <c r="B144" t="s">
        <v>8299</v>
      </c>
      <c r="C144">
        <v>1</v>
      </c>
    </row>
    <row r="145" spans="1:3" x14ac:dyDescent="0.25">
      <c r="A145" t="s">
        <v>8559</v>
      </c>
      <c r="B145" t="s">
        <v>8259</v>
      </c>
      <c r="C145">
        <v>1</v>
      </c>
    </row>
    <row r="146" spans="1:3" x14ac:dyDescent="0.25">
      <c r="A146" t="s">
        <v>8932</v>
      </c>
      <c r="B146" t="s">
        <v>8859</v>
      </c>
      <c r="C146">
        <v>1</v>
      </c>
    </row>
    <row r="147" spans="1:3" x14ac:dyDescent="0.25">
      <c r="A147" t="s">
        <v>8961</v>
      </c>
      <c r="B147" t="s">
        <v>8392</v>
      </c>
      <c r="C147">
        <v>1</v>
      </c>
    </row>
    <row r="148" spans="1:3" x14ac:dyDescent="0.25">
      <c r="A148" t="s">
        <v>8773</v>
      </c>
      <c r="B148" t="s">
        <v>8297</v>
      </c>
      <c r="C148">
        <v>1</v>
      </c>
    </row>
    <row r="149" spans="1:3" x14ac:dyDescent="0.25">
      <c r="A149" t="s">
        <v>8492</v>
      </c>
      <c r="B149" t="s">
        <v>8245</v>
      </c>
      <c r="C149">
        <v>1</v>
      </c>
    </row>
    <row r="150" spans="1:3" x14ac:dyDescent="0.25">
      <c r="A150" t="s">
        <v>8721</v>
      </c>
      <c r="B150" t="s">
        <v>8297</v>
      </c>
      <c r="C150">
        <v>1</v>
      </c>
    </row>
    <row r="151" spans="1:3" x14ac:dyDescent="0.25">
      <c r="A151" t="s">
        <v>8376</v>
      </c>
      <c r="B151" t="s">
        <v>8403</v>
      </c>
      <c r="C151">
        <v>1</v>
      </c>
    </row>
    <row r="152" spans="1:3" x14ac:dyDescent="0.25">
      <c r="A152" t="s">
        <v>8264</v>
      </c>
      <c r="B152" t="s">
        <v>8859</v>
      </c>
      <c r="C152">
        <v>1</v>
      </c>
    </row>
    <row r="153" spans="1:3" x14ac:dyDescent="0.25">
      <c r="A153" t="s">
        <v>8832</v>
      </c>
      <c r="B153" t="s">
        <v>8364</v>
      </c>
      <c r="C153">
        <v>1</v>
      </c>
    </row>
    <row r="154" spans="1:3" x14ac:dyDescent="0.25">
      <c r="A154" t="s">
        <v>8775</v>
      </c>
      <c r="B154" t="s">
        <v>8284</v>
      </c>
      <c r="C154">
        <v>1</v>
      </c>
    </row>
    <row r="155" spans="1:3" x14ac:dyDescent="0.25">
      <c r="A155" t="s">
        <v>8445</v>
      </c>
      <c r="B155" t="s">
        <v>8859</v>
      </c>
      <c r="C155">
        <v>1</v>
      </c>
    </row>
    <row r="156" spans="1:3" x14ac:dyDescent="0.25">
      <c r="A156" t="s">
        <v>8877</v>
      </c>
      <c r="B156" t="s">
        <v>8237</v>
      </c>
      <c r="C156">
        <v>1</v>
      </c>
    </row>
    <row r="157" spans="1:3" x14ac:dyDescent="0.25">
      <c r="A157" t="s">
        <v>8594</v>
      </c>
      <c r="B157" t="s">
        <v>8237</v>
      </c>
      <c r="C157">
        <v>1</v>
      </c>
    </row>
    <row r="158" spans="1:3" x14ac:dyDescent="0.25">
      <c r="A158" t="s">
        <v>8561</v>
      </c>
      <c r="B158" t="s">
        <v>8859</v>
      </c>
      <c r="C158">
        <v>1</v>
      </c>
    </row>
    <row r="159" spans="1:3" x14ac:dyDescent="0.25">
      <c r="A159" t="s">
        <v>8390</v>
      </c>
      <c r="B159" t="s">
        <v>8566</v>
      </c>
      <c r="C159">
        <v>1</v>
      </c>
    </row>
    <row r="160" spans="1:3" x14ac:dyDescent="0.25">
      <c r="A160" t="s">
        <v>8829</v>
      </c>
      <c r="B160" t="s">
        <v>8237</v>
      </c>
      <c r="C160">
        <v>1</v>
      </c>
    </row>
    <row r="161" spans="1:3" x14ac:dyDescent="0.25">
      <c r="A161" t="s">
        <v>8315</v>
      </c>
      <c r="B161" t="s">
        <v>8572</v>
      </c>
      <c r="C161">
        <v>1</v>
      </c>
    </row>
    <row r="162" spans="1:3" x14ac:dyDescent="0.25">
      <c r="A162" t="s">
        <v>8922</v>
      </c>
      <c r="B162" t="s">
        <v>8359</v>
      </c>
      <c r="C162">
        <v>1</v>
      </c>
    </row>
    <row r="163" spans="1:3" x14ac:dyDescent="0.25">
      <c r="A163" t="s">
        <v>8740</v>
      </c>
      <c r="B163" t="s">
        <v>8425</v>
      </c>
      <c r="C163">
        <v>1</v>
      </c>
    </row>
    <row r="164" spans="1:3" x14ac:dyDescent="0.25">
      <c r="A164" t="s">
        <v>8703</v>
      </c>
      <c r="B164" t="s">
        <v>8359</v>
      </c>
      <c r="C164">
        <v>1</v>
      </c>
    </row>
    <row r="165" spans="1:3" x14ac:dyDescent="0.25">
      <c r="A165" t="s">
        <v>8523</v>
      </c>
      <c r="B165" t="s">
        <v>8425</v>
      </c>
      <c r="C165">
        <v>1</v>
      </c>
    </row>
    <row r="166" spans="1:3" x14ac:dyDescent="0.25">
      <c r="A166" t="s">
        <v>8949</v>
      </c>
      <c r="B166" t="s">
        <v>8403</v>
      </c>
      <c r="C166">
        <v>1</v>
      </c>
    </row>
    <row r="167" spans="1:3" x14ac:dyDescent="0.25">
      <c r="A167" t="s">
        <v>8882</v>
      </c>
      <c r="B167" t="s">
        <v>8411</v>
      </c>
      <c r="C167">
        <v>1</v>
      </c>
    </row>
    <row r="168" spans="1:3" x14ac:dyDescent="0.25">
      <c r="A168" t="s">
        <v>8986</v>
      </c>
      <c r="B168" t="s">
        <v>8670</v>
      </c>
      <c r="C168">
        <v>1</v>
      </c>
    </row>
    <row r="169" spans="1:3" x14ac:dyDescent="0.25">
      <c r="A169" t="s">
        <v>8934</v>
      </c>
      <c r="B169" t="s">
        <v>8411</v>
      </c>
      <c r="C169">
        <v>1</v>
      </c>
    </row>
    <row r="170" spans="1:3" x14ac:dyDescent="0.25">
      <c r="A170" t="s">
        <v>8508</v>
      </c>
      <c r="B170" t="s">
        <v>8717</v>
      </c>
      <c r="C170">
        <v>1</v>
      </c>
    </row>
    <row r="171" spans="1:3" x14ac:dyDescent="0.25">
      <c r="A171" t="s">
        <v>8689</v>
      </c>
      <c r="B171" t="s">
        <v>8498</v>
      </c>
      <c r="C171">
        <v>1</v>
      </c>
    </row>
    <row r="172" spans="1:3" x14ac:dyDescent="0.25">
      <c r="A172" t="s">
        <v>8786</v>
      </c>
      <c r="B172" t="s">
        <v>8559</v>
      </c>
      <c r="C172">
        <v>1</v>
      </c>
    </row>
    <row r="173" spans="1:3" x14ac:dyDescent="0.25">
      <c r="A173" t="s">
        <v>8503</v>
      </c>
      <c r="B173" t="s">
        <v>8859</v>
      </c>
      <c r="C173">
        <v>1</v>
      </c>
    </row>
    <row r="174" spans="1:3" x14ac:dyDescent="0.25">
      <c r="A174" t="s">
        <v>8984</v>
      </c>
      <c r="B174" t="s">
        <v>8859</v>
      </c>
      <c r="C174">
        <v>1</v>
      </c>
    </row>
    <row r="175" spans="1:3" x14ac:dyDescent="0.25">
      <c r="A175" t="s">
        <v>8690</v>
      </c>
      <c r="B175" t="s">
        <v>8352</v>
      </c>
      <c r="C175">
        <v>1</v>
      </c>
    </row>
    <row r="176" spans="1:3" x14ac:dyDescent="0.25">
      <c r="A176" t="s">
        <v>8954</v>
      </c>
      <c r="B176" t="s">
        <v>8238</v>
      </c>
      <c r="C176">
        <v>1</v>
      </c>
    </row>
    <row r="177" spans="1:3" x14ac:dyDescent="0.25">
      <c r="A177" t="s">
        <v>8855</v>
      </c>
      <c r="B177" t="s">
        <v>8297</v>
      </c>
      <c r="C177">
        <v>1</v>
      </c>
    </row>
    <row r="178" spans="1:3" x14ac:dyDescent="0.25">
      <c r="A178" t="s">
        <v>8973</v>
      </c>
      <c r="B178" t="s">
        <v>8717</v>
      </c>
      <c r="C178">
        <v>1</v>
      </c>
    </row>
    <row r="179" spans="1:3" x14ac:dyDescent="0.25">
      <c r="A179" t="s">
        <v>8753</v>
      </c>
      <c r="B179" t="s">
        <v>8566</v>
      </c>
      <c r="C179">
        <v>1</v>
      </c>
    </row>
    <row r="180" spans="1:3" x14ac:dyDescent="0.25">
      <c r="A180" t="s">
        <v>8686</v>
      </c>
      <c r="B180" t="s">
        <v>8404</v>
      </c>
      <c r="C180">
        <v>1</v>
      </c>
    </row>
    <row r="181" spans="1:3" x14ac:dyDescent="0.25">
      <c r="A181" t="s">
        <v>8514</v>
      </c>
      <c r="B181" t="s">
        <v>8284</v>
      </c>
      <c r="C181">
        <v>1</v>
      </c>
    </row>
    <row r="182" spans="1:3" x14ac:dyDescent="0.25">
      <c r="A182" t="s">
        <v>8893</v>
      </c>
      <c r="B182" t="s">
        <v>8237</v>
      </c>
      <c r="C182">
        <v>1</v>
      </c>
    </row>
    <row r="183" spans="1:3" x14ac:dyDescent="0.25">
      <c r="A183" t="s">
        <v>8476</v>
      </c>
      <c r="B183" t="s">
        <v>8237</v>
      </c>
      <c r="C183">
        <v>1</v>
      </c>
    </row>
    <row r="184" spans="1:3" x14ac:dyDescent="0.25">
      <c r="A184" t="s">
        <v>8498</v>
      </c>
      <c r="B184" t="s">
        <v>8245</v>
      </c>
      <c r="C184">
        <v>1</v>
      </c>
    </row>
    <row r="185" spans="1:3" x14ac:dyDescent="0.25">
      <c r="A185" t="s">
        <v>8485</v>
      </c>
      <c r="B185" t="s">
        <v>8237</v>
      </c>
      <c r="C185">
        <v>1</v>
      </c>
    </row>
    <row r="186" spans="1:3" x14ac:dyDescent="0.25">
      <c r="A186" t="s">
        <v>8916</v>
      </c>
      <c r="B186" t="s">
        <v>8237</v>
      </c>
      <c r="C186">
        <v>1</v>
      </c>
    </row>
    <row r="187" spans="1:3" x14ac:dyDescent="0.25">
      <c r="A187" t="s">
        <v>8317</v>
      </c>
      <c r="B187" t="s">
        <v>8297</v>
      </c>
      <c r="C187">
        <v>1</v>
      </c>
    </row>
    <row r="188" spans="1:3" x14ac:dyDescent="0.25">
      <c r="A188" t="s">
        <v>8501</v>
      </c>
      <c r="B188" t="s">
        <v>8297</v>
      </c>
      <c r="C188">
        <v>1</v>
      </c>
    </row>
    <row r="189" spans="1:3" x14ac:dyDescent="0.25">
      <c r="A189" t="s">
        <v>8817</v>
      </c>
      <c r="B189" t="s">
        <v>8613</v>
      </c>
      <c r="C189">
        <v>1</v>
      </c>
    </row>
    <row r="190" spans="1:3" x14ac:dyDescent="0.25">
      <c r="A190" t="s">
        <v>8636</v>
      </c>
      <c r="B190" t="s">
        <v>8215</v>
      </c>
      <c r="C190">
        <v>1</v>
      </c>
    </row>
    <row r="191" spans="1:3" x14ac:dyDescent="0.25">
      <c r="A191" t="s">
        <v>8589</v>
      </c>
      <c r="B191" t="s">
        <v>8266</v>
      </c>
      <c r="C191">
        <v>1</v>
      </c>
    </row>
    <row r="192" spans="1:3" x14ac:dyDescent="0.25">
      <c r="A192" t="s">
        <v>8645</v>
      </c>
      <c r="B192" t="s">
        <v>8859</v>
      </c>
      <c r="C192">
        <v>1</v>
      </c>
    </row>
    <row r="193" spans="1:3" x14ac:dyDescent="0.25">
      <c r="A193" t="s">
        <v>8580</v>
      </c>
      <c r="B193" t="s">
        <v>8425</v>
      </c>
      <c r="C193">
        <v>1</v>
      </c>
    </row>
    <row r="194" spans="1:3" x14ac:dyDescent="0.25">
      <c r="A194" t="s">
        <v>8437</v>
      </c>
      <c r="B194" t="s">
        <v>8237</v>
      </c>
      <c r="C194">
        <v>1</v>
      </c>
    </row>
    <row r="195" spans="1:3" x14ac:dyDescent="0.25">
      <c r="A195" t="s">
        <v>8698</v>
      </c>
      <c r="B195" t="s">
        <v>8237</v>
      </c>
      <c r="C195">
        <v>1</v>
      </c>
    </row>
    <row r="196" spans="1:3" x14ac:dyDescent="0.25">
      <c r="A196" t="s">
        <v>8552</v>
      </c>
      <c r="B196" t="s">
        <v>8237</v>
      </c>
      <c r="C196">
        <v>1</v>
      </c>
    </row>
    <row r="197" spans="1:3" x14ac:dyDescent="0.25">
      <c r="A197" t="s">
        <v>8898</v>
      </c>
      <c r="B197" t="s">
        <v>8295</v>
      </c>
      <c r="C197">
        <v>1</v>
      </c>
    </row>
    <row r="198" spans="1:3" x14ac:dyDescent="0.25">
      <c r="A198" t="s">
        <v>8541</v>
      </c>
      <c r="B198" t="s">
        <v>8297</v>
      </c>
      <c r="C198">
        <v>1</v>
      </c>
    </row>
    <row r="199" spans="1:3" x14ac:dyDescent="0.25">
      <c r="A199" t="s">
        <v>8778</v>
      </c>
      <c r="B199" t="s">
        <v>8425</v>
      </c>
      <c r="C199">
        <v>1</v>
      </c>
    </row>
    <row r="200" spans="1:3" x14ac:dyDescent="0.25">
      <c r="A200" t="s">
        <v>8646</v>
      </c>
      <c r="B200" t="s">
        <v>8297</v>
      </c>
      <c r="C200">
        <v>1</v>
      </c>
    </row>
    <row r="201" spans="1:3" x14ac:dyDescent="0.25">
      <c r="A201" t="s">
        <v>8394</v>
      </c>
      <c r="B201" t="s">
        <v>8462</v>
      </c>
      <c r="C201">
        <v>1</v>
      </c>
    </row>
    <row r="202" spans="1:3" x14ac:dyDescent="0.25">
      <c r="A202" t="s">
        <v>8312</v>
      </c>
      <c r="B202" t="s">
        <v>8555</v>
      </c>
      <c r="C202">
        <v>1</v>
      </c>
    </row>
    <row r="203" spans="1:3" x14ac:dyDescent="0.25">
      <c r="A203" t="s">
        <v>8664</v>
      </c>
      <c r="B203" t="s">
        <v>8297</v>
      </c>
      <c r="C203">
        <v>1</v>
      </c>
    </row>
    <row r="204" spans="1:3" x14ac:dyDescent="0.25">
      <c r="A204" t="s">
        <v>8642</v>
      </c>
      <c r="B204" t="s">
        <v>8297</v>
      </c>
      <c r="C204">
        <v>1</v>
      </c>
    </row>
    <row r="205" spans="1:3" x14ac:dyDescent="0.25">
      <c r="A205" t="s">
        <v>8818</v>
      </c>
      <c r="B205" t="s">
        <v>8295</v>
      </c>
      <c r="C205">
        <v>1</v>
      </c>
    </row>
    <row r="206" spans="1:3" x14ac:dyDescent="0.25">
      <c r="A206" t="s">
        <v>8316</v>
      </c>
      <c r="B206" t="s">
        <v>8392</v>
      </c>
      <c r="C206">
        <v>1</v>
      </c>
    </row>
    <row r="207" spans="1:3" x14ac:dyDescent="0.25">
      <c r="A207" t="s">
        <v>8253</v>
      </c>
      <c r="B207" t="s">
        <v>8295</v>
      </c>
      <c r="C207">
        <v>1</v>
      </c>
    </row>
    <row r="208" spans="1:3" x14ac:dyDescent="0.25">
      <c r="A208" t="s">
        <v>8923</v>
      </c>
      <c r="B208" t="s">
        <v>8462</v>
      </c>
      <c r="C208">
        <v>1</v>
      </c>
    </row>
    <row r="209" spans="1:3" x14ac:dyDescent="0.25">
      <c r="A209" t="s">
        <v>8400</v>
      </c>
      <c r="B209" t="s">
        <v>8359</v>
      </c>
      <c r="C209">
        <v>1</v>
      </c>
    </row>
    <row r="210" spans="1:3" x14ac:dyDescent="0.25">
      <c r="A210" t="s">
        <v>8205</v>
      </c>
      <c r="B210" t="s">
        <v>8637</v>
      </c>
      <c r="C210">
        <v>1</v>
      </c>
    </row>
    <row r="211" spans="1:3" x14ac:dyDescent="0.25">
      <c r="A211" t="s">
        <v>8248</v>
      </c>
      <c r="B211" t="s">
        <v>8411</v>
      </c>
      <c r="C211">
        <v>1</v>
      </c>
    </row>
    <row r="212" spans="1:3" x14ac:dyDescent="0.25">
      <c r="A212" t="s">
        <v>8287</v>
      </c>
      <c r="B212" t="s">
        <v>8316</v>
      </c>
      <c r="C212">
        <v>1</v>
      </c>
    </row>
    <row r="213" spans="1:3" x14ac:dyDescent="0.25">
      <c r="A213" t="s">
        <v>8236</v>
      </c>
      <c r="B213" t="s">
        <v>8237</v>
      </c>
      <c r="C213">
        <v>1</v>
      </c>
    </row>
    <row r="214" spans="1:3" x14ac:dyDescent="0.25">
      <c r="A214" t="s">
        <v>8367</v>
      </c>
      <c r="B214" t="s">
        <v>8284</v>
      </c>
      <c r="C214">
        <v>1</v>
      </c>
    </row>
    <row r="215" spans="1:3" x14ac:dyDescent="0.25">
      <c r="A215" t="s">
        <v>8772</v>
      </c>
      <c r="B215" t="s">
        <v>8215</v>
      </c>
      <c r="C215">
        <v>1</v>
      </c>
    </row>
    <row r="216" spans="1:3" x14ac:dyDescent="0.25">
      <c r="A216" t="s">
        <v>8810</v>
      </c>
      <c r="B216" t="s">
        <v>8297</v>
      </c>
      <c r="C216">
        <v>1</v>
      </c>
    </row>
    <row r="217" spans="1:3" x14ac:dyDescent="0.25">
      <c r="A217" t="s">
        <v>8881</v>
      </c>
      <c r="B217" t="s">
        <v>8215</v>
      </c>
      <c r="C217">
        <v>1</v>
      </c>
    </row>
    <row r="218" spans="1:3" x14ac:dyDescent="0.25">
      <c r="A218" t="s">
        <v>8974</v>
      </c>
      <c r="B218" t="s">
        <v>8555</v>
      </c>
      <c r="C218">
        <v>1</v>
      </c>
    </row>
    <row r="219" spans="1:3" x14ac:dyDescent="0.25">
      <c r="A219" t="s">
        <v>8983</v>
      </c>
      <c r="B219" t="s">
        <v>8392</v>
      </c>
      <c r="C219">
        <v>1</v>
      </c>
    </row>
    <row r="220" spans="1:3" x14ac:dyDescent="0.25">
      <c r="A220" t="s">
        <v>8511</v>
      </c>
      <c r="B220" t="s">
        <v>8255</v>
      </c>
      <c r="C220">
        <v>1</v>
      </c>
    </row>
    <row r="221" spans="1:3" x14ac:dyDescent="0.25">
      <c r="A221" t="s">
        <v>8550</v>
      </c>
      <c r="B221" t="s">
        <v>8251</v>
      </c>
      <c r="C221">
        <v>1</v>
      </c>
    </row>
    <row r="222" spans="1:3" x14ac:dyDescent="0.25">
      <c r="A222" t="s">
        <v>8900</v>
      </c>
      <c r="B222" t="s">
        <v>8250</v>
      </c>
      <c r="C222">
        <v>1</v>
      </c>
    </row>
    <row r="223" spans="1:3" x14ac:dyDescent="0.25">
      <c r="A223" t="s">
        <v>8670</v>
      </c>
      <c r="B223" t="s">
        <v>8362</v>
      </c>
      <c r="C223">
        <v>1</v>
      </c>
    </row>
    <row r="224" spans="1:3" x14ac:dyDescent="0.25">
      <c r="A224" t="s">
        <v>8718</v>
      </c>
      <c r="B224" t="s">
        <v>8433</v>
      </c>
      <c r="C224">
        <v>1</v>
      </c>
    </row>
    <row r="225" spans="1:3" x14ac:dyDescent="0.25">
      <c r="A225" t="s">
        <v>8794</v>
      </c>
      <c r="B225" t="s">
        <v>8566</v>
      </c>
      <c r="C225">
        <v>1</v>
      </c>
    </row>
    <row r="226" spans="1:3" x14ac:dyDescent="0.25">
      <c r="A226" t="s">
        <v>8849</v>
      </c>
      <c r="B226" t="s">
        <v>8215</v>
      </c>
      <c r="C226">
        <v>1</v>
      </c>
    </row>
    <row r="227" spans="1:3" x14ac:dyDescent="0.25">
      <c r="A227" t="s">
        <v>8960</v>
      </c>
      <c r="B227" t="s">
        <v>8284</v>
      </c>
      <c r="C227">
        <v>1</v>
      </c>
    </row>
    <row r="228" spans="1:3" x14ac:dyDescent="0.25">
      <c r="A228" t="s">
        <v>8878</v>
      </c>
      <c r="B228" t="s">
        <v>8433</v>
      </c>
      <c r="C228">
        <v>1</v>
      </c>
    </row>
    <row r="229" spans="1:3" x14ac:dyDescent="0.25">
      <c r="A229" t="s">
        <v>8823</v>
      </c>
      <c r="B229" t="s">
        <v>8215</v>
      </c>
      <c r="C229">
        <v>1</v>
      </c>
    </row>
    <row r="230" spans="1:3" x14ac:dyDescent="0.25">
      <c r="A230" t="s">
        <v>8769</v>
      </c>
      <c r="B230" t="s">
        <v>8359</v>
      </c>
      <c r="C230">
        <v>1</v>
      </c>
    </row>
    <row r="231" spans="1:3" x14ac:dyDescent="0.25">
      <c r="A231" t="s">
        <v>8775</v>
      </c>
      <c r="B231" t="s">
        <v>8215</v>
      </c>
      <c r="C231">
        <v>1</v>
      </c>
    </row>
    <row r="232" spans="1:3" x14ac:dyDescent="0.25">
      <c r="A232" t="s">
        <v>8375</v>
      </c>
      <c r="B232" t="s">
        <v>8266</v>
      </c>
      <c r="C232">
        <v>1</v>
      </c>
    </row>
    <row r="233" spans="1:3" x14ac:dyDescent="0.25">
      <c r="A233" t="s">
        <v>8265</v>
      </c>
      <c r="B233" t="s">
        <v>8403</v>
      </c>
      <c r="C233">
        <v>1</v>
      </c>
    </row>
    <row r="234" spans="1:3" x14ac:dyDescent="0.25">
      <c r="A234" t="s">
        <v>8288</v>
      </c>
      <c r="B234" t="s">
        <v>8284</v>
      </c>
      <c r="C234">
        <v>1</v>
      </c>
    </row>
    <row r="235" spans="1:3" x14ac:dyDescent="0.25">
      <c r="A235" t="s">
        <v>8584</v>
      </c>
      <c r="B235" t="s">
        <v>8559</v>
      </c>
      <c r="C235">
        <v>1</v>
      </c>
    </row>
    <row r="236" spans="1:3" x14ac:dyDescent="0.25">
      <c r="A236" t="s">
        <v>8239</v>
      </c>
      <c r="B236" t="s">
        <v>8215</v>
      </c>
      <c r="C236">
        <v>1</v>
      </c>
    </row>
    <row r="237" spans="1:3" x14ac:dyDescent="0.25">
      <c r="A237" t="s">
        <v>8437</v>
      </c>
      <c r="B237" t="s">
        <v>8403</v>
      </c>
      <c r="C237">
        <v>1</v>
      </c>
    </row>
    <row r="238" spans="1:3" x14ac:dyDescent="0.25">
      <c r="A238" t="s">
        <v>8745</v>
      </c>
      <c r="B238" t="s">
        <v>8295</v>
      </c>
      <c r="C238">
        <v>1</v>
      </c>
    </row>
    <row r="239" spans="1:3" x14ac:dyDescent="0.25">
      <c r="A239" t="s">
        <v>8469</v>
      </c>
      <c r="B239" t="s">
        <v>8403</v>
      </c>
      <c r="C239">
        <v>1</v>
      </c>
    </row>
    <row r="240" spans="1:3" x14ac:dyDescent="0.25">
      <c r="A240" t="s">
        <v>8841</v>
      </c>
      <c r="B240" t="s">
        <v>8859</v>
      </c>
      <c r="C240">
        <v>1</v>
      </c>
    </row>
    <row r="241" spans="1:3" x14ac:dyDescent="0.25">
      <c r="A241" t="s">
        <v>8740</v>
      </c>
      <c r="B241" t="s">
        <v>8328</v>
      </c>
      <c r="C241">
        <v>1</v>
      </c>
    </row>
    <row r="242" spans="1:3" x14ac:dyDescent="0.25">
      <c r="A242" t="s">
        <v>8527</v>
      </c>
      <c r="B242" t="s">
        <v>8425</v>
      </c>
      <c r="C242">
        <v>1</v>
      </c>
    </row>
    <row r="243" spans="1:3" x14ac:dyDescent="0.25">
      <c r="A243" t="s">
        <v>8806</v>
      </c>
      <c r="B243" t="s">
        <v>8433</v>
      </c>
      <c r="C243">
        <v>1</v>
      </c>
    </row>
    <row r="244" spans="1:3" x14ac:dyDescent="0.25">
      <c r="A244" t="s">
        <v>8713</v>
      </c>
      <c r="B244" t="s">
        <v>8352</v>
      </c>
      <c r="C244">
        <v>1</v>
      </c>
    </row>
    <row r="245" spans="1:3" x14ac:dyDescent="0.25">
      <c r="A245" t="s">
        <v>8665</v>
      </c>
      <c r="B245" t="s">
        <v>8237</v>
      </c>
      <c r="C245">
        <v>1</v>
      </c>
    </row>
    <row r="246" spans="1:3" x14ac:dyDescent="0.25">
      <c r="A246" t="s">
        <v>8342</v>
      </c>
      <c r="B246" t="s">
        <v>8237</v>
      </c>
      <c r="C246">
        <v>1</v>
      </c>
    </row>
    <row r="247" spans="1:3" x14ac:dyDescent="0.25">
      <c r="A247" t="s">
        <v>8491</v>
      </c>
      <c r="B247" t="s">
        <v>8237</v>
      </c>
      <c r="C247">
        <v>1</v>
      </c>
    </row>
    <row r="248" spans="1:3" x14ac:dyDescent="0.25">
      <c r="A248" t="s">
        <v>8214</v>
      </c>
      <c r="B248" t="s">
        <v>8297</v>
      </c>
      <c r="C248">
        <v>1</v>
      </c>
    </row>
    <row r="249" spans="1:3" x14ac:dyDescent="0.25">
      <c r="A249" t="s">
        <v>8891</v>
      </c>
      <c r="B249" t="s">
        <v>8237</v>
      </c>
      <c r="C249">
        <v>1</v>
      </c>
    </row>
    <row r="250" spans="1:3" x14ac:dyDescent="0.25">
      <c r="A250" t="s">
        <v>8285</v>
      </c>
      <c r="B250" t="s">
        <v>8237</v>
      </c>
      <c r="C250">
        <v>1</v>
      </c>
    </row>
    <row r="251" spans="1:3" x14ac:dyDescent="0.25">
      <c r="A251" t="s">
        <v>8495</v>
      </c>
      <c r="B251" t="s">
        <v>8237</v>
      </c>
      <c r="C251">
        <v>1</v>
      </c>
    </row>
    <row r="252" spans="1:3" x14ac:dyDescent="0.25">
      <c r="A252" t="s">
        <v>8347</v>
      </c>
      <c r="B252" t="s">
        <v>8215</v>
      </c>
      <c r="C252">
        <v>1</v>
      </c>
    </row>
    <row r="253" spans="1:3" x14ac:dyDescent="0.25">
      <c r="A253" t="s">
        <v>8491</v>
      </c>
      <c r="B253" t="s">
        <v>8237</v>
      </c>
      <c r="C253">
        <v>1</v>
      </c>
    </row>
    <row r="254" spans="1:3" x14ac:dyDescent="0.25">
      <c r="A254" t="s">
        <v>8905</v>
      </c>
      <c r="B254" t="s">
        <v>8299</v>
      </c>
      <c r="C254">
        <v>1</v>
      </c>
    </row>
    <row r="255" spans="1:3" x14ac:dyDescent="0.25">
      <c r="A255" t="s">
        <v>8257</v>
      </c>
      <c r="B255" t="s">
        <v>8237</v>
      </c>
      <c r="C255">
        <v>1</v>
      </c>
    </row>
    <row r="256" spans="1:3" x14ac:dyDescent="0.25">
      <c r="A256" t="s">
        <v>8807</v>
      </c>
      <c r="B256" t="s">
        <v>8392</v>
      </c>
      <c r="C256">
        <v>1</v>
      </c>
    </row>
    <row r="257" spans="1:3" x14ac:dyDescent="0.25">
      <c r="A257" t="s">
        <v>8214</v>
      </c>
      <c r="B257" t="s">
        <v>8297</v>
      </c>
      <c r="C257">
        <v>1</v>
      </c>
    </row>
    <row r="258" spans="1:3" x14ac:dyDescent="0.25">
      <c r="A258" t="s">
        <v>8891</v>
      </c>
      <c r="B258" t="s">
        <v>8237</v>
      </c>
      <c r="C258">
        <v>1</v>
      </c>
    </row>
    <row r="259" spans="1:3" x14ac:dyDescent="0.25">
      <c r="A259" t="s">
        <v>8715</v>
      </c>
      <c r="B259" t="s">
        <v>8392</v>
      </c>
      <c r="C259">
        <v>1</v>
      </c>
    </row>
    <row r="260" spans="1:3" x14ac:dyDescent="0.25">
      <c r="A260" t="s">
        <v>8591</v>
      </c>
      <c r="B260" t="s">
        <v>8297</v>
      </c>
      <c r="C260">
        <v>1</v>
      </c>
    </row>
    <row r="261" spans="1:3" x14ac:dyDescent="0.25">
      <c r="A261" t="s">
        <v>8383</v>
      </c>
      <c r="B261" t="s">
        <v>8215</v>
      </c>
      <c r="C261">
        <v>1</v>
      </c>
    </row>
    <row r="262" spans="1:3" x14ac:dyDescent="0.25">
      <c r="A262" t="s">
        <v>8947</v>
      </c>
      <c r="B262" t="s">
        <v>8237</v>
      </c>
      <c r="C262">
        <v>1</v>
      </c>
    </row>
    <row r="263" spans="1:3" x14ac:dyDescent="0.25">
      <c r="A263" t="s">
        <v>8415</v>
      </c>
      <c r="B263" t="s">
        <v>8237</v>
      </c>
      <c r="C263">
        <v>1</v>
      </c>
    </row>
    <row r="264" spans="1:3" x14ac:dyDescent="0.25">
      <c r="A264" t="s">
        <v>8507</v>
      </c>
      <c r="B264" t="s">
        <v>8425</v>
      </c>
      <c r="C264">
        <v>1</v>
      </c>
    </row>
    <row r="265" spans="1:3" x14ac:dyDescent="0.25">
      <c r="A265" t="s">
        <v>8637</v>
      </c>
      <c r="B265" t="s">
        <v>8245</v>
      </c>
      <c r="C265">
        <v>1</v>
      </c>
    </row>
    <row r="266" spans="1:3" x14ac:dyDescent="0.25">
      <c r="A266" t="s">
        <v>8481</v>
      </c>
      <c r="B266" t="s">
        <v>8359</v>
      </c>
      <c r="C266">
        <v>1</v>
      </c>
    </row>
    <row r="267" spans="1:3" x14ac:dyDescent="0.25">
      <c r="A267" t="s">
        <v>8399</v>
      </c>
      <c r="B267" t="s">
        <v>8284</v>
      </c>
      <c r="C267">
        <v>1</v>
      </c>
    </row>
    <row r="268" spans="1:3" x14ac:dyDescent="0.25">
      <c r="A268" t="s">
        <v>8711</v>
      </c>
      <c r="B268" t="s">
        <v>8362</v>
      </c>
      <c r="C268">
        <v>1</v>
      </c>
    </row>
    <row r="269" spans="1:3" x14ac:dyDescent="0.25">
      <c r="A269" t="s">
        <v>8747</v>
      </c>
      <c r="B269" t="s">
        <v>8613</v>
      </c>
      <c r="C269">
        <v>1</v>
      </c>
    </row>
    <row r="270" spans="1:3" x14ac:dyDescent="0.25">
      <c r="A270" t="s">
        <v>8749</v>
      </c>
      <c r="B270" t="s">
        <v>8717</v>
      </c>
      <c r="C270">
        <v>1</v>
      </c>
    </row>
    <row r="271" spans="1:3" x14ac:dyDescent="0.25">
      <c r="A271" t="s">
        <v>8242</v>
      </c>
      <c r="B271" t="s">
        <v>8859</v>
      </c>
      <c r="C271">
        <v>1</v>
      </c>
    </row>
    <row r="272" spans="1:3" x14ac:dyDescent="0.25">
      <c r="A272" t="s">
        <v>8919</v>
      </c>
      <c r="B272" t="s">
        <v>8328</v>
      </c>
      <c r="C272">
        <v>1</v>
      </c>
    </row>
    <row r="273" spans="1:3" x14ac:dyDescent="0.25">
      <c r="A273" t="s">
        <v>8813</v>
      </c>
      <c r="B273" t="s">
        <v>8462</v>
      </c>
      <c r="C273">
        <v>1</v>
      </c>
    </row>
    <row r="274" spans="1:3" x14ac:dyDescent="0.25">
      <c r="A274" t="s">
        <v>8746</v>
      </c>
      <c r="B274" t="s">
        <v>8297</v>
      </c>
      <c r="C274">
        <v>1</v>
      </c>
    </row>
    <row r="275" spans="1:3" x14ac:dyDescent="0.25">
      <c r="A275" t="s">
        <v>8264</v>
      </c>
      <c r="B275" t="s">
        <v>8266</v>
      </c>
      <c r="C275">
        <v>1</v>
      </c>
    </row>
    <row r="276" spans="1:3" x14ac:dyDescent="0.25">
      <c r="A276" t="s">
        <v>8892</v>
      </c>
      <c r="B276" t="s">
        <v>8362</v>
      </c>
      <c r="C276">
        <v>1</v>
      </c>
    </row>
    <row r="277" spans="1:3" x14ac:dyDescent="0.25">
      <c r="A277" t="s">
        <v>8911</v>
      </c>
      <c r="B277" t="s">
        <v>8359</v>
      </c>
      <c r="C277">
        <v>1</v>
      </c>
    </row>
    <row r="278" spans="1:3" x14ac:dyDescent="0.25">
      <c r="A278" t="s">
        <v>8529</v>
      </c>
      <c r="B278" t="s">
        <v>8237</v>
      </c>
      <c r="C278">
        <v>1</v>
      </c>
    </row>
    <row r="279" spans="1:3" x14ac:dyDescent="0.25">
      <c r="A279" t="s">
        <v>8729</v>
      </c>
      <c r="B279" t="s">
        <v>8343</v>
      </c>
      <c r="C279">
        <v>1</v>
      </c>
    </row>
    <row r="280" spans="1:3" x14ac:dyDescent="0.25">
      <c r="A280" t="s">
        <v>8834</v>
      </c>
      <c r="B280" t="s">
        <v>8215</v>
      </c>
      <c r="C280">
        <v>1</v>
      </c>
    </row>
    <row r="281" spans="1:3" x14ac:dyDescent="0.25">
      <c r="A281" t="s">
        <v>8904</v>
      </c>
      <c r="B281" t="s">
        <v>8348</v>
      </c>
      <c r="C281">
        <v>1</v>
      </c>
    </row>
    <row r="282" spans="1:3" x14ac:dyDescent="0.25">
      <c r="A282" t="s">
        <v>8869</v>
      </c>
      <c r="B282" t="s">
        <v>8328</v>
      </c>
      <c r="C282">
        <v>1</v>
      </c>
    </row>
    <row r="283" spans="1:3" x14ac:dyDescent="0.25">
      <c r="A283" t="s">
        <v>8657</v>
      </c>
      <c r="B283" t="s">
        <v>8237</v>
      </c>
      <c r="C283">
        <v>1</v>
      </c>
    </row>
    <row r="284" spans="1:3" x14ac:dyDescent="0.25">
      <c r="A284" t="s">
        <v>8958</v>
      </c>
      <c r="B284" t="s">
        <v>8316</v>
      </c>
      <c r="C284">
        <v>1</v>
      </c>
    </row>
    <row r="285" spans="1:3" x14ac:dyDescent="0.25">
      <c r="A285" t="s">
        <v>8777</v>
      </c>
      <c r="B285" t="s">
        <v>8215</v>
      </c>
      <c r="C285">
        <v>1</v>
      </c>
    </row>
    <row r="286" spans="1:3" x14ac:dyDescent="0.25">
      <c r="A286" t="s">
        <v>8681</v>
      </c>
      <c r="B286" t="s">
        <v>8498</v>
      </c>
      <c r="C286">
        <v>1</v>
      </c>
    </row>
    <row r="287" spans="1:3" x14ac:dyDescent="0.25">
      <c r="A287" t="s">
        <v>8354</v>
      </c>
      <c r="B287" t="s">
        <v>8237</v>
      </c>
      <c r="C287">
        <v>1</v>
      </c>
    </row>
    <row r="288" spans="1:3" x14ac:dyDescent="0.25">
      <c r="A288" t="s">
        <v>8593</v>
      </c>
      <c r="B288" t="s">
        <v>8404</v>
      </c>
      <c r="C288">
        <v>1</v>
      </c>
    </row>
    <row r="289" spans="1:3" x14ac:dyDescent="0.25">
      <c r="A289" t="s">
        <v>8664</v>
      </c>
      <c r="B289" t="s">
        <v>8297</v>
      </c>
      <c r="C289">
        <v>1</v>
      </c>
    </row>
    <row r="290" spans="1:3" x14ac:dyDescent="0.25">
      <c r="A290" t="s">
        <v>8906</v>
      </c>
      <c r="B290" t="s">
        <v>8238</v>
      </c>
      <c r="C290">
        <v>1</v>
      </c>
    </row>
    <row r="291" spans="1:3" x14ac:dyDescent="0.25">
      <c r="A291" t="s">
        <v>8327</v>
      </c>
      <c r="B291" t="s">
        <v>8237</v>
      </c>
      <c r="C291">
        <v>1</v>
      </c>
    </row>
    <row r="292" spans="1:3" x14ac:dyDescent="0.25">
      <c r="A292" t="s">
        <v>8407</v>
      </c>
      <c r="B292" t="s">
        <v>8238</v>
      </c>
      <c r="C292">
        <v>1</v>
      </c>
    </row>
    <row r="293" spans="1:3" x14ac:dyDescent="0.25">
      <c r="A293" t="s">
        <v>8444</v>
      </c>
      <c r="B293" t="s">
        <v>8297</v>
      </c>
      <c r="C293">
        <v>1</v>
      </c>
    </row>
    <row r="294" spans="1:3" x14ac:dyDescent="0.25">
      <c r="A294" t="s">
        <v>8622</v>
      </c>
      <c r="B294" t="s">
        <v>8297</v>
      </c>
      <c r="C294">
        <v>1</v>
      </c>
    </row>
    <row r="295" spans="1:3" x14ac:dyDescent="0.25">
      <c r="A295" t="s">
        <v>8932</v>
      </c>
      <c r="B295" t="s">
        <v>8572</v>
      </c>
      <c r="C295">
        <v>1</v>
      </c>
    </row>
    <row r="296" spans="1:3" x14ac:dyDescent="0.25">
      <c r="A296" t="s">
        <v>8662</v>
      </c>
      <c r="B296" t="s">
        <v>8475</v>
      </c>
      <c r="C296">
        <v>1</v>
      </c>
    </row>
    <row r="297" spans="1:3" x14ac:dyDescent="0.25">
      <c r="A297" t="s">
        <v>8539</v>
      </c>
      <c r="B297" t="s">
        <v>8717</v>
      </c>
      <c r="C297">
        <v>1</v>
      </c>
    </row>
    <row r="298" spans="1:3" x14ac:dyDescent="0.25">
      <c r="A298" t="s">
        <v>8208</v>
      </c>
      <c r="B298" t="s">
        <v>8316</v>
      </c>
      <c r="C298">
        <v>1</v>
      </c>
    </row>
    <row r="299" spans="1:3" x14ac:dyDescent="0.25">
      <c r="A299" t="s">
        <v>8626</v>
      </c>
      <c r="B299" t="s">
        <v>8425</v>
      </c>
      <c r="C299">
        <v>1</v>
      </c>
    </row>
    <row r="300" spans="1:3" x14ac:dyDescent="0.25">
      <c r="A300" t="s">
        <v>8218</v>
      </c>
      <c r="B300" t="s">
        <v>8566</v>
      </c>
      <c r="C300">
        <v>1</v>
      </c>
    </row>
    <row r="301" spans="1:3" x14ac:dyDescent="0.25">
      <c r="A301" t="s">
        <v>8235</v>
      </c>
      <c r="B301" t="s">
        <v>8403</v>
      </c>
      <c r="C301">
        <v>1</v>
      </c>
    </row>
    <row r="302" spans="1:3" x14ac:dyDescent="0.25">
      <c r="A302" t="s">
        <v>8463</v>
      </c>
      <c r="B302" t="s">
        <v>8215</v>
      </c>
      <c r="C302">
        <v>1</v>
      </c>
    </row>
    <row r="303" spans="1:3" x14ac:dyDescent="0.25">
      <c r="A303" t="s">
        <v>8653</v>
      </c>
      <c r="B303" t="s">
        <v>8359</v>
      </c>
      <c r="C303">
        <v>1</v>
      </c>
    </row>
    <row r="304" spans="1:3" x14ac:dyDescent="0.25">
      <c r="A304" t="s">
        <v>8310</v>
      </c>
      <c r="B304" t="s">
        <v>8284</v>
      </c>
      <c r="C304">
        <v>1</v>
      </c>
    </row>
    <row r="305" spans="1:3" x14ac:dyDescent="0.25">
      <c r="A305" t="s">
        <v>8957</v>
      </c>
      <c r="B305" t="s">
        <v>8238</v>
      </c>
      <c r="C305">
        <v>1</v>
      </c>
    </row>
    <row r="306" spans="1:3" x14ac:dyDescent="0.25">
      <c r="A306" t="s">
        <v>8706</v>
      </c>
      <c r="B306" t="s">
        <v>8237</v>
      </c>
      <c r="C306">
        <v>1</v>
      </c>
    </row>
    <row r="307" spans="1:3" x14ac:dyDescent="0.25">
      <c r="A307" t="s">
        <v>8599</v>
      </c>
      <c r="B307" t="s">
        <v>8237</v>
      </c>
      <c r="C307">
        <v>1</v>
      </c>
    </row>
    <row r="308" spans="1:3" x14ac:dyDescent="0.25">
      <c r="A308" t="s">
        <v>8749</v>
      </c>
      <c r="B308" t="s">
        <v>8492</v>
      </c>
      <c r="C308">
        <v>1</v>
      </c>
    </row>
    <row r="309" spans="1:3" x14ac:dyDescent="0.25">
      <c r="A309" t="s">
        <v>8869</v>
      </c>
      <c r="B309" t="s">
        <v>8245</v>
      </c>
      <c r="C309">
        <v>1</v>
      </c>
    </row>
    <row r="310" spans="1:3" x14ac:dyDescent="0.25">
      <c r="A310" t="s">
        <v>8878</v>
      </c>
      <c r="B310" t="s">
        <v>8433</v>
      </c>
      <c r="C310">
        <v>1</v>
      </c>
    </row>
    <row r="311" spans="1:3" x14ac:dyDescent="0.25">
      <c r="A311" t="s">
        <v>8391</v>
      </c>
      <c r="B311" t="s">
        <v>8816</v>
      </c>
      <c r="C311">
        <v>1</v>
      </c>
    </row>
    <row r="312" spans="1:3" x14ac:dyDescent="0.25">
      <c r="A312" t="s">
        <v>8574</v>
      </c>
      <c r="B312" t="s">
        <v>8425</v>
      </c>
      <c r="C312">
        <v>1</v>
      </c>
    </row>
    <row r="313" spans="1:3" x14ac:dyDescent="0.25">
      <c r="A313" t="s">
        <v>8596</v>
      </c>
      <c r="B313" t="s">
        <v>8411</v>
      </c>
      <c r="C313">
        <v>1</v>
      </c>
    </row>
    <row r="314" spans="1:3" x14ac:dyDescent="0.25">
      <c r="A314" t="s">
        <v>8506</v>
      </c>
      <c r="B314" t="s">
        <v>8261</v>
      </c>
      <c r="C314">
        <v>1</v>
      </c>
    </row>
    <row r="315" spans="1:3" x14ac:dyDescent="0.25">
      <c r="A315" t="s">
        <v>8442</v>
      </c>
      <c r="B315" t="s">
        <v>8670</v>
      </c>
      <c r="C315">
        <v>1</v>
      </c>
    </row>
    <row r="316" spans="1:3" x14ac:dyDescent="0.25">
      <c r="A316" t="s">
        <v>8331</v>
      </c>
      <c r="B316" t="s">
        <v>8284</v>
      </c>
      <c r="C316">
        <v>1</v>
      </c>
    </row>
    <row r="317" spans="1:3" x14ac:dyDescent="0.25">
      <c r="A317" t="s">
        <v>8309</v>
      </c>
      <c r="B317" t="s">
        <v>8237</v>
      </c>
      <c r="C317">
        <v>1</v>
      </c>
    </row>
    <row r="318" spans="1:3" x14ac:dyDescent="0.25">
      <c r="A318" t="s">
        <v>8471</v>
      </c>
      <c r="B318" t="s">
        <v>8215</v>
      </c>
      <c r="C318">
        <v>1</v>
      </c>
    </row>
    <row r="319" spans="1:3" x14ac:dyDescent="0.25">
      <c r="A319" t="s">
        <v>8443</v>
      </c>
      <c r="B319" t="s">
        <v>8215</v>
      </c>
      <c r="C319">
        <v>1</v>
      </c>
    </row>
    <row r="320" spans="1:3" x14ac:dyDescent="0.25">
      <c r="A320" t="s">
        <v>8366</v>
      </c>
      <c r="B320" t="s">
        <v>8215</v>
      </c>
      <c r="C320">
        <v>1</v>
      </c>
    </row>
    <row r="321" spans="1:3" x14ac:dyDescent="0.25">
      <c r="A321" t="s">
        <v>8479</v>
      </c>
      <c r="B321" t="s">
        <v>8237</v>
      </c>
      <c r="C321">
        <v>1</v>
      </c>
    </row>
    <row r="322" spans="1:3" x14ac:dyDescent="0.25">
      <c r="A322" t="s">
        <v>8603</v>
      </c>
      <c r="B322" t="s">
        <v>8284</v>
      </c>
      <c r="C322">
        <v>1</v>
      </c>
    </row>
    <row r="323" spans="1:3" x14ac:dyDescent="0.25">
      <c r="A323" t="s">
        <v>8884</v>
      </c>
      <c r="B323" t="s">
        <v>8492</v>
      </c>
      <c r="C323">
        <v>1</v>
      </c>
    </row>
    <row r="324" spans="1:3" x14ac:dyDescent="0.25">
      <c r="A324" t="s">
        <v>8935</v>
      </c>
      <c r="B324" t="s">
        <v>8237</v>
      </c>
      <c r="C324">
        <v>1</v>
      </c>
    </row>
    <row r="325" spans="1:3" x14ac:dyDescent="0.25">
      <c r="A325" t="s">
        <v>8795</v>
      </c>
      <c r="B325" t="s">
        <v>8417</v>
      </c>
      <c r="C325">
        <v>1</v>
      </c>
    </row>
    <row r="326" spans="1:3" x14ac:dyDescent="0.25">
      <c r="A326" t="s">
        <v>8887</v>
      </c>
      <c r="B326" t="s">
        <v>8215</v>
      </c>
      <c r="C326">
        <v>1</v>
      </c>
    </row>
    <row r="327" spans="1:3" x14ac:dyDescent="0.25">
      <c r="A327" t="s">
        <v>8641</v>
      </c>
      <c r="B327" t="s">
        <v>8284</v>
      </c>
      <c r="C327">
        <v>1</v>
      </c>
    </row>
    <row r="328" spans="1:3" x14ac:dyDescent="0.25">
      <c r="A328" t="s">
        <v>8962</v>
      </c>
      <c r="B328" t="s">
        <v>8328</v>
      </c>
      <c r="C328">
        <v>1</v>
      </c>
    </row>
    <row r="329" spans="1:3" x14ac:dyDescent="0.25">
      <c r="A329" t="s">
        <v>8971</v>
      </c>
      <c r="B329" t="s">
        <v>8498</v>
      </c>
      <c r="C329">
        <v>1</v>
      </c>
    </row>
    <row r="330" spans="1:3" x14ac:dyDescent="0.25">
      <c r="A330" t="s">
        <v>8266</v>
      </c>
      <c r="B330" t="s">
        <v>8566</v>
      </c>
      <c r="C330">
        <v>1</v>
      </c>
    </row>
    <row r="331" spans="1:3" x14ac:dyDescent="0.25">
      <c r="A331" t="s">
        <v>8747</v>
      </c>
      <c r="B331" t="s">
        <v>8403</v>
      </c>
      <c r="C331">
        <v>1</v>
      </c>
    </row>
    <row r="332" spans="1:3" x14ac:dyDescent="0.25">
      <c r="A332" t="s">
        <v>8420</v>
      </c>
      <c r="B332" t="s">
        <v>8261</v>
      </c>
      <c r="C332">
        <v>1</v>
      </c>
    </row>
    <row r="333" spans="1:3" x14ac:dyDescent="0.25">
      <c r="A333" t="s">
        <v>8231</v>
      </c>
      <c r="B333" t="s">
        <v>8237</v>
      </c>
      <c r="C333">
        <v>1</v>
      </c>
    </row>
    <row r="334" spans="1:3" x14ac:dyDescent="0.25">
      <c r="A334" t="s">
        <v>8602</v>
      </c>
      <c r="B334" t="s">
        <v>8237</v>
      </c>
      <c r="C334">
        <v>1</v>
      </c>
    </row>
    <row r="335" spans="1:3" x14ac:dyDescent="0.25">
      <c r="A335" t="s">
        <v>8979</v>
      </c>
      <c r="B335" t="s">
        <v>8859</v>
      </c>
      <c r="C335">
        <v>1</v>
      </c>
    </row>
    <row r="336" spans="1:3" x14ac:dyDescent="0.25">
      <c r="A336" t="s">
        <v>8349</v>
      </c>
      <c r="B336" t="s">
        <v>8340</v>
      </c>
      <c r="C336">
        <v>1</v>
      </c>
    </row>
    <row r="337" spans="1:3" x14ac:dyDescent="0.25">
      <c r="A337" t="s">
        <v>8563</v>
      </c>
      <c r="B337" t="s">
        <v>8498</v>
      </c>
      <c r="C337">
        <v>1</v>
      </c>
    </row>
    <row r="338" spans="1:3" x14ac:dyDescent="0.25">
      <c r="A338" t="s">
        <v>8683</v>
      </c>
      <c r="B338" t="s">
        <v>8364</v>
      </c>
      <c r="C338">
        <v>1</v>
      </c>
    </row>
    <row r="339" spans="1:3" x14ac:dyDescent="0.25">
      <c r="A339" t="s">
        <v>8976</v>
      </c>
      <c r="B339" t="s">
        <v>8425</v>
      </c>
      <c r="C339">
        <v>1</v>
      </c>
    </row>
    <row r="340" spans="1:3" x14ac:dyDescent="0.25">
      <c r="A340" t="s">
        <v>8958</v>
      </c>
      <c r="B340" t="s">
        <v>8316</v>
      </c>
      <c r="C340">
        <v>1</v>
      </c>
    </row>
    <row r="341" spans="1:3" x14ac:dyDescent="0.25">
      <c r="A341" t="s">
        <v>8521</v>
      </c>
      <c r="B341" t="s">
        <v>8352</v>
      </c>
      <c r="C341">
        <v>1</v>
      </c>
    </row>
    <row r="342" spans="1:3" x14ac:dyDescent="0.25">
      <c r="A342" t="s">
        <v>8785</v>
      </c>
      <c r="B342" t="s">
        <v>8352</v>
      </c>
      <c r="C342">
        <v>1</v>
      </c>
    </row>
    <row r="343" spans="1:3" x14ac:dyDescent="0.25">
      <c r="A343" t="s">
        <v>8211</v>
      </c>
      <c r="B343" t="s">
        <v>8212</v>
      </c>
      <c r="C343">
        <v>1</v>
      </c>
    </row>
    <row r="344" spans="1:3" x14ac:dyDescent="0.25">
      <c r="A344" t="s">
        <v>8728</v>
      </c>
      <c r="B344" t="s">
        <v>8237</v>
      </c>
      <c r="C344">
        <v>1</v>
      </c>
    </row>
    <row r="345" spans="1:3" x14ac:dyDescent="0.25">
      <c r="A345" t="s">
        <v>8385</v>
      </c>
      <c r="B345" t="s">
        <v>8566</v>
      </c>
      <c r="C345">
        <v>1</v>
      </c>
    </row>
    <row r="346" spans="1:3" x14ac:dyDescent="0.25">
      <c r="A346" t="s">
        <v>8579</v>
      </c>
      <c r="B346" t="s">
        <v>8403</v>
      </c>
      <c r="C346">
        <v>1</v>
      </c>
    </row>
    <row r="347" spans="1:3" x14ac:dyDescent="0.25">
      <c r="A347" t="s">
        <v>8457</v>
      </c>
      <c r="B347" t="s">
        <v>8403</v>
      </c>
      <c r="C347">
        <v>1</v>
      </c>
    </row>
    <row r="348" spans="1:3" x14ac:dyDescent="0.25">
      <c r="A348" t="s">
        <v>8522</v>
      </c>
      <c r="B348" t="s">
        <v>8859</v>
      </c>
      <c r="C348">
        <v>1</v>
      </c>
    </row>
    <row r="349" spans="1:3" x14ac:dyDescent="0.25">
      <c r="A349" t="s">
        <v>8854</v>
      </c>
      <c r="B349" t="s">
        <v>8237</v>
      </c>
      <c r="C349">
        <v>1</v>
      </c>
    </row>
    <row r="350" spans="1:3" x14ac:dyDescent="0.25">
      <c r="A350" t="s">
        <v>8208</v>
      </c>
      <c r="B350" t="s">
        <v>8316</v>
      </c>
      <c r="C350">
        <v>1</v>
      </c>
    </row>
    <row r="351" spans="1:3" x14ac:dyDescent="0.25">
      <c r="A351" t="s">
        <v>8610</v>
      </c>
      <c r="B351" t="s">
        <v>8816</v>
      </c>
      <c r="C351">
        <v>1</v>
      </c>
    </row>
    <row r="352" spans="1:3" x14ac:dyDescent="0.25">
      <c r="A352" t="s">
        <v>8606</v>
      </c>
      <c r="B352" t="s">
        <v>8295</v>
      </c>
      <c r="C352">
        <v>1</v>
      </c>
    </row>
    <row r="353" spans="1:3" x14ac:dyDescent="0.25">
      <c r="A353" t="s">
        <v>8965</v>
      </c>
      <c r="B353" t="s">
        <v>8859</v>
      </c>
      <c r="C353">
        <v>1</v>
      </c>
    </row>
    <row r="354" spans="1:3" x14ac:dyDescent="0.25">
      <c r="A354" t="s">
        <v>8896</v>
      </c>
      <c r="B354" t="s">
        <v>8417</v>
      </c>
      <c r="C354">
        <v>1</v>
      </c>
    </row>
    <row r="355" spans="1:3" x14ac:dyDescent="0.25">
      <c r="A355" t="s">
        <v>8607</v>
      </c>
      <c r="B355" t="s">
        <v>8498</v>
      </c>
      <c r="C355">
        <v>1</v>
      </c>
    </row>
    <row r="356" spans="1:3" x14ac:dyDescent="0.25">
      <c r="A356" t="s">
        <v>8894</v>
      </c>
      <c r="B356" t="s">
        <v>8403</v>
      </c>
      <c r="C356">
        <v>1</v>
      </c>
    </row>
    <row r="357" spans="1:3" x14ac:dyDescent="0.25">
      <c r="A357" t="s">
        <v>8695</v>
      </c>
      <c r="B357" t="s">
        <v>8411</v>
      </c>
      <c r="C357">
        <v>1</v>
      </c>
    </row>
    <row r="358" spans="1:3" x14ac:dyDescent="0.25">
      <c r="A358" t="s">
        <v>8806</v>
      </c>
      <c r="B358" t="s">
        <v>8433</v>
      </c>
      <c r="C358">
        <v>1</v>
      </c>
    </row>
    <row r="359" spans="1:3" x14ac:dyDescent="0.25">
      <c r="A359" t="s">
        <v>8933</v>
      </c>
      <c r="B359" t="s">
        <v>8215</v>
      </c>
      <c r="C359">
        <v>1</v>
      </c>
    </row>
    <row r="360" spans="1:3" x14ac:dyDescent="0.25">
      <c r="A360" t="s">
        <v>8269</v>
      </c>
      <c r="B360" t="s">
        <v>8403</v>
      </c>
      <c r="C360">
        <v>1</v>
      </c>
    </row>
    <row r="361" spans="1:3" x14ac:dyDescent="0.25">
      <c r="A361" t="s">
        <v>8864</v>
      </c>
      <c r="B361" t="s">
        <v>8559</v>
      </c>
      <c r="C361">
        <v>1</v>
      </c>
    </row>
    <row r="362" spans="1:3" x14ac:dyDescent="0.25">
      <c r="A362" t="s">
        <v>8523</v>
      </c>
      <c r="B362" t="s">
        <v>8250</v>
      </c>
      <c r="C362">
        <v>1</v>
      </c>
    </row>
    <row r="363" spans="1:3" x14ac:dyDescent="0.25">
      <c r="A363" t="s">
        <v>8968</v>
      </c>
      <c r="B363" t="s">
        <v>8316</v>
      </c>
      <c r="C363">
        <v>1</v>
      </c>
    </row>
    <row r="364" spans="1:3" x14ac:dyDescent="0.25">
      <c r="A364" t="s">
        <v>8675</v>
      </c>
      <c r="B364" t="s">
        <v>8259</v>
      </c>
      <c r="C364">
        <v>1</v>
      </c>
    </row>
    <row r="365" spans="1:3" x14ac:dyDescent="0.25">
      <c r="A365" t="s">
        <v>8445</v>
      </c>
      <c r="B365" t="s">
        <v>8332</v>
      </c>
      <c r="C365">
        <v>1</v>
      </c>
    </row>
    <row r="366" spans="1:3" x14ac:dyDescent="0.25">
      <c r="A366" t="s">
        <v>8840</v>
      </c>
      <c r="B366" t="s">
        <v>8859</v>
      </c>
      <c r="C366">
        <v>1</v>
      </c>
    </row>
    <row r="367" spans="1:3" x14ac:dyDescent="0.25">
      <c r="A367" t="s">
        <v>8908</v>
      </c>
      <c r="B367" t="s">
        <v>8492</v>
      </c>
      <c r="C367">
        <v>1</v>
      </c>
    </row>
    <row r="368" spans="1:3" x14ac:dyDescent="0.25">
      <c r="A368" t="s">
        <v>8643</v>
      </c>
      <c r="B368" t="s">
        <v>8316</v>
      </c>
      <c r="C368">
        <v>1</v>
      </c>
    </row>
    <row r="369" spans="1:3" x14ac:dyDescent="0.25">
      <c r="A369" t="s">
        <v>8207</v>
      </c>
      <c r="B369" t="s">
        <v>8859</v>
      </c>
      <c r="C369">
        <v>1</v>
      </c>
    </row>
    <row r="370" spans="1:3" x14ac:dyDescent="0.25">
      <c r="A370" t="s">
        <v>8592</v>
      </c>
      <c r="B370" t="s">
        <v>8215</v>
      </c>
      <c r="C370">
        <v>1</v>
      </c>
    </row>
    <row r="371" spans="1:3" x14ac:dyDescent="0.25">
      <c r="A371" t="s">
        <v>8518</v>
      </c>
      <c r="B371" t="s">
        <v>8215</v>
      </c>
      <c r="C371">
        <v>1</v>
      </c>
    </row>
    <row r="372" spans="1:3" x14ac:dyDescent="0.25">
      <c r="A372" t="s">
        <v>8676</v>
      </c>
      <c r="B372" t="s">
        <v>8462</v>
      </c>
      <c r="C372">
        <v>1</v>
      </c>
    </row>
    <row r="373" spans="1:3" x14ac:dyDescent="0.25">
      <c r="A373" t="s">
        <v>8659</v>
      </c>
      <c r="B373" t="s">
        <v>8261</v>
      </c>
      <c r="C373">
        <v>1</v>
      </c>
    </row>
    <row r="374" spans="1:3" x14ac:dyDescent="0.25">
      <c r="A374" t="s">
        <v>8323</v>
      </c>
      <c r="B374" t="s">
        <v>8215</v>
      </c>
      <c r="C374">
        <v>1</v>
      </c>
    </row>
    <row r="375" spans="1:3" x14ac:dyDescent="0.25">
      <c r="A375" t="s">
        <v>8714</v>
      </c>
      <c r="B375" t="s">
        <v>8215</v>
      </c>
      <c r="C375">
        <v>1</v>
      </c>
    </row>
    <row r="376" spans="1:3" x14ac:dyDescent="0.25">
      <c r="A376" t="s">
        <v>8465</v>
      </c>
      <c r="B376" t="s">
        <v>8237</v>
      </c>
      <c r="C376">
        <v>1</v>
      </c>
    </row>
    <row r="377" spans="1:3" x14ac:dyDescent="0.25">
      <c r="A377" t="s">
        <v>8458</v>
      </c>
      <c r="B377" t="s">
        <v>8566</v>
      </c>
      <c r="C377">
        <v>1</v>
      </c>
    </row>
    <row r="378" spans="1:3" x14ac:dyDescent="0.25">
      <c r="A378" t="s">
        <v>8760</v>
      </c>
      <c r="B378" t="s">
        <v>8859</v>
      </c>
      <c r="C378">
        <v>1</v>
      </c>
    </row>
    <row r="379" spans="1:3" x14ac:dyDescent="0.25">
      <c r="A379" t="s">
        <v>8612</v>
      </c>
      <c r="B379" t="s">
        <v>8403</v>
      </c>
      <c r="C379">
        <v>1</v>
      </c>
    </row>
    <row r="380" spans="1:3" x14ac:dyDescent="0.25">
      <c r="A380" t="s">
        <v>8907</v>
      </c>
      <c r="B380" t="s">
        <v>8498</v>
      </c>
      <c r="C380">
        <v>1</v>
      </c>
    </row>
    <row r="381" spans="1:3" x14ac:dyDescent="0.25">
      <c r="A381" t="s">
        <v>8789</v>
      </c>
      <c r="B381" t="s">
        <v>8392</v>
      </c>
      <c r="C381">
        <v>1</v>
      </c>
    </row>
    <row r="382" spans="1:3" x14ac:dyDescent="0.25">
      <c r="A382" t="s">
        <v>8981</v>
      </c>
      <c r="B382" t="s">
        <v>8237</v>
      </c>
      <c r="C382">
        <v>1</v>
      </c>
    </row>
    <row r="383" spans="1:3" x14ac:dyDescent="0.25">
      <c r="A383" t="s">
        <v>8551</v>
      </c>
      <c r="B383" t="s">
        <v>8237</v>
      </c>
      <c r="C383">
        <v>1</v>
      </c>
    </row>
    <row r="384" spans="1:3" x14ac:dyDescent="0.25">
      <c r="A384" t="s">
        <v>8952</v>
      </c>
      <c r="B384" t="s">
        <v>8297</v>
      </c>
      <c r="C384">
        <v>1</v>
      </c>
    </row>
    <row r="385" spans="1:3" x14ac:dyDescent="0.25">
      <c r="A385" t="s">
        <v>8244</v>
      </c>
      <c r="B385" t="s">
        <v>8295</v>
      </c>
      <c r="C385">
        <v>1</v>
      </c>
    </row>
    <row r="386" spans="1:3" x14ac:dyDescent="0.25">
      <c r="A386" t="s">
        <v>8378</v>
      </c>
      <c r="B386" t="s">
        <v>8403</v>
      </c>
      <c r="C386">
        <v>1</v>
      </c>
    </row>
    <row r="387" spans="1:3" x14ac:dyDescent="0.25">
      <c r="A387" t="s">
        <v>8521</v>
      </c>
      <c r="B387" t="s">
        <v>8352</v>
      </c>
      <c r="C387">
        <v>1</v>
      </c>
    </row>
    <row r="388" spans="1:3" x14ac:dyDescent="0.25">
      <c r="A388" t="s">
        <v>8946</v>
      </c>
      <c r="B388" t="s">
        <v>8295</v>
      </c>
      <c r="C388">
        <v>1</v>
      </c>
    </row>
    <row r="389" spans="1:3" x14ac:dyDescent="0.25">
      <c r="A389" t="s">
        <v>8369</v>
      </c>
      <c r="B389" t="s">
        <v>8572</v>
      </c>
      <c r="C389">
        <v>1</v>
      </c>
    </row>
    <row r="390" spans="1:3" x14ac:dyDescent="0.25">
      <c r="A390" t="s">
        <v>8278</v>
      </c>
      <c r="B390" t="s">
        <v>8566</v>
      </c>
      <c r="C390">
        <v>1</v>
      </c>
    </row>
    <row r="391" spans="1:3" x14ac:dyDescent="0.25">
      <c r="A391" t="s">
        <v>8497</v>
      </c>
      <c r="B391" t="s">
        <v>8403</v>
      </c>
      <c r="C391">
        <v>1</v>
      </c>
    </row>
    <row r="392" spans="1:3" x14ac:dyDescent="0.25">
      <c r="A392" t="s">
        <v>8919</v>
      </c>
      <c r="B392" t="s">
        <v>8492</v>
      </c>
      <c r="C392">
        <v>1</v>
      </c>
    </row>
    <row r="393" spans="1:3" x14ac:dyDescent="0.25">
      <c r="A393" t="s">
        <v>8275</v>
      </c>
      <c r="B393" t="s">
        <v>8403</v>
      </c>
      <c r="C393">
        <v>1</v>
      </c>
    </row>
    <row r="394" spans="1:3" x14ac:dyDescent="0.25">
      <c r="A394" t="s">
        <v>8239</v>
      </c>
      <c r="B394" t="s">
        <v>8215</v>
      </c>
      <c r="C394">
        <v>1</v>
      </c>
    </row>
    <row r="395" spans="1:3" x14ac:dyDescent="0.25">
      <c r="A395" t="s">
        <v>8582</v>
      </c>
      <c r="B395" t="s">
        <v>8403</v>
      </c>
      <c r="C395">
        <v>1</v>
      </c>
    </row>
    <row r="396" spans="1:3" x14ac:dyDescent="0.25">
      <c r="A396" t="s">
        <v>8538</v>
      </c>
      <c r="B396" t="s">
        <v>8297</v>
      </c>
      <c r="C396">
        <v>1</v>
      </c>
    </row>
    <row r="397" spans="1:3" x14ac:dyDescent="0.25">
      <c r="A397" t="s">
        <v>8782</v>
      </c>
      <c r="B397" t="s">
        <v>8403</v>
      </c>
      <c r="C397">
        <v>1</v>
      </c>
    </row>
    <row r="398" spans="1:3" x14ac:dyDescent="0.25">
      <c r="A398" t="s">
        <v>8648</v>
      </c>
      <c r="B398" t="s">
        <v>8343</v>
      </c>
      <c r="C398">
        <v>1</v>
      </c>
    </row>
    <row r="399" spans="1:3" x14ac:dyDescent="0.25">
      <c r="A399" t="s">
        <v>8784</v>
      </c>
      <c r="B399" t="s">
        <v>8566</v>
      </c>
      <c r="C399">
        <v>1</v>
      </c>
    </row>
    <row r="400" spans="1:3" x14ac:dyDescent="0.25">
      <c r="A400" t="s">
        <v>8856</v>
      </c>
      <c r="B400" t="s">
        <v>8392</v>
      </c>
      <c r="C400">
        <v>1</v>
      </c>
    </row>
    <row r="401" spans="1:3" x14ac:dyDescent="0.25">
      <c r="A401" t="s">
        <v>8628</v>
      </c>
      <c r="B401" t="s">
        <v>8212</v>
      </c>
      <c r="C401">
        <v>1</v>
      </c>
    </row>
    <row r="402" spans="1:3" x14ac:dyDescent="0.25">
      <c r="A402" t="s">
        <v>8334</v>
      </c>
      <c r="B402" t="s">
        <v>8284</v>
      </c>
      <c r="C402">
        <v>1</v>
      </c>
    </row>
    <row r="403" spans="1:3" x14ac:dyDescent="0.25">
      <c r="A403" t="s">
        <v>8821</v>
      </c>
      <c r="B403" t="s">
        <v>8498</v>
      </c>
      <c r="C403">
        <v>1</v>
      </c>
    </row>
    <row r="404" spans="1:3" x14ac:dyDescent="0.25">
      <c r="A404" t="s">
        <v>8524</v>
      </c>
      <c r="B404" t="s">
        <v>8295</v>
      </c>
      <c r="C404">
        <v>1</v>
      </c>
    </row>
    <row r="405" spans="1:3" x14ac:dyDescent="0.25">
      <c r="A405" t="s">
        <v>8452</v>
      </c>
      <c r="B405" t="s">
        <v>8613</v>
      </c>
      <c r="C405">
        <v>1</v>
      </c>
    </row>
    <row r="406" spans="1:3" x14ac:dyDescent="0.25">
      <c r="A406" t="s">
        <v>8577</v>
      </c>
      <c r="B406" t="s">
        <v>8816</v>
      </c>
      <c r="C406">
        <v>1</v>
      </c>
    </row>
    <row r="407" spans="1:3" x14ac:dyDescent="0.25">
      <c r="A407" t="s">
        <v>8742</v>
      </c>
      <c r="B407" t="s">
        <v>8245</v>
      </c>
      <c r="C407">
        <v>1</v>
      </c>
    </row>
    <row r="408" spans="1:3" x14ac:dyDescent="0.25">
      <c r="A408" t="s">
        <v>8576</v>
      </c>
      <c r="B408" t="s">
        <v>8689</v>
      </c>
      <c r="C408">
        <v>1</v>
      </c>
    </row>
    <row r="409" spans="1:3" x14ac:dyDescent="0.25">
      <c r="A409" t="s">
        <v>8663</v>
      </c>
      <c r="B409" t="s">
        <v>8392</v>
      </c>
      <c r="C409">
        <v>1</v>
      </c>
    </row>
    <row r="410" spans="1:3" x14ac:dyDescent="0.25">
      <c r="A410" t="s">
        <v>8500</v>
      </c>
      <c r="B410" t="s">
        <v>8403</v>
      </c>
      <c r="C410">
        <v>1</v>
      </c>
    </row>
    <row r="411" spans="1:3" x14ac:dyDescent="0.25">
      <c r="A411" t="s">
        <v>8400</v>
      </c>
      <c r="B411" t="s">
        <v>8498</v>
      </c>
      <c r="C411">
        <v>1</v>
      </c>
    </row>
    <row r="412" spans="1:3" x14ac:dyDescent="0.25">
      <c r="A412" t="s">
        <v>8886</v>
      </c>
      <c r="B412" t="s">
        <v>8433</v>
      </c>
      <c r="C412">
        <v>1</v>
      </c>
    </row>
    <row r="413" spans="1:3" x14ac:dyDescent="0.25">
      <c r="A413" t="s">
        <v>8433</v>
      </c>
      <c r="B413" t="s">
        <v>8245</v>
      </c>
      <c r="C413">
        <v>1</v>
      </c>
    </row>
    <row r="414" spans="1:3" x14ac:dyDescent="0.25">
      <c r="A414" t="s">
        <v>8738</v>
      </c>
      <c r="B414" t="s">
        <v>8392</v>
      </c>
      <c r="C414">
        <v>1</v>
      </c>
    </row>
    <row r="415" spans="1:3" x14ac:dyDescent="0.25">
      <c r="A415" t="s">
        <v>8544</v>
      </c>
      <c r="B415" t="s">
        <v>8392</v>
      </c>
      <c r="C415">
        <v>1</v>
      </c>
    </row>
    <row r="416" spans="1:3" x14ac:dyDescent="0.25">
      <c r="A416" t="s">
        <v>8276</v>
      </c>
      <c r="B416" t="s">
        <v>8237</v>
      </c>
      <c r="C416">
        <v>1</v>
      </c>
    </row>
    <row r="417" spans="1:3" x14ac:dyDescent="0.25">
      <c r="A417" t="s">
        <v>8246</v>
      </c>
      <c r="B417" t="s">
        <v>8237</v>
      </c>
      <c r="C417">
        <v>1</v>
      </c>
    </row>
    <row r="418" spans="1:3" x14ac:dyDescent="0.25">
      <c r="A418" t="s">
        <v>8719</v>
      </c>
      <c r="B418" t="s">
        <v>8237</v>
      </c>
      <c r="C418">
        <v>1</v>
      </c>
    </row>
    <row r="419" spans="1:3" x14ac:dyDescent="0.25">
      <c r="A419" t="s">
        <v>8327</v>
      </c>
      <c r="B419" t="s">
        <v>8237</v>
      </c>
      <c r="C419">
        <v>1</v>
      </c>
    </row>
    <row r="420" spans="1:3" x14ac:dyDescent="0.25">
      <c r="A420" t="s">
        <v>8501</v>
      </c>
      <c r="B420" t="s">
        <v>8297</v>
      </c>
      <c r="C420">
        <v>1</v>
      </c>
    </row>
    <row r="421" spans="1:3" x14ac:dyDescent="0.25">
      <c r="A421" t="s">
        <v>8453</v>
      </c>
      <c r="B421" t="s">
        <v>8215</v>
      </c>
      <c r="C421">
        <v>1</v>
      </c>
    </row>
    <row r="422" spans="1:3" x14ac:dyDescent="0.25">
      <c r="A422" t="s">
        <v>8466</v>
      </c>
      <c r="B422" t="s">
        <v>8717</v>
      </c>
      <c r="C422">
        <v>1</v>
      </c>
    </row>
    <row r="423" spans="1:3" x14ac:dyDescent="0.25">
      <c r="A423" t="s">
        <v>8405</v>
      </c>
      <c r="B423" t="s">
        <v>8462</v>
      </c>
      <c r="C423">
        <v>1</v>
      </c>
    </row>
    <row r="424" spans="1:3" x14ac:dyDescent="0.25">
      <c r="A424" t="s">
        <v>8279</v>
      </c>
      <c r="B424" t="s">
        <v>8403</v>
      </c>
      <c r="C424">
        <v>1</v>
      </c>
    </row>
    <row r="425" spans="1:3" x14ac:dyDescent="0.25">
      <c r="A425" t="s">
        <v>8600</v>
      </c>
      <c r="B425" t="s">
        <v>8816</v>
      </c>
      <c r="C425">
        <v>1</v>
      </c>
    </row>
    <row r="426" spans="1:3" x14ac:dyDescent="0.25">
      <c r="A426" t="s">
        <v>8674</v>
      </c>
      <c r="B426" t="s">
        <v>8859</v>
      </c>
      <c r="C426">
        <v>1</v>
      </c>
    </row>
    <row r="427" spans="1:3" x14ac:dyDescent="0.25">
      <c r="A427" t="s">
        <v>8889</v>
      </c>
      <c r="B427" t="s">
        <v>8216</v>
      </c>
      <c r="C427">
        <v>1</v>
      </c>
    </row>
    <row r="428" spans="1:3" x14ac:dyDescent="0.25">
      <c r="A428" t="s">
        <v>8496</v>
      </c>
      <c r="B428" t="s">
        <v>8215</v>
      </c>
      <c r="C428">
        <v>1</v>
      </c>
    </row>
    <row r="429" spans="1:3" x14ac:dyDescent="0.25">
      <c r="A429" t="s">
        <v>8991</v>
      </c>
      <c r="B429" t="s">
        <v>8343</v>
      </c>
      <c r="C429">
        <v>1</v>
      </c>
    </row>
    <row r="430" spans="1:3" x14ac:dyDescent="0.25">
      <c r="A430" t="s">
        <v>8916</v>
      </c>
      <c r="B430" t="s">
        <v>8237</v>
      </c>
      <c r="C430">
        <v>1</v>
      </c>
    </row>
    <row r="431" spans="1:3" x14ac:dyDescent="0.25">
      <c r="A431" t="s">
        <v>8892</v>
      </c>
      <c r="B431" t="s">
        <v>8417</v>
      </c>
      <c r="C431">
        <v>1</v>
      </c>
    </row>
    <row r="432" spans="1:3" x14ac:dyDescent="0.25">
      <c r="A432" t="s">
        <v>8594</v>
      </c>
      <c r="B432" t="s">
        <v>8237</v>
      </c>
      <c r="C432">
        <v>1</v>
      </c>
    </row>
    <row r="433" spans="1:3" x14ac:dyDescent="0.25">
      <c r="A433" t="s">
        <v>8805</v>
      </c>
      <c r="B433" t="s">
        <v>8859</v>
      </c>
      <c r="C433">
        <v>1</v>
      </c>
    </row>
    <row r="434" spans="1:3" x14ac:dyDescent="0.25">
      <c r="A434" t="s">
        <v>8309</v>
      </c>
      <c r="B434" t="s">
        <v>8237</v>
      </c>
      <c r="C434">
        <v>1</v>
      </c>
    </row>
    <row r="435" spans="1:3" x14ac:dyDescent="0.25">
      <c r="A435" t="s">
        <v>8976</v>
      </c>
      <c r="B435" t="s">
        <v>8250</v>
      </c>
      <c r="C435">
        <v>1</v>
      </c>
    </row>
    <row r="436" spans="1:3" x14ac:dyDescent="0.25">
      <c r="A436" t="s">
        <v>8711</v>
      </c>
      <c r="B436" t="s">
        <v>8417</v>
      </c>
      <c r="C436">
        <v>1</v>
      </c>
    </row>
    <row r="437" spans="1:3" x14ac:dyDescent="0.25">
      <c r="A437" t="s">
        <v>8368</v>
      </c>
      <c r="B437" t="s">
        <v>8689</v>
      </c>
      <c r="C437">
        <v>1</v>
      </c>
    </row>
    <row r="438" spans="1:3" x14ac:dyDescent="0.25">
      <c r="A438" t="s">
        <v>8825</v>
      </c>
      <c r="B438" t="s">
        <v>8295</v>
      </c>
      <c r="C438">
        <v>1</v>
      </c>
    </row>
    <row r="439" spans="1:3" x14ac:dyDescent="0.25">
      <c r="A439" t="s">
        <v>8332</v>
      </c>
      <c r="B439" t="s">
        <v>8343</v>
      </c>
      <c r="C439">
        <v>1</v>
      </c>
    </row>
    <row r="440" spans="1:3" x14ac:dyDescent="0.25">
      <c r="A440" t="s">
        <v>8441</v>
      </c>
      <c r="B440" t="s">
        <v>8717</v>
      </c>
      <c r="C440">
        <v>1</v>
      </c>
    </row>
    <row r="441" spans="1:3" x14ac:dyDescent="0.25">
      <c r="A441" t="s">
        <v>8828</v>
      </c>
      <c r="B441" t="s">
        <v>8392</v>
      </c>
      <c r="C441">
        <v>1</v>
      </c>
    </row>
    <row r="442" spans="1:3" x14ac:dyDescent="0.25">
      <c r="A442" t="s">
        <v>8418</v>
      </c>
      <c r="B442" t="s">
        <v>8716</v>
      </c>
      <c r="C442">
        <v>1</v>
      </c>
    </row>
    <row r="443" spans="1:3" x14ac:dyDescent="0.25">
      <c r="A443" t="s">
        <v>8922</v>
      </c>
      <c r="B443" t="s">
        <v>8359</v>
      </c>
      <c r="C443">
        <v>1</v>
      </c>
    </row>
    <row r="444" spans="1:3" x14ac:dyDescent="0.25">
      <c r="A444" t="s">
        <v>8614</v>
      </c>
      <c r="B444" t="s">
        <v>8255</v>
      </c>
      <c r="C444">
        <v>1</v>
      </c>
    </row>
    <row r="445" spans="1:3" x14ac:dyDescent="0.25">
      <c r="A445" t="s">
        <v>8774</v>
      </c>
      <c r="B445" t="s">
        <v>8316</v>
      </c>
      <c r="C445">
        <v>1</v>
      </c>
    </row>
    <row r="446" spans="1:3" x14ac:dyDescent="0.25">
      <c r="A446" t="s">
        <v>8655</v>
      </c>
      <c r="B446" t="s">
        <v>8297</v>
      </c>
      <c r="C446">
        <v>1</v>
      </c>
    </row>
    <row r="447" spans="1:3" x14ac:dyDescent="0.25">
      <c r="A447" t="s">
        <v>8263</v>
      </c>
      <c r="B447" t="s">
        <v>8462</v>
      </c>
      <c r="C447">
        <v>1</v>
      </c>
    </row>
    <row r="448" spans="1:3" x14ac:dyDescent="0.25">
      <c r="A448" t="s">
        <v>8920</v>
      </c>
      <c r="B448" t="s">
        <v>8237</v>
      </c>
      <c r="C448">
        <v>1</v>
      </c>
    </row>
    <row r="449" spans="1:3" x14ac:dyDescent="0.25">
      <c r="A449" t="s">
        <v>8230</v>
      </c>
      <c r="B449" t="s">
        <v>8392</v>
      </c>
      <c r="C449">
        <v>1</v>
      </c>
    </row>
    <row r="450" spans="1:3" x14ac:dyDescent="0.25">
      <c r="A450" t="s">
        <v>8520</v>
      </c>
      <c r="B450" t="s">
        <v>8316</v>
      </c>
      <c r="C450">
        <v>1</v>
      </c>
    </row>
    <row r="451" spans="1:3" x14ac:dyDescent="0.25">
      <c r="A451" t="s">
        <v>8502</v>
      </c>
      <c r="B451" t="s">
        <v>8425</v>
      </c>
      <c r="C451">
        <v>1</v>
      </c>
    </row>
    <row r="452" spans="1:3" x14ac:dyDescent="0.25">
      <c r="A452" t="s">
        <v>8609</v>
      </c>
      <c r="B452" t="s">
        <v>8284</v>
      </c>
      <c r="C452">
        <v>1</v>
      </c>
    </row>
    <row r="453" spans="1:3" x14ac:dyDescent="0.25">
      <c r="A453" t="s">
        <v>8770</v>
      </c>
      <c r="B453" t="s">
        <v>8403</v>
      </c>
      <c r="C453">
        <v>1</v>
      </c>
    </row>
    <row r="454" spans="1:3" x14ac:dyDescent="0.25">
      <c r="A454" t="s">
        <v>8733</v>
      </c>
      <c r="B454" t="s">
        <v>8343</v>
      </c>
      <c r="C454">
        <v>1</v>
      </c>
    </row>
    <row r="455" spans="1:3" x14ac:dyDescent="0.25">
      <c r="A455" t="s">
        <v>8804</v>
      </c>
      <c r="B455" t="s">
        <v>8348</v>
      </c>
      <c r="C455">
        <v>1</v>
      </c>
    </row>
    <row r="456" spans="1:3" x14ac:dyDescent="0.25">
      <c r="A456" t="s">
        <v>8519</v>
      </c>
      <c r="B456" t="s">
        <v>8352</v>
      </c>
      <c r="C456">
        <v>1</v>
      </c>
    </row>
    <row r="457" spans="1:3" x14ac:dyDescent="0.25">
      <c r="A457" t="s">
        <v>8899</v>
      </c>
      <c r="B457" t="s">
        <v>8304</v>
      </c>
      <c r="C457">
        <v>1</v>
      </c>
    </row>
    <row r="458" spans="1:3" x14ac:dyDescent="0.25">
      <c r="A458" t="s">
        <v>8569</v>
      </c>
      <c r="B458" t="s">
        <v>8964</v>
      </c>
      <c r="C458">
        <v>1</v>
      </c>
    </row>
    <row r="459" spans="1:3" x14ac:dyDescent="0.25">
      <c r="A459" t="s">
        <v>8732</v>
      </c>
      <c r="B459" t="s">
        <v>8392</v>
      </c>
      <c r="C459">
        <v>1</v>
      </c>
    </row>
    <row r="460" spans="1:3" x14ac:dyDescent="0.25">
      <c r="A460" t="s">
        <v>8680</v>
      </c>
      <c r="B460" t="s">
        <v>8637</v>
      </c>
      <c r="C460">
        <v>1</v>
      </c>
    </row>
    <row r="461" spans="1:3" x14ac:dyDescent="0.25">
      <c r="A461" t="s">
        <v>8963</v>
      </c>
      <c r="B461" t="s">
        <v>8237</v>
      </c>
      <c r="C461">
        <v>1</v>
      </c>
    </row>
    <row r="462" spans="1:3" x14ac:dyDescent="0.25">
      <c r="A462" t="s">
        <v>8692</v>
      </c>
      <c r="B462" t="s">
        <v>8245</v>
      </c>
      <c r="C462">
        <v>1</v>
      </c>
    </row>
    <row r="463" spans="1:3" x14ac:dyDescent="0.25">
      <c r="A463" t="s">
        <v>8372</v>
      </c>
      <c r="B463" t="s">
        <v>8403</v>
      </c>
      <c r="C463">
        <v>1</v>
      </c>
    </row>
    <row r="464" spans="1:3" x14ac:dyDescent="0.25">
      <c r="A464" t="s">
        <v>8298</v>
      </c>
      <c r="B464" t="s">
        <v>8572</v>
      </c>
      <c r="C464">
        <v>1</v>
      </c>
    </row>
    <row r="465" spans="1:3" x14ac:dyDescent="0.25">
      <c r="A465" t="s">
        <v>8800</v>
      </c>
      <c r="B465" t="s">
        <v>8613</v>
      </c>
      <c r="C465">
        <v>1</v>
      </c>
    </row>
    <row r="466" spans="1:3" x14ac:dyDescent="0.25">
      <c r="A466" t="s">
        <v>8286</v>
      </c>
      <c r="B466" t="s">
        <v>8403</v>
      </c>
      <c r="C466">
        <v>1</v>
      </c>
    </row>
    <row r="467" spans="1:3" x14ac:dyDescent="0.25">
      <c r="A467" t="s">
        <v>8581</v>
      </c>
      <c r="B467" t="s">
        <v>8689</v>
      </c>
      <c r="C467">
        <v>1</v>
      </c>
    </row>
    <row r="468" spans="1:3" x14ac:dyDescent="0.25">
      <c r="A468" t="s">
        <v>8307</v>
      </c>
      <c r="B468" t="s">
        <v>8250</v>
      </c>
      <c r="C468">
        <v>1</v>
      </c>
    </row>
    <row r="469" spans="1:3" x14ac:dyDescent="0.25">
      <c r="A469" t="s">
        <v>8424</v>
      </c>
      <c r="B469" t="s">
        <v>8343</v>
      </c>
      <c r="C469">
        <v>1</v>
      </c>
    </row>
    <row r="470" spans="1:3" x14ac:dyDescent="0.25">
      <c r="A470" t="s">
        <v>8801</v>
      </c>
      <c r="B470" t="s">
        <v>8816</v>
      </c>
      <c r="C470">
        <v>1</v>
      </c>
    </row>
    <row r="471" spans="1:3" x14ac:dyDescent="0.25">
      <c r="A471" t="s">
        <v>8329</v>
      </c>
      <c r="B471" t="s">
        <v>8411</v>
      </c>
      <c r="C471">
        <v>1</v>
      </c>
    </row>
    <row r="472" spans="1:3" x14ac:dyDescent="0.25">
      <c r="A472" t="s">
        <v>8821</v>
      </c>
      <c r="B472" t="s">
        <v>8462</v>
      </c>
      <c r="C472">
        <v>1</v>
      </c>
    </row>
    <row r="473" spans="1:3" x14ac:dyDescent="0.25">
      <c r="A473" t="s">
        <v>8625</v>
      </c>
      <c r="B473" t="s">
        <v>8237</v>
      </c>
      <c r="C473">
        <v>1</v>
      </c>
    </row>
    <row r="474" spans="1:3" x14ac:dyDescent="0.25">
      <c r="A474" t="s">
        <v>8400</v>
      </c>
      <c r="B474" t="s">
        <v>8498</v>
      </c>
      <c r="C474">
        <v>1</v>
      </c>
    </row>
    <row r="475" spans="1:3" x14ac:dyDescent="0.25">
      <c r="A475" t="s">
        <v>8799</v>
      </c>
      <c r="B475" t="s">
        <v>8492</v>
      </c>
      <c r="C475">
        <v>1</v>
      </c>
    </row>
    <row r="476" spans="1:3" x14ac:dyDescent="0.25">
      <c r="A476" t="s">
        <v>8654</v>
      </c>
      <c r="B476" t="s">
        <v>8613</v>
      </c>
      <c r="C476">
        <v>1</v>
      </c>
    </row>
    <row r="477" spans="1:3" x14ac:dyDescent="0.25">
      <c r="A477" t="s">
        <v>8627</v>
      </c>
      <c r="B477" t="s">
        <v>8403</v>
      </c>
      <c r="C477">
        <v>1</v>
      </c>
    </row>
    <row r="478" spans="1:3" x14ac:dyDescent="0.25">
      <c r="A478" t="s">
        <v>8222</v>
      </c>
      <c r="B478" t="s">
        <v>8392</v>
      </c>
      <c r="C478">
        <v>1</v>
      </c>
    </row>
    <row r="479" spans="1:3" x14ac:dyDescent="0.25">
      <c r="A479" t="s">
        <v>8621</v>
      </c>
      <c r="B479" t="s">
        <v>8352</v>
      </c>
      <c r="C479">
        <v>1</v>
      </c>
    </row>
    <row r="480" spans="1:3" x14ac:dyDescent="0.25">
      <c r="A480" t="s">
        <v>8756</v>
      </c>
      <c r="B480" t="s">
        <v>8297</v>
      </c>
      <c r="C480">
        <v>1</v>
      </c>
    </row>
    <row r="481" spans="1:3" x14ac:dyDescent="0.25">
      <c r="A481" t="s">
        <v>8584</v>
      </c>
      <c r="B481" t="s">
        <v>8352</v>
      </c>
      <c r="C481">
        <v>1</v>
      </c>
    </row>
    <row r="482" spans="1:3" x14ac:dyDescent="0.25">
      <c r="A482" t="s">
        <v>8678</v>
      </c>
      <c r="B482" t="s">
        <v>8297</v>
      </c>
      <c r="C482">
        <v>1</v>
      </c>
    </row>
    <row r="483" spans="1:3" x14ac:dyDescent="0.25">
      <c r="A483" t="s">
        <v>8967</v>
      </c>
      <c r="B483" t="s">
        <v>8238</v>
      </c>
      <c r="C483">
        <v>1</v>
      </c>
    </row>
    <row r="484" spans="1:3" x14ac:dyDescent="0.25">
      <c r="A484" t="s">
        <v>8410</v>
      </c>
      <c r="B484" t="s">
        <v>8791</v>
      </c>
      <c r="C484">
        <v>1</v>
      </c>
    </row>
    <row r="485" spans="1:3" x14ac:dyDescent="0.25">
      <c r="A485" t="s">
        <v>8945</v>
      </c>
      <c r="B485">
        <v>471</v>
      </c>
      <c r="C485">
        <v>1</v>
      </c>
    </row>
    <row r="486" spans="1:3" x14ac:dyDescent="0.25">
      <c r="A486" t="s">
        <v>8411</v>
      </c>
      <c r="B486" t="s">
        <v>8670</v>
      </c>
      <c r="C486">
        <v>1</v>
      </c>
    </row>
    <row r="487" spans="1:3" x14ac:dyDescent="0.25">
      <c r="A487" t="s">
        <v>8296</v>
      </c>
      <c r="B487" t="s">
        <v>8284</v>
      </c>
      <c r="C487">
        <v>1</v>
      </c>
    </row>
    <row r="488" spans="1:3" x14ac:dyDescent="0.25">
      <c r="A488" t="s">
        <v>8543</v>
      </c>
      <c r="B488" t="s">
        <v>8237</v>
      </c>
      <c r="C488">
        <v>1</v>
      </c>
    </row>
    <row r="489" spans="1:3" x14ac:dyDescent="0.25">
      <c r="A489" t="s">
        <v>8754</v>
      </c>
      <c r="B489" t="s">
        <v>8284</v>
      </c>
      <c r="C489">
        <v>1</v>
      </c>
    </row>
    <row r="490" spans="1:3" x14ac:dyDescent="0.25">
      <c r="A490" t="s">
        <v>8301</v>
      </c>
      <c r="B490" t="s">
        <v>8403</v>
      </c>
      <c r="C490">
        <v>1</v>
      </c>
    </row>
    <row r="491" spans="1:3" x14ac:dyDescent="0.25">
      <c r="A491" t="s">
        <v>8389</v>
      </c>
      <c r="B491" t="s">
        <v>8403</v>
      </c>
      <c r="C491">
        <v>1</v>
      </c>
    </row>
    <row r="492" spans="1:3" x14ac:dyDescent="0.25">
      <c r="A492" t="s">
        <v>8671</v>
      </c>
      <c r="B492" t="s">
        <v>8559</v>
      </c>
      <c r="C492">
        <v>1</v>
      </c>
    </row>
    <row r="493" spans="1:3" x14ac:dyDescent="0.25">
      <c r="A493" t="s">
        <v>8452</v>
      </c>
      <c r="B493" t="s">
        <v>8613</v>
      </c>
      <c r="C493">
        <v>1</v>
      </c>
    </row>
    <row r="494" spans="1:3" x14ac:dyDescent="0.25">
      <c r="A494" t="s">
        <v>8634</v>
      </c>
      <c r="B494" t="s">
        <v>8433</v>
      </c>
      <c r="C494">
        <v>1</v>
      </c>
    </row>
    <row r="495" spans="1:3" x14ac:dyDescent="0.25">
      <c r="A495" t="s">
        <v>8847</v>
      </c>
      <c r="B495" t="s">
        <v>8237</v>
      </c>
      <c r="C495">
        <v>1</v>
      </c>
    </row>
    <row r="496" spans="1:3" x14ac:dyDescent="0.25">
      <c r="A496" t="s">
        <v>8930</v>
      </c>
      <c r="B496" t="s">
        <v>8403</v>
      </c>
      <c r="C496">
        <v>1</v>
      </c>
    </row>
    <row r="497" spans="1:3" x14ac:dyDescent="0.25">
      <c r="A497" t="s">
        <v>8837</v>
      </c>
      <c r="B497" t="s">
        <v>8343</v>
      </c>
      <c r="C497">
        <v>1</v>
      </c>
    </row>
    <row r="498" spans="1:3" x14ac:dyDescent="0.25">
      <c r="A498" t="s">
        <v>8871</v>
      </c>
      <c r="B498" t="s">
        <v>8559</v>
      </c>
      <c r="C498">
        <v>1</v>
      </c>
    </row>
    <row r="499" spans="1:3" x14ac:dyDescent="0.25">
      <c r="A499" t="s">
        <v>8708</v>
      </c>
      <c r="B499" t="s">
        <v>8237</v>
      </c>
      <c r="C499">
        <v>1</v>
      </c>
    </row>
    <row r="500" spans="1:3" x14ac:dyDescent="0.25">
      <c r="A500" t="s">
        <v>8822</v>
      </c>
      <c r="B500" t="s">
        <v>8237</v>
      </c>
      <c r="C500">
        <v>1</v>
      </c>
    </row>
    <row r="501" spans="1:3" x14ac:dyDescent="0.25">
      <c r="A501" t="s">
        <v>8481</v>
      </c>
      <c r="B501" t="s">
        <v>8359</v>
      </c>
      <c r="C501">
        <v>1</v>
      </c>
    </row>
    <row r="502" spans="1:3" x14ac:dyDescent="0.25">
      <c r="A502" t="s">
        <v>8322</v>
      </c>
      <c r="B502" t="s">
        <v>8403</v>
      </c>
      <c r="C502">
        <v>1</v>
      </c>
    </row>
    <row r="503" spans="1:3" x14ac:dyDescent="0.25">
      <c r="A503" t="s">
        <v>8969</v>
      </c>
      <c r="B503" t="s">
        <v>8359</v>
      </c>
      <c r="C503">
        <v>1</v>
      </c>
    </row>
    <row r="504" spans="1:3" x14ac:dyDescent="0.25">
      <c r="A504" t="s">
        <v>8326</v>
      </c>
      <c r="B504" t="s">
        <v>8498</v>
      </c>
      <c r="C504">
        <v>1</v>
      </c>
    </row>
    <row r="505" spans="1:3" x14ac:dyDescent="0.25">
      <c r="A505" t="s">
        <v>8499</v>
      </c>
      <c r="B505" t="s">
        <v>8215</v>
      </c>
      <c r="C505">
        <v>1</v>
      </c>
    </row>
    <row r="506" spans="1:3" x14ac:dyDescent="0.25">
      <c r="A506" t="s">
        <v>8489</v>
      </c>
      <c r="B506" t="s">
        <v>8670</v>
      </c>
      <c r="C506">
        <v>1</v>
      </c>
    </row>
    <row r="507" spans="1:3" x14ac:dyDescent="0.25">
      <c r="A507" t="s">
        <v>8206</v>
      </c>
      <c r="B507" t="s">
        <v>8238</v>
      </c>
      <c r="C507">
        <v>1</v>
      </c>
    </row>
    <row r="508" spans="1:3" x14ac:dyDescent="0.25">
      <c r="A508" t="s">
        <v>8846</v>
      </c>
      <c r="B508" t="s">
        <v>8284</v>
      </c>
      <c r="C508">
        <v>1</v>
      </c>
    </row>
    <row r="509" spans="1:3" x14ac:dyDescent="0.25">
      <c r="A509" t="s">
        <v>8795</v>
      </c>
      <c r="B509" t="s">
        <v>8417</v>
      </c>
      <c r="C509">
        <v>1</v>
      </c>
    </row>
    <row r="510" spans="1:3" x14ac:dyDescent="0.25">
      <c r="A510" t="s">
        <v>8262</v>
      </c>
      <c r="B510" t="s">
        <v>8295</v>
      </c>
      <c r="C510">
        <v>1</v>
      </c>
    </row>
    <row r="511" spans="1:3" x14ac:dyDescent="0.25">
      <c r="A511" t="s">
        <v>8608</v>
      </c>
      <c r="B511" t="s">
        <v>8717</v>
      </c>
      <c r="C511">
        <v>1</v>
      </c>
    </row>
    <row r="512" spans="1:3" x14ac:dyDescent="0.25">
      <c r="A512" t="s">
        <v>8397</v>
      </c>
      <c r="B512" t="s">
        <v>8250</v>
      </c>
      <c r="C512">
        <v>1</v>
      </c>
    </row>
    <row r="513" spans="1:3" x14ac:dyDescent="0.25">
      <c r="A513" t="s">
        <v>8909</v>
      </c>
      <c r="B513" t="s">
        <v>8403</v>
      </c>
      <c r="C513">
        <v>1</v>
      </c>
    </row>
    <row r="514" spans="1:3" x14ac:dyDescent="0.25">
      <c r="A514" t="s">
        <v>8428</v>
      </c>
      <c r="B514" t="s">
        <v>8637</v>
      </c>
      <c r="C514">
        <v>1</v>
      </c>
    </row>
    <row r="515" spans="1:3" x14ac:dyDescent="0.25">
      <c r="A515" t="s">
        <v>8615</v>
      </c>
      <c r="B515" t="s">
        <v>8250</v>
      </c>
      <c r="C515">
        <v>1</v>
      </c>
    </row>
    <row r="516" spans="1:3" x14ac:dyDescent="0.25">
      <c r="A516" t="s">
        <v>8886</v>
      </c>
      <c r="B516" t="s">
        <v>8433</v>
      </c>
      <c r="C516">
        <v>1</v>
      </c>
    </row>
    <row r="517" spans="1:3" x14ac:dyDescent="0.25">
      <c r="A517" t="s">
        <v>8815</v>
      </c>
      <c r="B517" t="s">
        <v>8859</v>
      </c>
      <c r="C517">
        <v>1</v>
      </c>
    </row>
    <row r="518" spans="1:3" x14ac:dyDescent="0.25">
      <c r="A518" t="s">
        <v>8928</v>
      </c>
      <c r="B518" t="s">
        <v>8613</v>
      </c>
      <c r="C518">
        <v>1</v>
      </c>
    </row>
    <row r="519" spans="1:3" x14ac:dyDescent="0.25">
      <c r="A519" t="s">
        <v>8532</v>
      </c>
      <c r="B519" t="s">
        <v>8566</v>
      </c>
      <c r="C519">
        <v>1</v>
      </c>
    </row>
    <row r="520" spans="1:3" x14ac:dyDescent="0.25">
      <c r="A520" t="s">
        <v>8630</v>
      </c>
      <c r="B520" t="s">
        <v>8215</v>
      </c>
      <c r="C520">
        <v>1</v>
      </c>
    </row>
    <row r="521" spans="1:3" x14ac:dyDescent="0.25">
      <c r="A521" t="s">
        <v>8381</v>
      </c>
      <c r="B521" t="s">
        <v>8215</v>
      </c>
      <c r="C521">
        <v>1</v>
      </c>
    </row>
    <row r="522" spans="1:3" x14ac:dyDescent="0.25">
      <c r="A522" t="s">
        <v>8396</v>
      </c>
      <c r="B522" t="s">
        <v>8403</v>
      </c>
      <c r="C522">
        <v>1</v>
      </c>
    </row>
    <row r="523" spans="1:3" x14ac:dyDescent="0.25">
      <c r="A523" t="s">
        <v>8406</v>
      </c>
      <c r="B523" t="s">
        <v>8295</v>
      </c>
      <c r="C523">
        <v>1</v>
      </c>
    </row>
    <row r="524" spans="1:3" x14ac:dyDescent="0.25">
      <c r="A524" t="s">
        <v>8725</v>
      </c>
      <c r="B524" t="s">
        <v>8613</v>
      </c>
      <c r="C524">
        <v>1</v>
      </c>
    </row>
    <row r="525" spans="1:3" x14ac:dyDescent="0.25">
      <c r="A525" t="s">
        <v>8620</v>
      </c>
      <c r="B525" t="s">
        <v>8215</v>
      </c>
      <c r="C525">
        <v>1</v>
      </c>
    </row>
    <row r="526" spans="1:3" x14ac:dyDescent="0.25">
      <c r="A526" t="s">
        <v>8689</v>
      </c>
      <c r="B526" t="s">
        <v>8670</v>
      </c>
      <c r="C526">
        <v>1</v>
      </c>
    </row>
    <row r="527" spans="1:3" x14ac:dyDescent="0.25">
      <c r="A527" t="s">
        <v>8469</v>
      </c>
      <c r="B527" t="s">
        <v>8816</v>
      </c>
      <c r="C527">
        <v>1</v>
      </c>
    </row>
    <row r="528" spans="1:3" x14ac:dyDescent="0.25">
      <c r="A528" t="s">
        <v>8553</v>
      </c>
      <c r="B528" t="s">
        <v>8700</v>
      </c>
      <c r="C528">
        <v>1</v>
      </c>
    </row>
    <row r="529" spans="1:3" x14ac:dyDescent="0.25">
      <c r="A529" t="s">
        <v>8274</v>
      </c>
      <c r="B529" t="s">
        <v>8215</v>
      </c>
      <c r="C529">
        <v>1</v>
      </c>
    </row>
    <row r="530" spans="1:3" x14ac:dyDescent="0.25">
      <c r="A530" t="s">
        <v>8930</v>
      </c>
      <c r="B530" t="s">
        <v>8613</v>
      </c>
      <c r="C530">
        <v>1</v>
      </c>
    </row>
    <row r="531" spans="1:3" x14ac:dyDescent="0.25">
      <c r="A531" t="s">
        <v>8758</v>
      </c>
      <c r="B531" t="s">
        <v>8295</v>
      </c>
      <c r="C531">
        <v>1</v>
      </c>
    </row>
    <row r="532" spans="1:3" x14ac:dyDescent="0.25">
      <c r="A532" t="s">
        <v>8421</v>
      </c>
      <c r="B532" t="s">
        <v>8392</v>
      </c>
      <c r="C532">
        <v>1</v>
      </c>
    </row>
    <row r="533" spans="1:3" x14ac:dyDescent="0.25">
      <c r="A533" t="s">
        <v>8294</v>
      </c>
      <c r="B533" t="s">
        <v>8348</v>
      </c>
      <c r="C533">
        <v>1</v>
      </c>
    </row>
    <row r="534" spans="1:3" x14ac:dyDescent="0.25">
      <c r="A534" t="s">
        <v>8651</v>
      </c>
      <c r="B534" t="s">
        <v>8215</v>
      </c>
      <c r="C534">
        <v>1</v>
      </c>
    </row>
    <row r="535" spans="1:3" x14ac:dyDescent="0.25">
      <c r="A535" t="s">
        <v>8752</v>
      </c>
      <c r="B535" t="s">
        <v>8295</v>
      </c>
      <c r="C535">
        <v>1</v>
      </c>
    </row>
    <row r="536" spans="1:3" x14ac:dyDescent="0.25">
      <c r="A536" t="s">
        <v>8419</v>
      </c>
      <c r="B536" t="s">
        <v>8404</v>
      </c>
      <c r="C536">
        <v>1</v>
      </c>
    </row>
    <row r="537" spans="1:3" x14ac:dyDescent="0.25">
      <c r="A537" t="s">
        <v>8937</v>
      </c>
      <c r="B537" t="s">
        <v>8215</v>
      </c>
      <c r="C537">
        <v>1</v>
      </c>
    </row>
    <row r="538" spans="1:3" x14ac:dyDescent="0.25">
      <c r="A538" t="s">
        <v>8490</v>
      </c>
      <c r="B538" t="s">
        <v>8295</v>
      </c>
      <c r="C538">
        <v>1</v>
      </c>
    </row>
    <row r="539" spans="1:3" x14ac:dyDescent="0.25">
      <c r="A539" t="s">
        <v>8787</v>
      </c>
      <c r="B539" t="s">
        <v>8348</v>
      </c>
      <c r="C539">
        <v>1</v>
      </c>
    </row>
    <row r="540" spans="1:3" x14ac:dyDescent="0.25">
      <c r="A540" t="s">
        <v>8709</v>
      </c>
      <c r="B540" t="s">
        <v>8462</v>
      </c>
      <c r="C540">
        <v>1</v>
      </c>
    </row>
    <row r="541" spans="1:3" x14ac:dyDescent="0.25">
      <c r="A541" t="s">
        <v>8842</v>
      </c>
      <c r="B541" t="s">
        <v>8689</v>
      </c>
      <c r="C541">
        <v>1</v>
      </c>
    </row>
    <row r="542" spans="1:3" x14ac:dyDescent="0.25">
      <c r="A542" t="s">
        <v>8517</v>
      </c>
      <c r="B542" t="s">
        <v>8411</v>
      </c>
      <c r="C542">
        <v>1</v>
      </c>
    </row>
    <row r="543" spans="1:3" x14ac:dyDescent="0.25">
      <c r="A543" t="s">
        <v>8436</v>
      </c>
      <c r="B543" t="s">
        <v>8403</v>
      </c>
      <c r="C543">
        <v>1</v>
      </c>
    </row>
    <row r="544" spans="1:3" x14ac:dyDescent="0.25">
      <c r="A544" t="s">
        <v>8661</v>
      </c>
      <c r="B544" t="s">
        <v>8411</v>
      </c>
      <c r="C544">
        <v>1</v>
      </c>
    </row>
    <row r="545" spans="1:3" x14ac:dyDescent="0.25">
      <c r="A545" t="s">
        <v>8597</v>
      </c>
      <c r="B545" t="s">
        <v>8411</v>
      </c>
      <c r="C545">
        <v>1</v>
      </c>
    </row>
    <row r="546" spans="1:3" x14ac:dyDescent="0.25">
      <c r="A546" t="s">
        <v>8792</v>
      </c>
      <c r="B546" t="s">
        <v>8237</v>
      </c>
      <c r="C546">
        <v>1</v>
      </c>
    </row>
    <row r="547" spans="1:3" x14ac:dyDescent="0.25">
      <c r="A547" t="s">
        <v>8882</v>
      </c>
      <c r="B547" t="s">
        <v>8670</v>
      </c>
      <c r="C547">
        <v>1</v>
      </c>
    </row>
    <row r="548" spans="1:3" x14ac:dyDescent="0.25">
      <c r="A548" t="s">
        <v>8586</v>
      </c>
      <c r="B548" t="s">
        <v>8250</v>
      </c>
      <c r="C548">
        <v>1</v>
      </c>
    </row>
    <row r="549" spans="1:3" x14ac:dyDescent="0.25">
      <c r="A549" t="s">
        <v>8513</v>
      </c>
      <c r="B549" t="s">
        <v>8215</v>
      </c>
      <c r="C549">
        <v>1</v>
      </c>
    </row>
    <row r="550" spans="1:3" x14ac:dyDescent="0.25">
      <c r="A550" t="s">
        <v>8486</v>
      </c>
      <c r="B550" t="s">
        <v>8237</v>
      </c>
      <c r="C550">
        <v>1</v>
      </c>
    </row>
    <row r="551" spans="1:3" x14ac:dyDescent="0.25">
      <c r="A551" t="s">
        <v>8960</v>
      </c>
      <c r="B551" t="s">
        <v>8284</v>
      </c>
      <c r="C551">
        <v>1</v>
      </c>
    </row>
    <row r="552" spans="1:3" x14ac:dyDescent="0.25">
      <c r="A552" t="s">
        <v>8652</v>
      </c>
      <c r="B552" t="s">
        <v>8403</v>
      </c>
      <c r="C552">
        <v>1</v>
      </c>
    </row>
    <row r="553" spans="1:3" x14ac:dyDescent="0.25">
      <c r="A553" t="s">
        <v>8233</v>
      </c>
      <c r="B553" t="s">
        <v>8404</v>
      </c>
      <c r="C553">
        <v>1</v>
      </c>
    </row>
    <row r="554" spans="1:3" x14ac:dyDescent="0.25">
      <c r="A554" t="s">
        <v>8431</v>
      </c>
      <c r="B554" t="s">
        <v>8566</v>
      </c>
      <c r="C554">
        <v>1</v>
      </c>
    </row>
    <row r="555" spans="1:3" x14ac:dyDescent="0.25">
      <c r="A555" t="s">
        <v>8914</v>
      </c>
      <c r="B555" t="s">
        <v>8359</v>
      </c>
      <c r="C555">
        <v>1</v>
      </c>
    </row>
    <row r="556" spans="1:3" x14ac:dyDescent="0.25">
      <c r="A556" t="s">
        <v>8940</v>
      </c>
      <c r="B556" t="s">
        <v>8284</v>
      </c>
      <c r="C556">
        <v>1</v>
      </c>
    </row>
    <row r="557" spans="1:3" x14ac:dyDescent="0.25">
      <c r="A557" t="s">
        <v>8413</v>
      </c>
      <c r="B557" t="s">
        <v>8284</v>
      </c>
      <c r="C557">
        <v>1</v>
      </c>
    </row>
    <row r="558" spans="1:3" x14ac:dyDescent="0.25">
      <c r="A558" t="s">
        <v>8638</v>
      </c>
      <c r="B558" t="s">
        <v>8359</v>
      </c>
      <c r="C558">
        <v>1</v>
      </c>
    </row>
    <row r="559" spans="1:3" x14ac:dyDescent="0.25">
      <c r="A559" t="s">
        <v>8942</v>
      </c>
      <c r="B559" t="s">
        <v>8237</v>
      </c>
      <c r="C559">
        <v>1</v>
      </c>
    </row>
    <row r="560" spans="1:3" x14ac:dyDescent="0.25">
      <c r="A560" t="s">
        <v>8530</v>
      </c>
      <c r="B560" t="s">
        <v>8237</v>
      </c>
      <c r="C560">
        <v>1</v>
      </c>
    </row>
    <row r="561" spans="1:3" x14ac:dyDescent="0.25">
      <c r="A561" t="s">
        <v>8788</v>
      </c>
      <c r="B561" t="s">
        <v>8335</v>
      </c>
      <c r="C561">
        <v>1</v>
      </c>
    </row>
    <row r="562" spans="1:3" x14ac:dyDescent="0.25">
      <c r="A562" t="s">
        <v>8334</v>
      </c>
      <c r="B562" t="s">
        <v>8215</v>
      </c>
      <c r="C562">
        <v>1</v>
      </c>
    </row>
    <row r="563" spans="1:3" x14ac:dyDescent="0.25">
      <c r="A563" t="s">
        <v>8272</v>
      </c>
      <c r="B563" t="s">
        <v>8417</v>
      </c>
      <c r="C563">
        <v>1</v>
      </c>
    </row>
    <row r="564" spans="1:3" x14ac:dyDescent="0.25">
      <c r="A564" t="s">
        <v>8812</v>
      </c>
      <c r="B564" t="s">
        <v>8964</v>
      </c>
      <c r="C564">
        <v>1</v>
      </c>
    </row>
    <row r="565" spans="1:3" x14ac:dyDescent="0.25">
      <c r="A565" t="s">
        <v>8573</v>
      </c>
      <c r="B565" t="s">
        <v>8404</v>
      </c>
      <c r="C565">
        <v>1</v>
      </c>
    </row>
    <row r="566" spans="1:3" x14ac:dyDescent="0.25">
      <c r="A566" t="s">
        <v>8870</v>
      </c>
      <c r="B566" t="s">
        <v>8295</v>
      </c>
      <c r="C566">
        <v>1</v>
      </c>
    </row>
    <row r="567" spans="1:3" x14ac:dyDescent="0.25">
      <c r="A567" t="s">
        <v>8991</v>
      </c>
      <c r="B567" t="s">
        <v>8717</v>
      </c>
      <c r="C567">
        <v>1</v>
      </c>
    </row>
    <row r="568" spans="1:3" x14ac:dyDescent="0.25">
      <c r="A568" t="s">
        <v>8771</v>
      </c>
      <c r="B568" t="s">
        <v>8237</v>
      </c>
      <c r="C568">
        <v>1</v>
      </c>
    </row>
    <row r="569" spans="1:3" x14ac:dyDescent="0.25">
      <c r="A569" t="s">
        <v>8722</v>
      </c>
      <c r="B569" t="s">
        <v>8237</v>
      </c>
      <c r="C569">
        <v>1</v>
      </c>
    </row>
    <row r="570" spans="1:3" x14ac:dyDescent="0.25">
      <c r="A570" t="s">
        <v>8865</v>
      </c>
      <c r="B570" t="s">
        <v>8411</v>
      </c>
      <c r="C570">
        <v>1</v>
      </c>
    </row>
    <row r="571" spans="1:3" x14ac:dyDescent="0.25">
      <c r="A571" t="s">
        <v>8515</v>
      </c>
      <c r="B571" t="s">
        <v>8304</v>
      </c>
      <c r="C571">
        <v>1</v>
      </c>
    </row>
    <row r="572" spans="1:3" x14ac:dyDescent="0.25">
      <c r="A572" t="s">
        <v>8314</v>
      </c>
      <c r="B572" t="s">
        <v>8215</v>
      </c>
      <c r="C572">
        <v>1</v>
      </c>
    </row>
    <row r="573" spans="1:3" x14ac:dyDescent="0.25">
      <c r="A573" t="s">
        <v>8779</v>
      </c>
      <c r="B573" t="s">
        <v>8237</v>
      </c>
      <c r="C573">
        <v>1</v>
      </c>
    </row>
    <row r="574" spans="1:3" x14ac:dyDescent="0.25">
      <c r="A574" t="s">
        <v>8903</v>
      </c>
      <c r="B574" t="s">
        <v>8403</v>
      </c>
      <c r="C574">
        <v>1</v>
      </c>
    </row>
    <row r="575" spans="1:3" x14ac:dyDescent="0.25">
      <c r="A575" t="s">
        <v>8696</v>
      </c>
      <c r="B575" t="s">
        <v>8433</v>
      </c>
      <c r="C575">
        <v>1</v>
      </c>
    </row>
    <row r="576" spans="1:3" x14ac:dyDescent="0.25">
      <c r="A576" t="s">
        <v>8731</v>
      </c>
      <c r="B576" t="s">
        <v>8417</v>
      </c>
      <c r="C576">
        <v>1</v>
      </c>
    </row>
    <row r="577" spans="1:3" x14ac:dyDescent="0.25">
      <c r="A577" t="s">
        <v>8917</v>
      </c>
      <c r="B577" t="s">
        <v>8237</v>
      </c>
      <c r="C577">
        <v>1</v>
      </c>
    </row>
    <row r="578" spans="1:3" x14ac:dyDescent="0.25">
      <c r="A578" t="s">
        <v>8617</v>
      </c>
      <c r="B578" t="s">
        <v>8297</v>
      </c>
      <c r="C578">
        <v>1</v>
      </c>
    </row>
    <row r="579" spans="1:3" x14ac:dyDescent="0.25">
      <c r="A579" t="s">
        <v>8400</v>
      </c>
      <c r="B579" t="s">
        <v>8498</v>
      </c>
      <c r="C579">
        <v>1</v>
      </c>
    </row>
    <row r="580" spans="1:3" x14ac:dyDescent="0.25">
      <c r="A580" t="s">
        <v>8863</v>
      </c>
      <c r="B580" t="s">
        <v>8238</v>
      </c>
      <c r="C580">
        <v>1</v>
      </c>
    </row>
    <row r="581" spans="1:3" x14ac:dyDescent="0.25">
      <c r="A581" t="s">
        <v>8888</v>
      </c>
      <c r="B581" t="s">
        <v>8297</v>
      </c>
      <c r="C581">
        <v>1</v>
      </c>
    </row>
    <row r="582" spans="1:3" x14ac:dyDescent="0.25">
      <c r="A582" t="s">
        <v>8219</v>
      </c>
      <c r="B582" t="s">
        <v>8387</v>
      </c>
      <c r="C582">
        <v>1</v>
      </c>
    </row>
    <row r="583" spans="1:3" x14ac:dyDescent="0.25">
      <c r="A583" t="s">
        <v>8629</v>
      </c>
      <c r="B583" t="s">
        <v>8392</v>
      </c>
      <c r="C583">
        <v>1</v>
      </c>
    </row>
    <row r="584" spans="1:3" x14ac:dyDescent="0.25">
      <c r="A584" t="s">
        <v>8856</v>
      </c>
      <c r="B584" t="s">
        <v>8392</v>
      </c>
      <c r="C584">
        <v>1</v>
      </c>
    </row>
    <row r="585" spans="1:3" x14ac:dyDescent="0.25">
      <c r="A585" t="s">
        <v>8310</v>
      </c>
      <c r="B585" t="s">
        <v>8284</v>
      </c>
      <c r="C585">
        <v>1</v>
      </c>
    </row>
    <row r="586" spans="1:3" x14ac:dyDescent="0.25">
      <c r="A586" t="s">
        <v>8288</v>
      </c>
      <c r="B586" t="s">
        <v>8284</v>
      </c>
      <c r="C586">
        <v>1</v>
      </c>
    </row>
    <row r="587" spans="1:3" x14ac:dyDescent="0.25">
      <c r="A587" t="s">
        <v>8860</v>
      </c>
      <c r="B587" t="s">
        <v>8828</v>
      </c>
      <c r="C587">
        <v>1</v>
      </c>
    </row>
    <row r="588" spans="1:3" x14ac:dyDescent="0.25">
      <c r="A588" t="s">
        <v>8897</v>
      </c>
      <c r="B588" t="s">
        <v>8215</v>
      </c>
      <c r="C588">
        <v>1</v>
      </c>
    </row>
    <row r="589" spans="1:3" x14ac:dyDescent="0.25">
      <c r="A589" t="s">
        <v>8599</v>
      </c>
      <c r="B589" t="s">
        <v>8237</v>
      </c>
      <c r="C589">
        <v>1</v>
      </c>
    </row>
    <row r="590" spans="1:3" x14ac:dyDescent="0.25">
      <c r="A590" t="s">
        <v>8712</v>
      </c>
      <c r="B590" t="s">
        <v>8352</v>
      </c>
      <c r="C590">
        <v>1</v>
      </c>
    </row>
    <row r="591" spans="1:3" x14ac:dyDescent="0.25">
      <c r="A591" t="s">
        <v>8409</v>
      </c>
      <c r="B591" t="s">
        <v>8816</v>
      </c>
      <c r="C591">
        <v>1</v>
      </c>
    </row>
    <row r="592" spans="1:3" x14ac:dyDescent="0.25">
      <c r="A592" t="s">
        <v>8814</v>
      </c>
      <c r="B592" t="s">
        <v>8299</v>
      </c>
      <c r="C592">
        <v>1</v>
      </c>
    </row>
    <row r="593" spans="1:3" x14ac:dyDescent="0.25">
      <c r="A593" t="s">
        <v>8845</v>
      </c>
      <c r="B593" t="s">
        <v>8498</v>
      </c>
      <c r="C593">
        <v>1</v>
      </c>
    </row>
    <row r="594" spans="1:3" x14ac:dyDescent="0.25">
      <c r="A594" t="s">
        <v>8836</v>
      </c>
      <c r="B594" t="s">
        <v>8411</v>
      </c>
      <c r="C594">
        <v>1</v>
      </c>
    </row>
    <row r="595" spans="1:3" x14ac:dyDescent="0.25">
      <c r="A595" t="s">
        <v>8558</v>
      </c>
      <c r="B595" t="s">
        <v>8403</v>
      </c>
      <c r="C595">
        <v>1</v>
      </c>
    </row>
    <row r="596" spans="1:3" x14ac:dyDescent="0.25">
      <c r="A596" t="s">
        <v>8716</v>
      </c>
      <c r="B596" t="s">
        <v>8245</v>
      </c>
      <c r="C596">
        <v>1</v>
      </c>
    </row>
    <row r="597" spans="1:3" x14ac:dyDescent="0.25">
      <c r="A597" t="s">
        <v>8222</v>
      </c>
      <c r="B597" t="s">
        <v>8387</v>
      </c>
      <c r="C597">
        <v>1</v>
      </c>
    </row>
    <row r="598" spans="1:3" x14ac:dyDescent="0.25">
      <c r="A598" t="s">
        <v>8975</v>
      </c>
      <c r="B598" t="s">
        <v>8670</v>
      </c>
      <c r="C598">
        <v>1</v>
      </c>
    </row>
    <row r="599" spans="1:3" x14ac:dyDescent="0.25">
      <c r="A599" t="s">
        <v>8414</v>
      </c>
      <c r="B599" t="s">
        <v>8250</v>
      </c>
      <c r="C599">
        <v>1</v>
      </c>
    </row>
    <row r="600" spans="1:3" x14ac:dyDescent="0.25">
      <c r="A600" t="s">
        <v>8254</v>
      </c>
      <c r="B600" t="s">
        <v>8859</v>
      </c>
      <c r="C600">
        <v>1</v>
      </c>
    </row>
    <row r="601" spans="1:3" x14ac:dyDescent="0.25">
      <c r="A601" t="s">
        <v>8750</v>
      </c>
      <c r="B601" t="s">
        <v>8462</v>
      </c>
      <c r="C601">
        <v>1</v>
      </c>
    </row>
    <row r="602" spans="1:3" x14ac:dyDescent="0.25">
      <c r="A602" t="s">
        <v>8944</v>
      </c>
      <c r="B602" t="s">
        <v>8215</v>
      </c>
      <c r="C602">
        <v>1</v>
      </c>
    </row>
    <row r="603" spans="1:3" x14ac:dyDescent="0.25">
      <c r="A603" t="s">
        <v>8296</v>
      </c>
      <c r="B603" t="s">
        <v>8284</v>
      </c>
      <c r="C603">
        <v>1</v>
      </c>
    </row>
    <row r="604" spans="1:3" x14ac:dyDescent="0.25">
      <c r="A604" t="s">
        <v>8273</v>
      </c>
      <c r="B604" t="s">
        <v>8299</v>
      </c>
      <c r="C604">
        <v>1</v>
      </c>
    </row>
    <row r="605" spans="1:3" x14ac:dyDescent="0.25">
      <c r="A605" t="s">
        <v>8754</v>
      </c>
      <c r="B605" t="s">
        <v>8284</v>
      </c>
      <c r="C605">
        <v>1</v>
      </c>
    </row>
    <row r="606" spans="1:3" x14ac:dyDescent="0.25">
      <c r="A606" t="s">
        <v>8576</v>
      </c>
      <c r="B606" t="s">
        <v>8304</v>
      </c>
      <c r="C606">
        <v>1</v>
      </c>
    </row>
    <row r="607" spans="1:3" x14ac:dyDescent="0.25">
      <c r="A607" t="s">
        <v>8846</v>
      </c>
      <c r="B607" t="s">
        <v>8284</v>
      </c>
      <c r="C607">
        <v>1</v>
      </c>
    </row>
    <row r="608" spans="1:3" x14ac:dyDescent="0.25">
      <c r="A608" t="s">
        <v>8461</v>
      </c>
      <c r="B608" t="s">
        <v>8340</v>
      </c>
      <c r="C608">
        <v>1</v>
      </c>
    </row>
    <row r="609" spans="1:3" x14ac:dyDescent="0.25">
      <c r="A609" t="s">
        <v>8639</v>
      </c>
      <c r="B609" t="s">
        <v>8717</v>
      </c>
      <c r="C609">
        <v>1</v>
      </c>
    </row>
    <row r="610" spans="1:3" x14ac:dyDescent="0.25">
      <c r="A610" t="s">
        <v>8360</v>
      </c>
      <c r="B610" t="s">
        <v>8348</v>
      </c>
      <c r="C610">
        <v>1</v>
      </c>
    </row>
    <row r="611" spans="1:3" x14ac:dyDescent="0.25">
      <c r="A611" t="s">
        <v>8667</v>
      </c>
      <c r="B611" t="s">
        <v>8348</v>
      </c>
      <c r="C611">
        <v>1</v>
      </c>
    </row>
    <row r="612" spans="1:3" x14ac:dyDescent="0.25">
      <c r="A612" t="s">
        <v>8509</v>
      </c>
      <c r="B612" t="s">
        <v>8859</v>
      </c>
      <c r="C612">
        <v>1</v>
      </c>
    </row>
    <row r="613" spans="1:3" x14ac:dyDescent="0.25">
      <c r="A613" t="s">
        <v>8358</v>
      </c>
      <c r="B613" t="s">
        <v>8295</v>
      </c>
      <c r="C613">
        <v>1</v>
      </c>
    </row>
    <row r="614" spans="1:3" x14ac:dyDescent="0.25">
      <c r="A614" t="s">
        <v>8210</v>
      </c>
      <c r="B614" t="s">
        <v>8215</v>
      </c>
      <c r="C614">
        <v>1</v>
      </c>
    </row>
    <row r="615" spans="1:3" x14ac:dyDescent="0.25">
      <c r="A615" t="s">
        <v>8874</v>
      </c>
      <c r="B615" t="s">
        <v>8489</v>
      </c>
      <c r="C615">
        <v>1</v>
      </c>
    </row>
    <row r="616" spans="1:3" x14ac:dyDescent="0.25">
      <c r="A616" t="s">
        <v>8408</v>
      </c>
      <c r="B616" t="s">
        <v>8237</v>
      </c>
      <c r="C616">
        <v>1</v>
      </c>
    </row>
    <row r="617" spans="1:3" x14ac:dyDescent="0.25">
      <c r="A617" t="s">
        <v>8853</v>
      </c>
      <c r="B617" t="s">
        <v>8828</v>
      </c>
      <c r="C617">
        <v>1</v>
      </c>
    </row>
    <row r="618" spans="1:3" x14ac:dyDescent="0.25">
      <c r="A618" t="s">
        <v>8939</v>
      </c>
      <c r="B618" t="s">
        <v>8392</v>
      </c>
      <c r="C618">
        <v>1</v>
      </c>
    </row>
    <row r="619" spans="1:3" x14ac:dyDescent="0.25">
      <c r="A619" t="s">
        <v>8393</v>
      </c>
      <c r="B619" t="s">
        <v>8250</v>
      </c>
      <c r="C619">
        <v>1</v>
      </c>
    </row>
    <row r="620" spans="1:3" x14ac:dyDescent="0.25">
      <c r="A620" t="s">
        <v>8895</v>
      </c>
      <c r="B620" t="s">
        <v>8237</v>
      </c>
      <c r="C620">
        <v>1</v>
      </c>
    </row>
    <row r="621" spans="1:3" x14ac:dyDescent="0.25">
      <c r="A621" t="s">
        <v>8936</v>
      </c>
      <c r="B621" t="s">
        <v>8462</v>
      </c>
      <c r="C621">
        <v>1</v>
      </c>
    </row>
    <row r="622" spans="1:3" x14ac:dyDescent="0.25">
      <c r="A622" t="s">
        <v>8347</v>
      </c>
      <c r="B622" t="s">
        <v>8215</v>
      </c>
      <c r="C622">
        <v>1</v>
      </c>
    </row>
    <row r="623" spans="1:3" x14ac:dyDescent="0.25">
      <c r="A623" t="s">
        <v>8374</v>
      </c>
      <c r="B623" t="s">
        <v>8237</v>
      </c>
      <c r="C623">
        <v>1</v>
      </c>
    </row>
    <row r="624" spans="1:3" x14ac:dyDescent="0.25">
      <c r="A624" t="s">
        <v>8768</v>
      </c>
      <c r="B624" t="s">
        <v>8403</v>
      </c>
      <c r="C624">
        <v>1</v>
      </c>
    </row>
    <row r="625" spans="1:3" x14ac:dyDescent="0.25">
      <c r="A625" t="s">
        <v>8848</v>
      </c>
      <c r="B625" t="s">
        <v>8352</v>
      </c>
      <c r="C625">
        <v>1</v>
      </c>
    </row>
    <row r="626" spans="1:3" x14ac:dyDescent="0.25">
      <c r="A626" t="s">
        <v>8470</v>
      </c>
      <c r="B626" t="s">
        <v>8284</v>
      </c>
      <c r="C626">
        <v>1</v>
      </c>
    </row>
    <row r="627" spans="1:3" x14ac:dyDescent="0.25">
      <c r="A627" t="s">
        <v>8438</v>
      </c>
      <c r="B627" t="s">
        <v>8637</v>
      </c>
      <c r="C627">
        <v>1</v>
      </c>
    </row>
    <row r="628" spans="1:3" x14ac:dyDescent="0.25">
      <c r="A628" t="s">
        <v>8948</v>
      </c>
      <c r="B628" t="s">
        <v>8404</v>
      </c>
      <c r="C628">
        <v>1</v>
      </c>
    </row>
    <row r="629" spans="1:3" x14ac:dyDescent="0.25">
      <c r="A629" t="s">
        <v>8688</v>
      </c>
      <c r="B629" t="s">
        <v>8237</v>
      </c>
      <c r="C629">
        <v>1</v>
      </c>
    </row>
    <row r="630" spans="1:3" x14ac:dyDescent="0.25">
      <c r="A630" t="s">
        <v>8868</v>
      </c>
      <c r="B630" t="s">
        <v>8299</v>
      </c>
      <c r="C630">
        <v>1</v>
      </c>
    </row>
    <row r="631" spans="1:3" x14ac:dyDescent="0.25">
      <c r="A631" t="s">
        <v>8649</v>
      </c>
      <c r="B631" t="s">
        <v>8237</v>
      </c>
      <c r="C631">
        <v>1</v>
      </c>
    </row>
    <row r="632" spans="1:3" x14ac:dyDescent="0.25">
      <c r="A632" t="s">
        <v>8252</v>
      </c>
      <c r="B632" t="s">
        <v>8215</v>
      </c>
      <c r="C632">
        <v>1</v>
      </c>
    </row>
    <row r="633" spans="1:3" x14ac:dyDescent="0.25">
      <c r="A633" t="s">
        <v>8700</v>
      </c>
      <c r="B633" t="s">
        <v>8433</v>
      </c>
      <c r="C633">
        <v>1</v>
      </c>
    </row>
    <row r="634" spans="1:3" x14ac:dyDescent="0.25">
      <c r="A634" t="s">
        <v>8938</v>
      </c>
      <c r="B634" t="s">
        <v>8392</v>
      </c>
      <c r="C634">
        <v>1</v>
      </c>
    </row>
    <row r="635" spans="1:3" x14ac:dyDescent="0.25">
      <c r="A635" t="s">
        <v>8448</v>
      </c>
      <c r="B635" t="s">
        <v>8238</v>
      </c>
      <c r="C635">
        <v>1</v>
      </c>
    </row>
    <row r="636" spans="1:3" x14ac:dyDescent="0.25">
      <c r="A636" t="s">
        <v>8687</v>
      </c>
      <c r="B636" t="s">
        <v>8498</v>
      </c>
      <c r="C636">
        <v>1</v>
      </c>
    </row>
    <row r="637" spans="1:3" x14ac:dyDescent="0.25">
      <c r="A637" t="s">
        <v>8212</v>
      </c>
      <c r="B637" t="s">
        <v>8670</v>
      </c>
      <c r="C637">
        <v>1</v>
      </c>
    </row>
    <row r="638" spans="1:3" x14ac:dyDescent="0.25">
      <c r="A638" t="s">
        <v>8902</v>
      </c>
      <c r="B638" t="s">
        <v>8304</v>
      </c>
      <c r="C638">
        <v>1</v>
      </c>
    </row>
    <row r="639" spans="1:3" x14ac:dyDescent="0.25">
      <c r="A639" t="s">
        <v>8517</v>
      </c>
      <c r="B639" t="s">
        <v>8297</v>
      </c>
      <c r="C639">
        <v>1</v>
      </c>
    </row>
    <row r="640" spans="1:3" x14ac:dyDescent="0.25">
      <c r="A640" t="s">
        <v>8702</v>
      </c>
      <c r="B640" t="s">
        <v>8215</v>
      </c>
      <c r="C640">
        <v>1</v>
      </c>
    </row>
    <row r="641" spans="1:3" x14ac:dyDescent="0.25">
      <c r="A641" t="s">
        <v>8213</v>
      </c>
      <c r="B641" t="s">
        <v>8215</v>
      </c>
      <c r="C641">
        <v>1</v>
      </c>
    </row>
    <row r="642" spans="1:3" x14ac:dyDescent="0.25">
      <c r="A642" t="s">
        <v>8542</v>
      </c>
      <c r="B642" t="s">
        <v>8284</v>
      </c>
      <c r="C642">
        <v>1</v>
      </c>
    </row>
    <row r="643" spans="1:3" x14ac:dyDescent="0.25">
      <c r="A643" t="s">
        <v>8613</v>
      </c>
      <c r="B643" t="s">
        <v>8221</v>
      </c>
      <c r="C643">
        <v>1</v>
      </c>
    </row>
    <row r="644" spans="1:3" x14ac:dyDescent="0.25">
      <c r="A644" t="s">
        <v>8910</v>
      </c>
      <c r="B644" t="s">
        <v>8250</v>
      </c>
      <c r="C644">
        <v>1</v>
      </c>
    </row>
    <row r="645" spans="1:3" x14ac:dyDescent="0.25">
      <c r="A645" t="s">
        <v>8597</v>
      </c>
      <c r="B645" t="s">
        <v>8304</v>
      </c>
      <c r="C645">
        <v>1</v>
      </c>
    </row>
    <row r="646" spans="1:3" x14ac:dyDescent="0.25">
      <c r="A646" t="s">
        <v>8763</v>
      </c>
      <c r="B646" t="s">
        <v>8237</v>
      </c>
      <c r="C646">
        <v>1</v>
      </c>
    </row>
    <row r="647" spans="1:3" x14ac:dyDescent="0.25">
      <c r="A647" t="s">
        <v>8667</v>
      </c>
      <c r="B647" t="s">
        <v>8212</v>
      </c>
      <c r="C647">
        <v>1</v>
      </c>
    </row>
    <row r="648" spans="1:3" x14ac:dyDescent="0.25">
      <c r="A648" t="s">
        <v>8336</v>
      </c>
      <c r="B648" t="s">
        <v>8261</v>
      </c>
      <c r="C648">
        <v>1</v>
      </c>
    </row>
    <row r="649" spans="1:3" x14ac:dyDescent="0.25">
      <c r="A649" t="s">
        <v>8660</v>
      </c>
      <c r="B649" t="s">
        <v>8295</v>
      </c>
      <c r="C649">
        <v>1</v>
      </c>
    </row>
    <row r="650" spans="1:3" x14ac:dyDescent="0.25">
      <c r="A650" t="s">
        <v>8913</v>
      </c>
      <c r="B650" t="s">
        <v>8411</v>
      </c>
      <c r="C650">
        <v>1</v>
      </c>
    </row>
    <row r="651" spans="1:3" x14ac:dyDescent="0.25">
      <c r="A651" t="s">
        <v>8992</v>
      </c>
      <c r="B651" t="s">
        <v>8250</v>
      </c>
      <c r="C651">
        <v>1</v>
      </c>
    </row>
    <row r="652" spans="1:3" x14ac:dyDescent="0.25">
      <c r="A652" t="s">
        <v>8427</v>
      </c>
      <c r="B652" t="s">
        <v>8404</v>
      </c>
      <c r="C652">
        <v>1</v>
      </c>
    </row>
    <row r="653" spans="1:3" x14ac:dyDescent="0.25">
      <c r="A653" t="s">
        <v>8672</v>
      </c>
      <c r="B653" t="s">
        <v>8295</v>
      </c>
      <c r="C653">
        <v>1</v>
      </c>
    </row>
    <row r="654" spans="1:3" x14ac:dyDescent="0.25">
      <c r="A654" t="s">
        <v>8228</v>
      </c>
      <c r="B654" t="s">
        <v>8237</v>
      </c>
      <c r="C654">
        <v>1</v>
      </c>
    </row>
    <row r="655" spans="1:3" x14ac:dyDescent="0.25">
      <c r="A655" t="s">
        <v>8447</v>
      </c>
      <c r="B655" t="s">
        <v>8816</v>
      </c>
      <c r="C655">
        <v>1</v>
      </c>
    </row>
    <row r="656" spans="1:3" x14ac:dyDescent="0.25">
      <c r="A656" t="s">
        <v>8531</v>
      </c>
      <c r="B656" t="s">
        <v>8364</v>
      </c>
      <c r="C656">
        <v>1</v>
      </c>
    </row>
    <row r="657" spans="1:3" x14ac:dyDescent="0.25">
      <c r="A657" t="s">
        <v>8951</v>
      </c>
      <c r="B657" t="s">
        <v>8297</v>
      </c>
      <c r="C657">
        <v>1</v>
      </c>
    </row>
    <row r="658" spans="1:3" x14ac:dyDescent="0.25">
      <c r="A658" t="s">
        <v>8528</v>
      </c>
      <c r="B658" t="s">
        <v>8295</v>
      </c>
      <c r="C658">
        <v>1</v>
      </c>
    </row>
    <row r="659" spans="1:3" x14ac:dyDescent="0.25">
      <c r="A659" t="s">
        <v>8879</v>
      </c>
      <c r="B659" t="s">
        <v>8403</v>
      </c>
      <c r="C659">
        <v>1</v>
      </c>
    </row>
    <row r="660" spans="1:3" x14ac:dyDescent="0.25">
      <c r="A660" t="s">
        <v>8658</v>
      </c>
      <c r="B660" t="s">
        <v>8237</v>
      </c>
      <c r="C660">
        <v>1</v>
      </c>
    </row>
    <row r="661" spans="1:3" x14ac:dyDescent="0.25">
      <c r="A661" t="s">
        <v>8844</v>
      </c>
      <c r="B661" t="s">
        <v>8237</v>
      </c>
      <c r="C661">
        <v>1</v>
      </c>
    </row>
    <row r="662" spans="1:3" x14ac:dyDescent="0.25">
      <c r="A662" t="s">
        <v>8510</v>
      </c>
      <c r="B662" t="s">
        <v>8304</v>
      </c>
      <c r="C662">
        <v>1</v>
      </c>
    </row>
    <row r="663" spans="1:3" x14ac:dyDescent="0.25">
      <c r="A663" t="s">
        <v>8554</v>
      </c>
      <c r="B663" t="s">
        <v>8295</v>
      </c>
      <c r="C663">
        <v>1</v>
      </c>
    </row>
    <row r="664" spans="1:3" x14ac:dyDescent="0.25">
      <c r="A664" t="s">
        <v>8282</v>
      </c>
      <c r="B664" t="s">
        <v>8348</v>
      </c>
      <c r="C664">
        <v>1</v>
      </c>
    </row>
    <row r="665" spans="1:3" x14ac:dyDescent="0.25">
      <c r="A665" t="s">
        <v>8548</v>
      </c>
      <c r="B665" t="s">
        <v>8237</v>
      </c>
      <c r="C665">
        <v>1</v>
      </c>
    </row>
    <row r="666" spans="1:3" x14ac:dyDescent="0.25">
      <c r="A666" t="s">
        <v>8478</v>
      </c>
      <c r="B666" t="s">
        <v>8859</v>
      </c>
      <c r="C666">
        <v>1</v>
      </c>
    </row>
    <row r="667" spans="1:3" x14ac:dyDescent="0.25">
      <c r="A667" t="s">
        <v>8357</v>
      </c>
      <c r="B667" t="s">
        <v>8250</v>
      </c>
      <c r="C667">
        <v>1</v>
      </c>
    </row>
    <row r="668" spans="1:3" x14ac:dyDescent="0.25">
      <c r="A668" t="s">
        <v>8318</v>
      </c>
      <c r="B668" t="s">
        <v>8295</v>
      </c>
      <c r="C668">
        <v>1</v>
      </c>
    </row>
    <row r="669" spans="1:3" x14ac:dyDescent="0.25">
      <c r="A669" t="s">
        <v>8611</v>
      </c>
      <c r="B669" t="s">
        <v>8237</v>
      </c>
      <c r="C669">
        <v>1</v>
      </c>
    </row>
    <row r="670" spans="1:3" x14ac:dyDescent="0.25">
      <c r="A670" t="s">
        <v>8470</v>
      </c>
      <c r="B670" t="s">
        <v>8284</v>
      </c>
      <c r="C670">
        <v>1</v>
      </c>
    </row>
    <row r="671" spans="1:3" x14ac:dyDescent="0.25">
      <c r="A671" t="s">
        <v>8787</v>
      </c>
      <c r="B671" t="s">
        <v>8637</v>
      </c>
      <c r="C671">
        <v>1</v>
      </c>
    </row>
    <row r="672" spans="1:3" x14ac:dyDescent="0.25">
      <c r="A672" t="s">
        <v>8393</v>
      </c>
      <c r="B672" t="s">
        <v>8250</v>
      </c>
      <c r="C672">
        <v>1</v>
      </c>
    </row>
    <row r="673" spans="1:3" x14ac:dyDescent="0.25">
      <c r="A673" t="s">
        <v>8618</v>
      </c>
      <c r="B673" t="s">
        <v>8451</v>
      </c>
      <c r="C673">
        <v>1</v>
      </c>
    </row>
    <row r="674" spans="1:3" x14ac:dyDescent="0.25">
      <c r="A674" t="s">
        <v>8631</v>
      </c>
      <c r="B674" t="s">
        <v>8828</v>
      </c>
      <c r="C674">
        <v>1</v>
      </c>
    </row>
    <row r="675" spans="1:3" x14ac:dyDescent="0.25">
      <c r="A675" t="s">
        <v>8260</v>
      </c>
      <c r="B675" t="s">
        <v>8237</v>
      </c>
      <c r="C675">
        <v>1</v>
      </c>
    </row>
    <row r="676" spans="1:3" x14ac:dyDescent="0.25">
      <c r="A676" t="s">
        <v>8812</v>
      </c>
      <c r="B676" t="s">
        <v>8964</v>
      </c>
      <c r="C676">
        <v>1</v>
      </c>
    </row>
    <row r="677" spans="1:3" x14ac:dyDescent="0.25">
      <c r="A677" t="s">
        <v>8863</v>
      </c>
      <c r="B677" t="s">
        <v>8238</v>
      </c>
      <c r="C677">
        <v>1</v>
      </c>
    </row>
    <row r="678" spans="1:3" x14ac:dyDescent="0.25">
      <c r="A678" t="s">
        <v>8380</v>
      </c>
      <c r="B678" t="s">
        <v>8295</v>
      </c>
      <c r="C678">
        <v>1</v>
      </c>
    </row>
    <row r="679" spans="1:3" x14ac:dyDescent="0.25">
      <c r="A679" t="s">
        <v>8912</v>
      </c>
      <c r="B679" t="s">
        <v>8433</v>
      </c>
      <c r="C679">
        <v>1</v>
      </c>
    </row>
    <row r="680" spans="1:3" x14ac:dyDescent="0.25">
      <c r="A680" t="s">
        <v>8970</v>
      </c>
      <c r="B680" t="s">
        <v>8559</v>
      </c>
      <c r="C680">
        <v>1</v>
      </c>
    </row>
    <row r="681" spans="1:3" x14ac:dyDescent="0.25">
      <c r="A681" t="s">
        <v>8805</v>
      </c>
      <c r="B681" t="s">
        <v>8859</v>
      </c>
      <c r="C681">
        <v>1</v>
      </c>
    </row>
    <row r="682" spans="1:3" x14ac:dyDescent="0.25">
      <c r="A682" t="s">
        <v>8549</v>
      </c>
      <c r="B682" t="s">
        <v>8237</v>
      </c>
      <c r="C682">
        <v>1</v>
      </c>
    </row>
    <row r="683" spans="1:3" x14ac:dyDescent="0.25">
      <c r="A683" t="s">
        <v>8737</v>
      </c>
      <c r="B683" t="s">
        <v>8859</v>
      </c>
      <c r="C683">
        <v>1</v>
      </c>
    </row>
    <row r="684" spans="1:3" x14ac:dyDescent="0.25">
      <c r="A684" t="s">
        <v>8539</v>
      </c>
      <c r="B684" t="s">
        <v>8498</v>
      </c>
      <c r="C684">
        <v>1</v>
      </c>
    </row>
    <row r="685" spans="1:3" x14ac:dyDescent="0.25">
      <c r="A685" t="s">
        <v>8571</v>
      </c>
      <c r="B685" t="s">
        <v>8245</v>
      </c>
      <c r="C685">
        <v>1</v>
      </c>
    </row>
    <row r="686" spans="1:3" x14ac:dyDescent="0.25">
      <c r="A686" t="s">
        <v>8943</v>
      </c>
      <c r="B686" t="s">
        <v>8492</v>
      </c>
      <c r="C686">
        <v>1</v>
      </c>
    </row>
    <row r="687" spans="1:3" x14ac:dyDescent="0.25">
      <c r="A687" t="s">
        <v>8801</v>
      </c>
      <c r="B687" t="s">
        <v>8295</v>
      </c>
      <c r="C687">
        <v>1</v>
      </c>
    </row>
    <row r="688" spans="1:3" x14ac:dyDescent="0.25">
      <c r="A688" t="s">
        <v>8650</v>
      </c>
      <c r="B688" t="s">
        <v>8295</v>
      </c>
      <c r="C688">
        <v>1</v>
      </c>
    </row>
    <row r="689" spans="1:3" x14ac:dyDescent="0.25">
      <c r="A689" t="s">
        <v>8303</v>
      </c>
      <c r="B689" t="s">
        <v>8237</v>
      </c>
      <c r="C689">
        <v>1</v>
      </c>
    </row>
    <row r="690" spans="1:3" x14ac:dyDescent="0.25">
      <c r="A690" t="s">
        <v>8652</v>
      </c>
      <c r="B690" t="s">
        <v>8295</v>
      </c>
      <c r="C690">
        <v>1</v>
      </c>
    </row>
    <row r="691" spans="1:3" x14ac:dyDescent="0.25">
      <c r="A691" t="s">
        <v>8353</v>
      </c>
      <c r="B691" t="s">
        <v>8284</v>
      </c>
      <c r="C691">
        <v>1</v>
      </c>
    </row>
    <row r="692" spans="1:3" x14ac:dyDescent="0.25">
      <c r="A692" t="s">
        <v>8560</v>
      </c>
      <c r="B692" t="s">
        <v>8284</v>
      </c>
      <c r="C692">
        <v>1</v>
      </c>
    </row>
    <row r="693" spans="1:3" x14ac:dyDescent="0.25">
      <c r="A693" t="s">
        <v>8803</v>
      </c>
      <c r="B693" t="s">
        <v>8566</v>
      </c>
      <c r="C693">
        <v>1</v>
      </c>
    </row>
    <row r="694" spans="1:3" x14ac:dyDescent="0.25">
      <c r="A694" t="s">
        <v>8471</v>
      </c>
      <c r="B694" t="s">
        <v>8215</v>
      </c>
      <c r="C694">
        <v>1</v>
      </c>
    </row>
    <row r="695" spans="1:3" x14ac:dyDescent="0.25">
      <c r="A695" t="s">
        <v>8796</v>
      </c>
      <c r="B695" t="s">
        <v>8237</v>
      </c>
      <c r="C695">
        <v>1</v>
      </c>
    </row>
    <row r="696" spans="1:3" x14ac:dyDescent="0.25">
      <c r="A696" t="s">
        <v>8413</v>
      </c>
      <c r="B696" t="s">
        <v>8284</v>
      </c>
      <c r="C696">
        <v>1</v>
      </c>
    </row>
    <row r="697" spans="1:3" x14ac:dyDescent="0.25">
      <c r="A697" t="s">
        <v>8479</v>
      </c>
      <c r="B697" t="s">
        <v>8237</v>
      </c>
      <c r="C697">
        <v>1</v>
      </c>
    </row>
    <row r="698" spans="1:3" x14ac:dyDescent="0.25">
      <c r="A698" t="s">
        <v>8947</v>
      </c>
      <c r="B698" t="s">
        <v>8237</v>
      </c>
      <c r="C698">
        <v>1</v>
      </c>
    </row>
    <row r="699" spans="1:3" x14ac:dyDescent="0.25">
      <c r="A699" t="s">
        <v>8867</v>
      </c>
      <c r="B699" t="s">
        <v>8237</v>
      </c>
      <c r="C699">
        <v>1</v>
      </c>
    </row>
    <row r="700" spans="1:3" x14ac:dyDescent="0.25">
      <c r="A700" t="s">
        <v>8217</v>
      </c>
      <c r="B700" t="s">
        <v>8216</v>
      </c>
      <c r="C700">
        <v>1</v>
      </c>
    </row>
    <row r="701" spans="1:3" x14ac:dyDescent="0.25">
      <c r="A701" t="s">
        <v>8893</v>
      </c>
      <c r="B701" t="s">
        <v>8237</v>
      </c>
      <c r="C701">
        <v>1</v>
      </c>
    </row>
    <row r="702" spans="1:3" x14ac:dyDescent="0.25">
      <c r="A702" t="s">
        <v>8837</v>
      </c>
      <c r="B702" t="s">
        <v>8717</v>
      </c>
      <c r="C702">
        <v>1</v>
      </c>
    </row>
    <row r="703" spans="1:3" x14ac:dyDescent="0.25">
      <c r="A703" t="s">
        <v>8292</v>
      </c>
      <c r="B703" t="s">
        <v>8250</v>
      </c>
      <c r="C703">
        <v>1</v>
      </c>
    </row>
    <row r="704" spans="1:3" x14ac:dyDescent="0.25">
      <c r="A704" t="s">
        <v>8930</v>
      </c>
      <c r="B704" t="s">
        <v>8566</v>
      </c>
      <c r="C704">
        <v>1</v>
      </c>
    </row>
    <row r="705" spans="1:3" x14ac:dyDescent="0.25">
      <c r="A705" t="s">
        <v>8858</v>
      </c>
      <c r="B705" t="s">
        <v>8364</v>
      </c>
      <c r="C705">
        <v>1</v>
      </c>
    </row>
    <row r="706" spans="1:3" x14ac:dyDescent="0.25">
      <c r="A706" t="s">
        <v>8473</v>
      </c>
      <c r="B706" t="s">
        <v>8237</v>
      </c>
      <c r="C706">
        <v>1</v>
      </c>
    </row>
    <row r="707" spans="1:3" x14ac:dyDescent="0.25">
      <c r="A707" t="s">
        <v>8286</v>
      </c>
      <c r="B707" t="s">
        <v>8572</v>
      </c>
      <c r="C707">
        <v>1</v>
      </c>
    </row>
    <row r="708" spans="1:3" x14ac:dyDescent="0.25">
      <c r="A708" t="s">
        <v>8223</v>
      </c>
      <c r="B708" t="s">
        <v>8250</v>
      </c>
      <c r="C708">
        <v>1</v>
      </c>
    </row>
    <row r="709" spans="1:3" x14ac:dyDescent="0.25">
      <c r="A709" t="s">
        <v>8325</v>
      </c>
      <c r="B709" t="s">
        <v>8295</v>
      </c>
      <c r="C709">
        <v>1</v>
      </c>
    </row>
    <row r="710" spans="1:3" x14ac:dyDescent="0.25">
      <c r="A710" t="s">
        <v>8827</v>
      </c>
      <c r="B710" t="s">
        <v>8237</v>
      </c>
      <c r="C710">
        <v>1</v>
      </c>
    </row>
    <row r="711" spans="1:3" x14ac:dyDescent="0.25">
      <c r="A711" t="s">
        <v>8240</v>
      </c>
      <c r="B711" t="s">
        <v>8304</v>
      </c>
      <c r="C711">
        <v>1</v>
      </c>
    </row>
    <row r="712" spans="1:3" x14ac:dyDescent="0.25">
      <c r="A712" t="s">
        <v>8308</v>
      </c>
      <c r="B712" t="s">
        <v>8404</v>
      </c>
      <c r="C712">
        <v>1</v>
      </c>
    </row>
    <row r="713" spans="1:3" x14ac:dyDescent="0.25">
      <c r="A713" t="s">
        <v>8640</v>
      </c>
      <c r="B713" t="s">
        <v>8215</v>
      </c>
      <c r="C713">
        <v>1</v>
      </c>
    </row>
    <row r="714" spans="1:3" x14ac:dyDescent="0.25">
      <c r="A714" t="s">
        <v>8394</v>
      </c>
      <c r="B714" t="s">
        <v>8404</v>
      </c>
      <c r="C714">
        <v>1</v>
      </c>
    </row>
    <row r="715" spans="1:3" x14ac:dyDescent="0.25">
      <c r="A715" t="s">
        <v>8887</v>
      </c>
      <c r="B715" t="s">
        <v>8215</v>
      </c>
      <c r="C715">
        <v>1</v>
      </c>
    </row>
    <row r="716" spans="1:3" x14ac:dyDescent="0.25">
      <c r="A716" t="s">
        <v>8720</v>
      </c>
      <c r="B716" t="s">
        <v>8237</v>
      </c>
      <c r="C716">
        <v>1</v>
      </c>
    </row>
    <row r="717" spans="1:3" x14ac:dyDescent="0.25">
      <c r="A717" t="s">
        <v>8759</v>
      </c>
      <c r="B717" t="s">
        <v>8284</v>
      </c>
      <c r="C717">
        <v>1</v>
      </c>
    </row>
    <row r="718" spans="1:3" x14ac:dyDescent="0.25">
      <c r="A718" t="s">
        <v>8482</v>
      </c>
      <c r="B718" t="s">
        <v>8237</v>
      </c>
      <c r="C718">
        <v>1</v>
      </c>
    </row>
    <row r="719" spans="1:3" x14ac:dyDescent="0.25">
      <c r="A719" t="s">
        <v>8959</v>
      </c>
      <c r="B719" t="s">
        <v>8237</v>
      </c>
      <c r="C719">
        <v>1</v>
      </c>
    </row>
    <row r="720" spans="1:3" x14ac:dyDescent="0.25">
      <c r="A720" t="s">
        <v>8535</v>
      </c>
      <c r="B720" t="s">
        <v>8215</v>
      </c>
      <c r="C720">
        <v>1</v>
      </c>
    </row>
    <row r="721" spans="1:3" x14ac:dyDescent="0.25">
      <c r="A721" t="s">
        <v>8815</v>
      </c>
      <c r="B721" t="s">
        <v>8572</v>
      </c>
      <c r="C721">
        <v>1</v>
      </c>
    </row>
    <row r="722" spans="1:3" x14ac:dyDescent="0.25">
      <c r="A722" t="s">
        <v>8988</v>
      </c>
      <c r="B722" t="s">
        <v>8304</v>
      </c>
      <c r="C722">
        <v>1</v>
      </c>
    </row>
    <row r="723" spans="1:3" x14ac:dyDescent="0.25">
      <c r="A723" t="s">
        <v>8564</v>
      </c>
      <c r="B723" t="s">
        <v>8304</v>
      </c>
      <c r="C723">
        <v>1</v>
      </c>
    </row>
    <row r="724" spans="1:3" x14ac:dyDescent="0.25">
      <c r="A724" t="s">
        <v>8583</v>
      </c>
      <c r="B724" t="s">
        <v>8237</v>
      </c>
      <c r="C724">
        <v>1</v>
      </c>
    </row>
    <row r="725" spans="1:3" x14ac:dyDescent="0.25">
      <c r="A725" t="s">
        <v>8533</v>
      </c>
      <c r="B725" t="s">
        <v>8237</v>
      </c>
      <c r="C725">
        <v>1</v>
      </c>
    </row>
    <row r="726" spans="1:3" x14ac:dyDescent="0.25">
      <c r="A726" t="s">
        <v>8224</v>
      </c>
      <c r="B726" t="s">
        <v>8237</v>
      </c>
      <c r="C726">
        <v>1</v>
      </c>
    </row>
    <row r="727" spans="1:3" x14ac:dyDescent="0.25">
      <c r="A727" t="s">
        <v>8250</v>
      </c>
      <c r="B727" t="s">
        <v>8221</v>
      </c>
      <c r="C727">
        <v>1</v>
      </c>
    </row>
    <row r="728" spans="1:3" x14ac:dyDescent="0.25">
      <c r="A728" t="s">
        <v>8387</v>
      </c>
      <c r="B728" t="s">
        <v>8392</v>
      </c>
      <c r="C728">
        <v>1</v>
      </c>
    </row>
    <row r="729" spans="1:3" x14ac:dyDescent="0.25">
      <c r="A729" t="s">
        <v>8666</v>
      </c>
      <c r="B729" t="s">
        <v>8791</v>
      </c>
      <c r="C729">
        <v>1</v>
      </c>
    </row>
    <row r="730" spans="1:3" x14ac:dyDescent="0.25">
      <c r="A730" t="s">
        <v>8295</v>
      </c>
      <c r="B730" t="s">
        <v>8221</v>
      </c>
      <c r="C730">
        <v>1</v>
      </c>
    </row>
    <row r="731" spans="1:3" x14ac:dyDescent="0.25">
      <c r="A731" t="s">
        <v>8400</v>
      </c>
      <c r="B731" t="s">
        <v>8462</v>
      </c>
      <c r="C731">
        <v>1</v>
      </c>
    </row>
    <row r="732" spans="1:3" x14ac:dyDescent="0.25">
      <c r="A732" t="s">
        <v>8566</v>
      </c>
      <c r="B732" t="s">
        <v>8221</v>
      </c>
      <c r="C732">
        <v>1</v>
      </c>
    </row>
    <row r="733" spans="1:3" x14ac:dyDescent="0.25">
      <c r="A733" t="s">
        <v>8744</v>
      </c>
      <c r="B733" t="s">
        <v>8284</v>
      </c>
      <c r="C733">
        <v>1</v>
      </c>
    </row>
    <row r="734" spans="1:3" x14ac:dyDescent="0.25">
      <c r="A734" t="s">
        <v>8455</v>
      </c>
      <c r="B734" t="s">
        <v>8689</v>
      </c>
      <c r="C734">
        <v>1</v>
      </c>
    </row>
    <row r="735" spans="1:3" x14ac:dyDescent="0.25">
      <c r="A735" t="s">
        <v>8271</v>
      </c>
      <c r="B735" t="s">
        <v>8637</v>
      </c>
      <c r="C735">
        <v>1</v>
      </c>
    </row>
    <row r="736" spans="1:3" x14ac:dyDescent="0.25">
      <c r="A736" t="s">
        <v>8931</v>
      </c>
      <c r="B736" t="s">
        <v>8237</v>
      </c>
      <c r="C736">
        <v>1</v>
      </c>
    </row>
    <row r="737" spans="1:3" x14ac:dyDescent="0.25">
      <c r="A737" t="s">
        <v>8656</v>
      </c>
      <c r="B737" t="s">
        <v>8237</v>
      </c>
      <c r="C737">
        <v>1</v>
      </c>
    </row>
    <row r="738" spans="1:3" x14ac:dyDescent="0.25">
      <c r="A738" t="s">
        <v>8843</v>
      </c>
      <c r="B738" t="s">
        <v>8237</v>
      </c>
      <c r="C738">
        <v>1</v>
      </c>
    </row>
    <row r="739" spans="1:3" x14ac:dyDescent="0.25">
      <c r="A739" t="s">
        <v>8439</v>
      </c>
      <c r="B739" t="s">
        <v>8237</v>
      </c>
      <c r="C739">
        <v>1</v>
      </c>
    </row>
    <row r="740" spans="1:3" x14ac:dyDescent="0.25">
      <c r="A740" t="s">
        <v>8311</v>
      </c>
      <c r="B740" t="s">
        <v>8284</v>
      </c>
      <c r="C740">
        <v>1</v>
      </c>
    </row>
    <row r="741" spans="1:3" x14ac:dyDescent="0.25">
      <c r="A741" t="s">
        <v>8883</v>
      </c>
      <c r="B741" t="s">
        <v>8284</v>
      </c>
      <c r="C741">
        <v>1</v>
      </c>
    </row>
    <row r="742" spans="1:3" x14ac:dyDescent="0.25">
      <c r="A742" t="s">
        <v>8488</v>
      </c>
      <c r="B742" t="s">
        <v>8237</v>
      </c>
      <c r="C742">
        <v>1</v>
      </c>
    </row>
    <row r="743" spans="1:3" x14ac:dyDescent="0.25">
      <c r="A743" t="s">
        <v>8838</v>
      </c>
      <c r="B743" t="s">
        <v>8828</v>
      </c>
      <c r="C743">
        <v>1</v>
      </c>
    </row>
    <row r="744" spans="1:3" x14ac:dyDescent="0.25">
      <c r="A744" t="s">
        <v>8449</v>
      </c>
      <c r="B744" t="s">
        <v>8237</v>
      </c>
      <c r="C744">
        <v>1</v>
      </c>
    </row>
    <row r="745" spans="1:3" x14ac:dyDescent="0.25">
      <c r="A745" t="s">
        <v>8783</v>
      </c>
      <c r="B745" t="s">
        <v>8237</v>
      </c>
      <c r="C745">
        <v>1</v>
      </c>
    </row>
    <row r="746" spans="1:3" x14ac:dyDescent="0.25">
      <c r="A746" t="s">
        <v>8475</v>
      </c>
      <c r="B746" t="s">
        <v>8221</v>
      </c>
      <c r="C746">
        <v>1</v>
      </c>
    </row>
    <row r="747" spans="1:3" x14ac:dyDescent="0.25">
      <c r="A747" t="s">
        <v>8757</v>
      </c>
      <c r="B747" t="s">
        <v>8215</v>
      </c>
      <c r="C747">
        <v>1</v>
      </c>
    </row>
    <row r="748" spans="1:3" x14ac:dyDescent="0.25">
      <c r="A748" t="s">
        <v>8536</v>
      </c>
      <c r="B748" t="s">
        <v>8237</v>
      </c>
      <c r="C748">
        <v>1</v>
      </c>
    </row>
    <row r="749" spans="1:3" x14ac:dyDescent="0.25">
      <c r="A749" t="s">
        <v>8304</v>
      </c>
      <c r="B749" t="s">
        <v>8362</v>
      </c>
      <c r="C749">
        <v>1</v>
      </c>
    </row>
    <row r="750" spans="1:3" x14ac:dyDescent="0.25">
      <c r="A750" t="s">
        <v>8440</v>
      </c>
      <c r="B750" t="s">
        <v>8462</v>
      </c>
      <c r="C750">
        <v>1</v>
      </c>
    </row>
    <row r="751" spans="1:3" x14ac:dyDescent="0.25">
      <c r="A751" t="s">
        <v>8874</v>
      </c>
      <c r="B751" t="s">
        <v>8670</v>
      </c>
      <c r="C751">
        <v>1</v>
      </c>
    </row>
    <row r="752" spans="1:3" x14ac:dyDescent="0.25">
      <c r="A752" t="s">
        <v>8970</v>
      </c>
      <c r="B752" t="s">
        <v>8559</v>
      </c>
      <c r="C752">
        <v>1</v>
      </c>
    </row>
    <row r="753" spans="1:3" x14ac:dyDescent="0.25">
      <c r="A753" t="s">
        <v>8940</v>
      </c>
      <c r="B753" t="s">
        <v>8284</v>
      </c>
      <c r="C753">
        <v>1</v>
      </c>
    </row>
    <row r="754" spans="1:3" x14ac:dyDescent="0.25">
      <c r="A754" t="s">
        <v>8743</v>
      </c>
      <c r="B754" t="s">
        <v>8348</v>
      </c>
      <c r="C754">
        <v>1</v>
      </c>
    </row>
    <row r="755" spans="1:3" x14ac:dyDescent="0.25">
      <c r="A755" t="s">
        <v>8875</v>
      </c>
      <c r="B755" t="s">
        <v>8237</v>
      </c>
      <c r="C755">
        <v>1</v>
      </c>
    </row>
    <row r="756" spans="1:3" x14ac:dyDescent="0.25">
      <c r="A756" t="s">
        <v>8226</v>
      </c>
      <c r="B756" t="s">
        <v>8387</v>
      </c>
      <c r="C756">
        <v>1</v>
      </c>
    </row>
    <row r="757" spans="1:3" x14ac:dyDescent="0.25">
      <c r="A757" t="s">
        <v>8723</v>
      </c>
      <c r="B757" t="s">
        <v>8237</v>
      </c>
      <c r="C757">
        <v>1</v>
      </c>
    </row>
    <row r="758" spans="1:3" x14ac:dyDescent="0.25">
      <c r="A758" t="s">
        <v>8819</v>
      </c>
      <c r="B758" t="s">
        <v>8404</v>
      </c>
      <c r="C758">
        <v>1</v>
      </c>
    </row>
    <row r="759" spans="1:3" x14ac:dyDescent="0.25">
      <c r="A759" t="s">
        <v>8765</v>
      </c>
      <c r="B759" t="s">
        <v>8237</v>
      </c>
      <c r="C759">
        <v>1</v>
      </c>
    </row>
    <row r="760" spans="1:3" x14ac:dyDescent="0.25">
      <c r="A760" t="s">
        <v>8633</v>
      </c>
      <c r="B760" t="s">
        <v>8215</v>
      </c>
      <c r="C760">
        <v>1</v>
      </c>
    </row>
    <row r="761" spans="1:3" x14ac:dyDescent="0.25">
      <c r="A761" t="s">
        <v>8484</v>
      </c>
      <c r="B761" t="s">
        <v>8284</v>
      </c>
      <c r="C761">
        <v>1</v>
      </c>
    </row>
    <row r="762" spans="1:3" x14ac:dyDescent="0.25">
      <c r="A762" t="s">
        <v>8826</v>
      </c>
      <c r="B762" t="s">
        <v>8237</v>
      </c>
      <c r="C762">
        <v>1</v>
      </c>
    </row>
    <row r="763" spans="1:3" x14ac:dyDescent="0.25">
      <c r="A763" t="s">
        <v>8464</v>
      </c>
      <c r="B763" t="s">
        <v>8284</v>
      </c>
      <c r="C763">
        <v>1</v>
      </c>
    </row>
    <row r="764" spans="1:3" x14ac:dyDescent="0.25">
      <c r="A764" t="s">
        <v>8748</v>
      </c>
      <c r="B764" t="s">
        <v>8284</v>
      </c>
      <c r="C764">
        <v>1</v>
      </c>
    </row>
    <row r="765" spans="1:3" x14ac:dyDescent="0.25">
      <c r="A765" t="s">
        <v>8679</v>
      </c>
      <c r="B765" t="s">
        <v>8237</v>
      </c>
      <c r="C765">
        <v>1</v>
      </c>
    </row>
    <row r="766" spans="1:3" x14ac:dyDescent="0.25">
      <c r="A766" t="s">
        <v>8757</v>
      </c>
      <c r="B766" t="s">
        <v>8215</v>
      </c>
      <c r="C766">
        <v>1</v>
      </c>
    </row>
    <row r="767" spans="1:3" x14ac:dyDescent="0.25">
      <c r="A767" t="s">
        <v>8209</v>
      </c>
      <c r="B767" t="s">
        <v>8237</v>
      </c>
      <c r="C767">
        <v>1</v>
      </c>
    </row>
    <row r="768" spans="1:3" x14ac:dyDescent="0.25">
      <c r="A768" t="s">
        <v>8866</v>
      </c>
      <c r="B768" t="s">
        <v>8559</v>
      </c>
      <c r="C768">
        <v>1</v>
      </c>
    </row>
    <row r="769" spans="1:3" x14ac:dyDescent="0.25">
      <c r="A769" t="s">
        <v>8780</v>
      </c>
      <c r="B769" t="s">
        <v>8828</v>
      </c>
      <c r="C769">
        <v>1</v>
      </c>
    </row>
    <row r="770" spans="1:3" x14ac:dyDescent="0.25">
      <c r="A770" t="s">
        <v>8644</v>
      </c>
      <c r="B770" t="s">
        <v>8295</v>
      </c>
      <c r="C770">
        <v>1</v>
      </c>
    </row>
    <row r="771" spans="1:3" x14ac:dyDescent="0.25">
      <c r="A771" t="s">
        <v>8624</v>
      </c>
      <c r="B771" t="s">
        <v>8215</v>
      </c>
      <c r="C771">
        <v>1</v>
      </c>
    </row>
    <row r="772" spans="1:3" x14ac:dyDescent="0.25">
      <c r="A772" t="s">
        <v>8727</v>
      </c>
      <c r="B772" t="s">
        <v>8613</v>
      </c>
      <c r="C772">
        <v>1</v>
      </c>
    </row>
    <row r="773" spans="1:3" x14ac:dyDescent="0.25">
      <c r="A773" t="s">
        <v>8616</v>
      </c>
      <c r="B773" t="s">
        <v>8613</v>
      </c>
      <c r="C773">
        <v>1</v>
      </c>
    </row>
    <row r="774" spans="1:3" x14ac:dyDescent="0.25">
      <c r="A774" t="s">
        <v>8281</v>
      </c>
      <c r="B774" t="s">
        <v>8387</v>
      </c>
      <c r="C774">
        <v>1</v>
      </c>
    </row>
    <row r="775" spans="1:3" x14ac:dyDescent="0.25">
      <c r="A775" t="s">
        <v>8514</v>
      </c>
      <c r="B775" t="s">
        <v>8284</v>
      </c>
      <c r="C775">
        <v>1</v>
      </c>
    </row>
    <row r="776" spans="1:3" x14ac:dyDescent="0.25">
      <c r="A776" t="s">
        <v>8851</v>
      </c>
      <c r="B776" t="s">
        <v>8284</v>
      </c>
      <c r="C776">
        <v>1</v>
      </c>
    </row>
    <row r="777" spans="1:3" x14ac:dyDescent="0.25">
      <c r="A777" t="s">
        <v>8204</v>
      </c>
      <c r="B777" t="s">
        <v>8417</v>
      </c>
      <c r="C777">
        <v>1</v>
      </c>
    </row>
    <row r="778" spans="1:3" x14ac:dyDescent="0.25">
      <c r="A778" t="s">
        <v>8673</v>
      </c>
      <c r="B778" t="s">
        <v>8237</v>
      </c>
      <c r="C778">
        <v>1</v>
      </c>
    </row>
    <row r="779" spans="1:3" x14ac:dyDescent="0.25">
      <c r="A779" t="s">
        <v>8857</v>
      </c>
      <c r="B779" t="s">
        <v>8237</v>
      </c>
      <c r="C779">
        <v>1</v>
      </c>
    </row>
    <row r="780" spans="1:3" x14ac:dyDescent="0.25">
      <c r="A780" t="s">
        <v>8234</v>
      </c>
      <c r="B780" t="s">
        <v>8237</v>
      </c>
      <c r="C780">
        <v>1</v>
      </c>
    </row>
    <row r="781" spans="1:3" x14ac:dyDescent="0.25">
      <c r="A781" t="s">
        <v>8820</v>
      </c>
      <c r="B781" t="s">
        <v>8237</v>
      </c>
      <c r="C781">
        <v>1</v>
      </c>
    </row>
    <row r="782" spans="1:3" x14ac:dyDescent="0.25">
      <c r="A782" t="s">
        <v>8915</v>
      </c>
      <c r="B782" t="s">
        <v>8237</v>
      </c>
      <c r="C782">
        <v>1</v>
      </c>
    </row>
    <row r="783" spans="1:3" x14ac:dyDescent="0.25">
      <c r="A783" t="s">
        <v>8980</v>
      </c>
      <c r="B783" t="s">
        <v>8237</v>
      </c>
      <c r="C783">
        <v>1</v>
      </c>
    </row>
    <row r="784" spans="1:3" x14ac:dyDescent="0.25">
      <c r="A784" t="s">
        <v>8741</v>
      </c>
      <c r="B784" t="s">
        <v>8284</v>
      </c>
      <c r="C784">
        <v>1</v>
      </c>
    </row>
    <row r="785" spans="1:3" x14ac:dyDescent="0.25">
      <c r="A785" t="s">
        <v>8901</v>
      </c>
      <c r="B785" t="s">
        <v>8284</v>
      </c>
      <c r="C785">
        <v>1</v>
      </c>
    </row>
    <row r="786" spans="1:3" x14ac:dyDescent="0.25">
      <c r="A786" t="s">
        <v>8505</v>
      </c>
      <c r="B786" t="s">
        <v>8237</v>
      </c>
      <c r="C786">
        <v>1</v>
      </c>
    </row>
    <row r="787" spans="1:3" x14ac:dyDescent="0.25">
      <c r="A787" t="s">
        <v>8534</v>
      </c>
      <c r="B787" t="s">
        <v>8237</v>
      </c>
      <c r="C787">
        <v>1</v>
      </c>
    </row>
    <row r="788" spans="1:3" x14ac:dyDescent="0.25">
      <c r="A788" t="s">
        <v>8955</v>
      </c>
      <c r="B788" t="s">
        <v>8284</v>
      </c>
      <c r="C788">
        <v>1</v>
      </c>
    </row>
    <row r="789" spans="1:3" x14ac:dyDescent="0.25">
      <c r="A789" t="s">
        <v>8302</v>
      </c>
      <c r="B789" t="s">
        <v>8284</v>
      </c>
      <c r="C789">
        <v>1</v>
      </c>
    </row>
    <row r="790" spans="1:3" x14ac:dyDescent="0.25">
      <c r="A790" t="s">
        <v>8400</v>
      </c>
      <c r="B790" t="s">
        <v>8462</v>
      </c>
      <c r="C790">
        <v>1</v>
      </c>
    </row>
    <row r="791" spans="1:3" x14ac:dyDescent="0.25">
      <c r="A791" t="s">
        <v>8953</v>
      </c>
      <c r="B791" t="s">
        <v>8284</v>
      </c>
      <c r="C791">
        <v>1</v>
      </c>
    </row>
    <row r="792" spans="1:3" x14ac:dyDescent="0.25">
      <c r="A792" t="s">
        <v>8709</v>
      </c>
      <c r="B792" t="s">
        <v>8462</v>
      </c>
      <c r="C792">
        <v>1</v>
      </c>
    </row>
    <row r="793" spans="1:3" x14ac:dyDescent="0.25">
      <c r="A793" t="s">
        <v>8920</v>
      </c>
      <c r="B793" t="s">
        <v>8237</v>
      </c>
      <c r="C793">
        <v>1</v>
      </c>
    </row>
    <row r="794" spans="1:3" x14ac:dyDescent="0.25">
      <c r="A794" t="s">
        <v>8222</v>
      </c>
      <c r="B794" t="s">
        <v>8387</v>
      </c>
      <c r="C794">
        <v>1</v>
      </c>
    </row>
    <row r="795" spans="1:3" x14ac:dyDescent="0.25">
      <c r="A795" t="s">
        <v>8836</v>
      </c>
      <c r="B795" t="s">
        <v>8411</v>
      </c>
      <c r="C795">
        <v>1</v>
      </c>
    </row>
    <row r="796" spans="1:3" x14ac:dyDescent="0.25">
      <c r="A796" t="s">
        <v>8543</v>
      </c>
      <c r="B796" t="s">
        <v>8237</v>
      </c>
      <c r="C796">
        <v>1</v>
      </c>
    </row>
    <row r="797" spans="1:3" x14ac:dyDescent="0.25">
      <c r="A797" t="s">
        <v>8914</v>
      </c>
      <c r="B797" t="s">
        <v>8359</v>
      </c>
      <c r="C797">
        <v>1</v>
      </c>
    </row>
    <row r="798" spans="1:3" x14ac:dyDescent="0.25">
      <c r="A798" t="s">
        <v>8360</v>
      </c>
      <c r="B798" t="s">
        <v>8348</v>
      </c>
      <c r="C798">
        <v>1</v>
      </c>
    </row>
    <row r="799" spans="1:3" x14ac:dyDescent="0.25">
      <c r="A799" t="s">
        <v>8638</v>
      </c>
      <c r="B799" t="s">
        <v>8359</v>
      </c>
      <c r="C799">
        <v>1</v>
      </c>
    </row>
    <row r="800" spans="1:3" x14ac:dyDescent="0.25">
      <c r="A800" t="s">
        <v>8661</v>
      </c>
      <c r="B800" t="s">
        <v>8411</v>
      </c>
      <c r="C800">
        <v>1</v>
      </c>
    </row>
    <row r="801" spans="1:3" x14ac:dyDescent="0.25">
      <c r="A801" t="s">
        <v>8788</v>
      </c>
      <c r="B801" t="s">
        <v>8489</v>
      </c>
      <c r="C801">
        <v>1</v>
      </c>
    </row>
    <row r="802" spans="1:3" x14ac:dyDescent="0.25">
      <c r="A802" t="s">
        <v>8700</v>
      </c>
      <c r="B802" t="s">
        <v>8245</v>
      </c>
      <c r="C802">
        <v>1</v>
      </c>
    </row>
    <row r="803" spans="1:3" x14ac:dyDescent="0.25">
      <c r="A803" t="s">
        <v>8695</v>
      </c>
      <c r="B803" t="s">
        <v>8411</v>
      </c>
      <c r="C803">
        <v>1</v>
      </c>
    </row>
    <row r="804" spans="1:3" x14ac:dyDescent="0.25">
      <c r="A804" t="s">
        <v>8657</v>
      </c>
      <c r="B804" t="s">
        <v>8237</v>
      </c>
      <c r="C804">
        <v>1</v>
      </c>
    </row>
    <row r="805" spans="1:3" x14ac:dyDescent="0.25">
      <c r="A805" t="s">
        <v>8596</v>
      </c>
      <c r="B805" t="s">
        <v>8411</v>
      </c>
      <c r="C805">
        <v>1</v>
      </c>
    </row>
    <row r="806" spans="1:3" x14ac:dyDescent="0.25">
      <c r="A806" t="s">
        <v>8242</v>
      </c>
      <c r="B806" t="s">
        <v>8859</v>
      </c>
      <c r="C806">
        <v>1</v>
      </c>
    </row>
    <row r="807" spans="1:3" x14ac:dyDescent="0.25">
      <c r="A807" t="s">
        <v>8822</v>
      </c>
      <c r="B807" t="s">
        <v>8237</v>
      </c>
      <c r="C807">
        <v>1</v>
      </c>
    </row>
    <row r="808" spans="1:3" x14ac:dyDescent="0.25">
      <c r="A808" t="s">
        <v>8260</v>
      </c>
      <c r="B808" t="s">
        <v>8237</v>
      </c>
      <c r="C808">
        <v>1</v>
      </c>
    </row>
    <row r="809" spans="1:3" x14ac:dyDescent="0.25">
      <c r="A809" t="s">
        <v>8669</v>
      </c>
      <c r="B809" t="s">
        <v>8637</v>
      </c>
      <c r="C809">
        <v>1</v>
      </c>
    </row>
    <row r="810" spans="1:3" x14ac:dyDescent="0.25">
      <c r="A810" t="s">
        <v>8565</v>
      </c>
      <c r="B810" t="s">
        <v>8215</v>
      </c>
      <c r="C810">
        <v>1</v>
      </c>
    </row>
    <row r="811" spans="1:3" x14ac:dyDescent="0.25">
      <c r="A811" t="s">
        <v>8726</v>
      </c>
      <c r="B811" t="s">
        <v>8237</v>
      </c>
      <c r="C811">
        <v>1</v>
      </c>
    </row>
    <row r="812" spans="1:3" x14ac:dyDescent="0.25">
      <c r="A812" t="s">
        <v>8339</v>
      </c>
      <c r="B812" t="s">
        <v>8237</v>
      </c>
      <c r="C812">
        <v>1</v>
      </c>
    </row>
    <row r="813" spans="1:3" x14ac:dyDescent="0.25">
      <c r="A813" t="s">
        <v>8950</v>
      </c>
      <c r="B813" t="s">
        <v>8237</v>
      </c>
      <c r="C813">
        <v>1</v>
      </c>
    </row>
    <row r="814" spans="1:3" x14ac:dyDescent="0.25">
      <c r="A814" t="s">
        <v>8416</v>
      </c>
      <c r="B814" t="s">
        <v>8250</v>
      </c>
      <c r="C814">
        <v>1</v>
      </c>
    </row>
    <row r="815" spans="1:3" x14ac:dyDescent="0.25">
      <c r="A815" t="s">
        <v>8734</v>
      </c>
      <c r="B815" t="s">
        <v>8237</v>
      </c>
      <c r="C815">
        <v>1</v>
      </c>
    </row>
    <row r="816" spans="1:3" x14ac:dyDescent="0.25">
      <c r="A816" t="s">
        <v>8605</v>
      </c>
      <c r="B816" t="s">
        <v>8237</v>
      </c>
      <c r="C816">
        <v>1</v>
      </c>
    </row>
    <row r="817" spans="1:3" x14ac:dyDescent="0.25">
      <c r="A817" t="s">
        <v>8885</v>
      </c>
      <c r="B817" t="s">
        <v>8237</v>
      </c>
      <c r="C817">
        <v>1</v>
      </c>
    </row>
    <row r="818" spans="1:3" x14ac:dyDescent="0.25">
      <c r="A818" t="s">
        <v>8813</v>
      </c>
      <c r="B818" t="s">
        <v>8462</v>
      </c>
      <c r="C818">
        <v>1</v>
      </c>
    </row>
    <row r="819" spans="1:3" x14ac:dyDescent="0.25">
      <c r="A819" t="s">
        <v>8873</v>
      </c>
      <c r="B819" t="s">
        <v>8215</v>
      </c>
      <c r="C819">
        <v>1</v>
      </c>
    </row>
    <row r="820" spans="1:3" x14ac:dyDescent="0.25">
      <c r="A820" t="s">
        <v>8927</v>
      </c>
      <c r="B820" t="s">
        <v>8259</v>
      </c>
      <c r="C820">
        <v>1</v>
      </c>
    </row>
    <row r="821" spans="1:3" x14ac:dyDescent="0.25">
      <c r="A821" t="s">
        <v>8835</v>
      </c>
      <c r="B821" t="s">
        <v>8237</v>
      </c>
      <c r="C821">
        <v>1</v>
      </c>
    </row>
    <row r="822" spans="1:3" x14ac:dyDescent="0.25">
      <c r="A822" t="s">
        <v>8982</v>
      </c>
      <c r="B822" t="s">
        <v>8692</v>
      </c>
      <c r="C822">
        <v>1</v>
      </c>
    </row>
    <row r="823" spans="1:3" x14ac:dyDescent="0.25">
      <c r="A823" t="s">
        <v>8766</v>
      </c>
      <c r="B823" t="s">
        <v>8498</v>
      </c>
      <c r="C823">
        <v>1</v>
      </c>
    </row>
    <row r="824" spans="1:3" x14ac:dyDescent="0.25">
      <c r="A824" t="s">
        <v>8545</v>
      </c>
      <c r="B824" t="s">
        <v>8237</v>
      </c>
      <c r="C824">
        <v>1</v>
      </c>
    </row>
    <row r="825" spans="1:3" x14ac:dyDescent="0.25">
      <c r="A825" t="s">
        <v>8705</v>
      </c>
      <c r="B825" t="s">
        <v>8859</v>
      </c>
      <c r="C825">
        <v>1</v>
      </c>
    </row>
    <row r="826" spans="1:3" x14ac:dyDescent="0.25">
      <c r="A826" t="s">
        <v>8451</v>
      </c>
      <c r="B826" t="s">
        <v>8392</v>
      </c>
      <c r="C826">
        <v>1</v>
      </c>
    </row>
    <row r="827" spans="1:3" x14ac:dyDescent="0.25">
      <c r="A827" t="s">
        <v>8674</v>
      </c>
      <c r="B827" t="s">
        <v>8859</v>
      </c>
      <c r="C827">
        <v>1</v>
      </c>
    </row>
    <row r="828" spans="1:3" x14ac:dyDescent="0.25">
      <c r="A828" t="s">
        <v>8941</v>
      </c>
      <c r="B828" t="s">
        <v>8692</v>
      </c>
      <c r="C828">
        <v>1</v>
      </c>
    </row>
    <row r="829" spans="1:3" x14ac:dyDescent="0.25">
      <c r="A829" t="s">
        <v>8302</v>
      </c>
      <c r="B829" t="s">
        <v>8215</v>
      </c>
      <c r="C829">
        <v>1</v>
      </c>
    </row>
    <row r="830" spans="1:3" x14ac:dyDescent="0.25">
      <c r="A830" t="s">
        <v>8585</v>
      </c>
      <c r="B830" t="s">
        <v>8237</v>
      </c>
      <c r="C830">
        <v>1</v>
      </c>
    </row>
    <row r="831" spans="1:3" x14ac:dyDescent="0.25">
      <c r="A831" t="s">
        <v>8830</v>
      </c>
      <c r="B831" t="s">
        <v>8216</v>
      </c>
      <c r="C831">
        <v>1</v>
      </c>
    </row>
    <row r="832" spans="1:3" x14ac:dyDescent="0.25">
      <c r="A832" t="s">
        <v>8872</v>
      </c>
      <c r="B832" t="s">
        <v>8238</v>
      </c>
      <c r="C832">
        <v>1</v>
      </c>
    </row>
    <row r="833" spans="1:3" x14ac:dyDescent="0.25">
      <c r="A833" t="s">
        <v>8221</v>
      </c>
      <c r="B833" t="s">
        <v>8217</v>
      </c>
      <c r="C833">
        <v>1</v>
      </c>
    </row>
    <row r="834" spans="1:3" x14ac:dyDescent="0.25">
      <c r="A834" t="s">
        <v>8956</v>
      </c>
      <c r="B834" t="s">
        <v>8526</v>
      </c>
      <c r="C834">
        <v>1</v>
      </c>
    </row>
    <row r="835" spans="1:3" x14ac:dyDescent="0.25">
      <c r="A835" t="s">
        <v>8345</v>
      </c>
      <c r="B835" t="s">
        <v>8816</v>
      </c>
      <c r="C835">
        <v>1</v>
      </c>
    </row>
    <row r="836" spans="1:3" x14ac:dyDescent="0.25">
      <c r="A836" t="s">
        <v>8215</v>
      </c>
      <c r="B836" t="s">
        <v>8295</v>
      </c>
      <c r="C836">
        <v>1</v>
      </c>
    </row>
    <row r="837" spans="1:3" x14ac:dyDescent="0.25">
      <c r="A837" t="s">
        <v>8557</v>
      </c>
      <c r="B837" t="s">
        <v>8295</v>
      </c>
      <c r="C837">
        <v>1</v>
      </c>
    </row>
    <row r="838" spans="1:3" x14ac:dyDescent="0.25">
      <c r="A838" t="s">
        <v>8268</v>
      </c>
      <c r="B838" t="s">
        <v>8392</v>
      </c>
      <c r="C838">
        <v>1</v>
      </c>
    </row>
    <row r="839" spans="1:3" x14ac:dyDescent="0.25">
      <c r="A839" t="s">
        <v>8365</v>
      </c>
      <c r="B839" t="s">
        <v>8284</v>
      </c>
      <c r="C839">
        <v>1</v>
      </c>
    </row>
    <row r="840" spans="1:3" x14ac:dyDescent="0.25">
      <c r="A840" t="s">
        <v>8850</v>
      </c>
      <c r="B840" t="s">
        <v>8237</v>
      </c>
      <c r="C840">
        <v>1</v>
      </c>
    </row>
    <row r="841" spans="1:3" x14ac:dyDescent="0.25">
      <c r="A841" t="s">
        <v>8587</v>
      </c>
      <c r="B841" t="s">
        <v>8237</v>
      </c>
      <c r="C841">
        <v>1</v>
      </c>
    </row>
    <row r="842" spans="1:3" x14ac:dyDescent="0.25">
      <c r="A842" t="s">
        <v>8693</v>
      </c>
      <c r="B842" t="s">
        <v>8237</v>
      </c>
      <c r="C842">
        <v>1</v>
      </c>
    </row>
    <row r="843" spans="1:3" x14ac:dyDescent="0.25">
      <c r="A843" t="s">
        <v>8547</v>
      </c>
      <c r="B843" t="s">
        <v>8237</v>
      </c>
      <c r="C843">
        <v>1</v>
      </c>
    </row>
    <row r="844" spans="1:3" x14ac:dyDescent="0.25">
      <c r="A844" t="s">
        <v>8781</v>
      </c>
      <c r="B844" t="s">
        <v>8237</v>
      </c>
      <c r="C844">
        <v>1</v>
      </c>
    </row>
    <row r="845" spans="1:3" x14ac:dyDescent="0.25">
      <c r="A845" t="s">
        <v>8811</v>
      </c>
      <c r="B845" t="s">
        <v>8816</v>
      </c>
      <c r="C845">
        <v>1</v>
      </c>
    </row>
    <row r="846" spans="1:3" x14ac:dyDescent="0.25">
      <c r="A846" t="s">
        <v>8437</v>
      </c>
      <c r="B846" t="s">
        <v>8237</v>
      </c>
      <c r="C846">
        <v>1</v>
      </c>
    </row>
    <row r="847" spans="1:3" x14ac:dyDescent="0.25">
      <c r="A847" t="s">
        <v>8277</v>
      </c>
      <c r="B847" t="s">
        <v>8295</v>
      </c>
      <c r="C847">
        <v>1</v>
      </c>
    </row>
    <row r="848" spans="1:3" x14ac:dyDescent="0.25">
      <c r="A848" t="s">
        <v>8762</v>
      </c>
      <c r="B848" t="s">
        <v>8237</v>
      </c>
      <c r="C848">
        <v>1</v>
      </c>
    </row>
    <row r="849" spans="1:3" x14ac:dyDescent="0.25">
      <c r="A849" t="s">
        <v>8739</v>
      </c>
      <c r="B849" t="s">
        <v>8237</v>
      </c>
      <c r="C849">
        <v>1</v>
      </c>
    </row>
    <row r="850" spans="1:3" x14ac:dyDescent="0.25">
      <c r="A850" t="s">
        <v>8989</v>
      </c>
      <c r="B850" t="s">
        <v>8555</v>
      </c>
      <c r="C850">
        <v>1</v>
      </c>
    </row>
    <row r="851" spans="1:3" x14ac:dyDescent="0.25">
      <c r="A851" t="s">
        <v>8467</v>
      </c>
      <c r="B851" t="s">
        <v>8215</v>
      </c>
      <c r="C851">
        <v>1</v>
      </c>
    </row>
    <row r="852" spans="1:3" x14ac:dyDescent="0.25">
      <c r="A852" t="s">
        <v>8256</v>
      </c>
      <c r="B852" t="s">
        <v>8215</v>
      </c>
      <c r="C852">
        <v>1</v>
      </c>
    </row>
    <row r="853" spans="1:3" x14ac:dyDescent="0.25">
      <c r="A853" t="s">
        <v>8374</v>
      </c>
      <c r="B853" t="s">
        <v>8237</v>
      </c>
      <c r="C853">
        <v>1</v>
      </c>
    </row>
    <row r="854" spans="1:3" x14ac:dyDescent="0.25">
      <c r="A854" t="s">
        <v>8293</v>
      </c>
      <c r="B854" t="s">
        <v>8237</v>
      </c>
      <c r="C854">
        <v>1</v>
      </c>
    </row>
    <row r="855" spans="1:3" x14ac:dyDescent="0.25">
      <c r="A855" t="s">
        <v>8876</v>
      </c>
      <c r="B855" t="s">
        <v>8284</v>
      </c>
      <c r="C855">
        <v>1</v>
      </c>
    </row>
    <row r="856" spans="1:3" x14ac:dyDescent="0.25">
      <c r="A856" t="s">
        <v>8601</v>
      </c>
      <c r="B856" t="s">
        <v>8284</v>
      </c>
      <c r="C856">
        <v>1</v>
      </c>
    </row>
    <row r="857" spans="1:3" x14ac:dyDescent="0.25">
      <c r="A857" t="s">
        <v>8575</v>
      </c>
      <c r="B857" t="s">
        <v>8559</v>
      </c>
      <c r="C857">
        <v>1</v>
      </c>
    </row>
    <row r="858" spans="1:3" x14ac:dyDescent="0.25">
      <c r="A858" t="s">
        <v>8751</v>
      </c>
      <c r="B858" t="s">
        <v>8237</v>
      </c>
      <c r="C858">
        <v>1</v>
      </c>
    </row>
    <row r="859" spans="1:3" x14ac:dyDescent="0.25">
      <c r="A859" t="s">
        <v>8300</v>
      </c>
      <c r="B859" t="s">
        <v>8387</v>
      </c>
      <c r="C859">
        <v>1</v>
      </c>
    </row>
    <row r="860" spans="1:3" x14ac:dyDescent="0.25">
      <c r="A860" t="s">
        <v>8590</v>
      </c>
      <c r="B860" t="s">
        <v>8295</v>
      </c>
      <c r="C860">
        <v>1</v>
      </c>
    </row>
    <row r="861" spans="1:3" x14ac:dyDescent="0.25">
      <c r="A861" t="s">
        <v>8790</v>
      </c>
      <c r="B861" t="s">
        <v>8299</v>
      </c>
      <c r="C861">
        <v>1</v>
      </c>
    </row>
    <row r="862" spans="1:3" x14ac:dyDescent="0.25">
      <c r="A862" t="s">
        <v>8462</v>
      </c>
      <c r="B862" t="s">
        <v>8566</v>
      </c>
      <c r="C862">
        <v>1</v>
      </c>
    </row>
    <row r="863" spans="1:3" x14ac:dyDescent="0.25">
      <c r="A863" t="s">
        <v>8619</v>
      </c>
      <c r="B863" t="s">
        <v>8716</v>
      </c>
      <c r="C863">
        <v>1</v>
      </c>
    </row>
    <row r="864" spans="1:3" x14ac:dyDescent="0.25">
      <c r="A864" t="s">
        <v>8483</v>
      </c>
      <c r="B864" t="s">
        <v>8259</v>
      </c>
      <c r="C864">
        <v>1</v>
      </c>
    </row>
    <row r="865" spans="1:3" x14ac:dyDescent="0.25">
      <c r="A865" t="s">
        <v>8798</v>
      </c>
      <c r="B865" t="s">
        <v>8572</v>
      </c>
      <c r="C865">
        <v>1</v>
      </c>
    </row>
    <row r="866" spans="1:3" x14ac:dyDescent="0.25">
      <c r="A866">
        <v>732</v>
      </c>
      <c r="B866" t="s">
        <v>8462</v>
      </c>
      <c r="C866">
        <v>1</v>
      </c>
    </row>
    <row r="867" spans="1:3" x14ac:dyDescent="0.25">
      <c r="A867" t="s">
        <v>8761</v>
      </c>
      <c r="B867" t="s">
        <v>8572</v>
      </c>
      <c r="C867">
        <v>1</v>
      </c>
    </row>
    <row r="868" spans="1:3" x14ac:dyDescent="0.25">
      <c r="A868" t="s">
        <v>8802</v>
      </c>
      <c r="B868" t="s">
        <v>8572</v>
      </c>
      <c r="C868">
        <v>1</v>
      </c>
    </row>
    <row r="869" spans="1:3" x14ac:dyDescent="0.25">
      <c r="A869" t="s">
        <v>8793</v>
      </c>
      <c r="B869" t="s">
        <v>8304</v>
      </c>
      <c r="C869">
        <v>1</v>
      </c>
    </row>
    <row r="870" spans="1:3" x14ac:dyDescent="0.25">
      <c r="A870" t="s">
        <v>8572</v>
      </c>
      <c r="B870" t="s">
        <v>8566</v>
      </c>
      <c r="C870">
        <v>1</v>
      </c>
    </row>
    <row r="871" spans="1:3" x14ac:dyDescent="0.25">
      <c r="A871" t="s">
        <v>8816</v>
      </c>
      <c r="B871" t="s">
        <v>8566</v>
      </c>
      <c r="C871">
        <v>1</v>
      </c>
    </row>
    <row r="872" spans="1:3" x14ac:dyDescent="0.25">
      <c r="A872" t="s">
        <v>8555</v>
      </c>
      <c r="B872" t="s">
        <v>8295</v>
      </c>
      <c r="C872">
        <v>1</v>
      </c>
    </row>
    <row r="873" spans="1:3" x14ac:dyDescent="0.25">
      <c r="A873" t="s">
        <v>8852</v>
      </c>
      <c r="B873" t="s">
        <v>8237</v>
      </c>
      <c r="C873">
        <v>1</v>
      </c>
    </row>
    <row r="874" spans="1:3" x14ac:dyDescent="0.25">
      <c r="A874" t="s">
        <v>8435</v>
      </c>
      <c r="B874" t="s">
        <v>8462</v>
      </c>
      <c r="C874">
        <v>1</v>
      </c>
    </row>
    <row r="875" spans="1:3" x14ac:dyDescent="0.25">
      <c r="A875" t="s">
        <v>8824</v>
      </c>
      <c r="B875" t="s">
        <v>8411</v>
      </c>
      <c r="C875">
        <v>1</v>
      </c>
    </row>
    <row r="876" spans="1:3" x14ac:dyDescent="0.25">
      <c r="A876" t="s">
        <v>8504</v>
      </c>
      <c r="B876" t="s">
        <v>8268</v>
      </c>
      <c r="C876">
        <v>1</v>
      </c>
    </row>
    <row r="877" spans="1:3" x14ac:dyDescent="0.25">
      <c r="A877" t="s">
        <v>8667</v>
      </c>
      <c r="B877" t="s">
        <v>8212</v>
      </c>
      <c r="C877">
        <v>1</v>
      </c>
    </row>
    <row r="878" spans="1:3" x14ac:dyDescent="0.25">
      <c r="A878" t="s">
        <v>8966</v>
      </c>
      <c r="B878" t="s">
        <v>8237</v>
      </c>
      <c r="C878">
        <v>1</v>
      </c>
    </row>
    <row r="879" spans="1:3" x14ac:dyDescent="0.25">
      <c r="A879" t="s">
        <v>8647</v>
      </c>
      <c r="B879" t="s">
        <v>8237</v>
      </c>
      <c r="C879">
        <v>1</v>
      </c>
    </row>
    <row r="880" spans="1:3" x14ac:dyDescent="0.25">
      <c r="A880" t="s">
        <v>8395</v>
      </c>
      <c r="B880" t="s">
        <v>8261</v>
      </c>
      <c r="C880">
        <v>1</v>
      </c>
    </row>
    <row r="881" spans="1:3" x14ac:dyDescent="0.25">
      <c r="A881" t="s">
        <v>8707</v>
      </c>
      <c r="B881" t="s">
        <v>8572</v>
      </c>
      <c r="C881">
        <v>1</v>
      </c>
    </row>
    <row r="882" spans="1:3" x14ac:dyDescent="0.25">
      <c r="A882" t="s">
        <v>8668</v>
      </c>
      <c r="B882" t="s">
        <v>8237</v>
      </c>
      <c r="C882">
        <v>1</v>
      </c>
    </row>
    <row r="883" spans="1:3" x14ac:dyDescent="0.25">
      <c r="A883" t="s">
        <v>8261</v>
      </c>
      <c r="B883" t="s">
        <v>8566</v>
      </c>
      <c r="C883">
        <v>1</v>
      </c>
    </row>
    <row r="884" spans="1:3" x14ac:dyDescent="0.25">
      <c r="A884" t="s">
        <v>8258</v>
      </c>
      <c r="B884" t="s">
        <v>8417</v>
      </c>
      <c r="C884">
        <v>1</v>
      </c>
    </row>
    <row r="885" spans="1:3" x14ac:dyDescent="0.25">
      <c r="A885" t="s">
        <v>8525</v>
      </c>
      <c r="B885" t="s">
        <v>8237</v>
      </c>
      <c r="C885">
        <v>1</v>
      </c>
    </row>
    <row r="886" spans="1:3" x14ac:dyDescent="0.25">
      <c r="A886" t="s">
        <v>8776</v>
      </c>
      <c r="B886" t="s">
        <v>8498</v>
      </c>
      <c r="C886">
        <v>1</v>
      </c>
    </row>
    <row r="887" spans="1:3" x14ac:dyDescent="0.25">
      <c r="A887" t="s">
        <v>8494</v>
      </c>
      <c r="B887" t="s">
        <v>8284</v>
      </c>
      <c r="C887">
        <v>1</v>
      </c>
    </row>
    <row r="888" spans="1:3" x14ac:dyDescent="0.25">
      <c r="A888" t="s">
        <v>8710</v>
      </c>
      <c r="B888" t="s">
        <v>8245</v>
      </c>
      <c r="C888">
        <v>1</v>
      </c>
    </row>
    <row r="889" spans="1:3" x14ac:dyDescent="0.25">
      <c r="A889" t="s">
        <v>8460</v>
      </c>
      <c r="B889" t="s">
        <v>8816</v>
      </c>
      <c r="C889">
        <v>1</v>
      </c>
    </row>
    <row r="890" spans="1:3" x14ac:dyDescent="0.25">
      <c r="A890" t="s">
        <v>8346</v>
      </c>
      <c r="B890" t="s">
        <v>8284</v>
      </c>
      <c r="C890">
        <v>1</v>
      </c>
    </row>
    <row r="891" spans="1:3" x14ac:dyDescent="0.25">
      <c r="A891" t="s">
        <v>8880</v>
      </c>
      <c r="B891" t="s">
        <v>8340</v>
      </c>
      <c r="C891">
        <v>1</v>
      </c>
    </row>
    <row r="892" spans="1:3" x14ac:dyDescent="0.25">
      <c r="A892" t="s">
        <v>8797</v>
      </c>
      <c r="B892" t="s">
        <v>8498</v>
      </c>
      <c r="C892">
        <v>1</v>
      </c>
    </row>
    <row r="893" spans="1:3" x14ac:dyDescent="0.25">
      <c r="A893" t="s">
        <v>8516</v>
      </c>
      <c r="B893" t="s">
        <v>8555</v>
      </c>
      <c r="C893">
        <v>1</v>
      </c>
    </row>
    <row r="894" spans="1:3" x14ac:dyDescent="0.25">
      <c r="A894" t="s">
        <v>8767</v>
      </c>
      <c r="B894" t="s">
        <v>8433</v>
      </c>
      <c r="C894">
        <v>1</v>
      </c>
    </row>
    <row r="895" spans="1:3" x14ac:dyDescent="0.25">
      <c r="A895" t="s">
        <v>8839</v>
      </c>
      <c r="B895" t="s">
        <v>8964</v>
      </c>
      <c r="C895">
        <v>1</v>
      </c>
    </row>
    <row r="896" spans="1:3" x14ac:dyDescent="0.25">
      <c r="A896" t="s">
        <v>8353</v>
      </c>
      <c r="B896" t="s">
        <v>8284</v>
      </c>
      <c r="C896">
        <v>1</v>
      </c>
    </row>
    <row r="897" spans="1:3" x14ac:dyDescent="0.25">
      <c r="A897" t="s">
        <v>8759</v>
      </c>
      <c r="B897" t="s">
        <v>8284</v>
      </c>
      <c r="C897">
        <v>1</v>
      </c>
    </row>
    <row r="898" spans="1:3" x14ac:dyDescent="0.25">
      <c r="A898" t="s">
        <v>8861</v>
      </c>
      <c r="B898" t="s">
        <v>8462</v>
      </c>
      <c r="C898">
        <v>1</v>
      </c>
    </row>
    <row r="899" spans="1:3" x14ac:dyDescent="0.25">
      <c r="A899" t="s">
        <v>8724</v>
      </c>
      <c r="B899" t="s">
        <v>8238</v>
      </c>
      <c r="C899">
        <v>1</v>
      </c>
    </row>
    <row r="900" spans="1:3" x14ac:dyDescent="0.25">
      <c r="A900" t="s">
        <v>8809</v>
      </c>
      <c r="B900" t="s">
        <v>8498</v>
      </c>
      <c r="C900">
        <v>1</v>
      </c>
    </row>
    <row r="901" spans="1:3" x14ac:dyDescent="0.25">
      <c r="A901" t="s">
        <v>8237</v>
      </c>
      <c r="B901" t="s">
        <v>8475</v>
      </c>
      <c r="C901">
        <v>1</v>
      </c>
    </row>
    <row r="902" spans="1:3" x14ac:dyDescent="0.25">
      <c r="A902" t="s">
        <v>8735</v>
      </c>
      <c r="B902" t="s">
        <v>8212</v>
      </c>
      <c r="C902">
        <v>1</v>
      </c>
    </row>
    <row r="903" spans="1:3" x14ac:dyDescent="0.25">
      <c r="A903" t="s">
        <v>8833</v>
      </c>
      <c r="B903" t="s">
        <v>8237</v>
      </c>
      <c r="C903">
        <v>1</v>
      </c>
    </row>
    <row r="904" spans="1:3" x14ac:dyDescent="0.25">
      <c r="A904" t="s">
        <v>8512</v>
      </c>
      <c r="B904" t="s">
        <v>8284</v>
      </c>
      <c r="C904">
        <v>1</v>
      </c>
    </row>
    <row r="905" spans="1:3" x14ac:dyDescent="0.25">
      <c r="A905" t="s">
        <v>8831</v>
      </c>
      <c r="B905" t="s">
        <v>8261</v>
      </c>
      <c r="C905">
        <v>1</v>
      </c>
    </row>
    <row r="906" spans="1:3" x14ac:dyDescent="0.25">
      <c r="A906" t="s">
        <v>8682</v>
      </c>
      <c r="B906" t="s">
        <v>8237</v>
      </c>
      <c r="C906">
        <v>1</v>
      </c>
    </row>
    <row r="907" spans="1:3" x14ac:dyDescent="0.25">
      <c r="A907" t="s">
        <v>8987</v>
      </c>
      <c r="B907" t="s">
        <v>8238</v>
      </c>
      <c r="C907">
        <v>1</v>
      </c>
    </row>
    <row r="908" spans="1:3" x14ac:dyDescent="0.25">
      <c r="A908" t="s">
        <v>8632</v>
      </c>
      <c r="B908" t="s">
        <v>8498</v>
      </c>
      <c r="C908">
        <v>1</v>
      </c>
    </row>
    <row r="909" spans="1:3" x14ac:dyDescent="0.25">
      <c r="A909" t="s">
        <v>8598</v>
      </c>
      <c r="B909" t="s">
        <v>8237</v>
      </c>
      <c r="C909">
        <v>1</v>
      </c>
    </row>
    <row r="910" spans="1:3" x14ac:dyDescent="0.25">
      <c r="A910" t="s">
        <v>8859</v>
      </c>
      <c r="B910" t="s">
        <v>8475</v>
      </c>
      <c r="C910">
        <v>1</v>
      </c>
    </row>
    <row r="911" spans="1:3" x14ac:dyDescent="0.25">
      <c r="A911" t="s">
        <v>8556</v>
      </c>
      <c r="B911" t="s">
        <v>8261</v>
      </c>
      <c r="C911">
        <v>1</v>
      </c>
    </row>
    <row r="912" spans="1:3" x14ac:dyDescent="0.25">
      <c r="A912" t="s">
        <v>8363</v>
      </c>
      <c r="B912" t="s">
        <v>8261</v>
      </c>
      <c r="C912">
        <v>1</v>
      </c>
    </row>
    <row r="913" spans="1:3" x14ac:dyDescent="0.25">
      <c r="A913" t="s">
        <v>8685</v>
      </c>
      <c r="B913" t="s">
        <v>8828</v>
      </c>
      <c r="C913">
        <v>1</v>
      </c>
    </row>
    <row r="914" spans="1:3" x14ac:dyDescent="0.25">
      <c r="A914" t="s">
        <v>8699</v>
      </c>
      <c r="B914" t="s">
        <v>8411</v>
      </c>
      <c r="C914">
        <v>1</v>
      </c>
    </row>
    <row r="915" spans="1:3" x14ac:dyDescent="0.25">
      <c r="A915" t="s">
        <v>8890</v>
      </c>
      <c r="B915" t="s">
        <v>8411</v>
      </c>
      <c r="C915">
        <v>1</v>
      </c>
    </row>
    <row r="916" spans="1:3" x14ac:dyDescent="0.25">
      <c r="A916" t="s">
        <v>8694</v>
      </c>
      <c r="B916" t="s">
        <v>8238</v>
      </c>
      <c r="C916">
        <v>1</v>
      </c>
    </row>
    <row r="917" spans="1:3" x14ac:dyDescent="0.25">
      <c r="A917" t="s">
        <v>8331</v>
      </c>
      <c r="B917" t="s">
        <v>8284</v>
      </c>
      <c r="C917">
        <v>1</v>
      </c>
    </row>
    <row r="918" spans="1:3" x14ac:dyDescent="0.25">
      <c r="A918" t="s">
        <v>8284</v>
      </c>
      <c r="B918" t="s">
        <v>8475</v>
      </c>
      <c r="C918">
        <v>1</v>
      </c>
    </row>
    <row r="919" spans="1:3" x14ac:dyDescent="0.25">
      <c r="A919" t="s">
        <v>8623</v>
      </c>
      <c r="B919" t="s">
        <v>8451</v>
      </c>
      <c r="C919">
        <v>1</v>
      </c>
    </row>
    <row r="920" spans="1:3" x14ac:dyDescent="0.25">
      <c r="A920" t="s">
        <v>8730</v>
      </c>
      <c r="B920" t="s">
        <v>8348</v>
      </c>
      <c r="C920">
        <v>1</v>
      </c>
    </row>
    <row r="921" spans="1:3" x14ac:dyDescent="0.25">
      <c r="A921" t="s">
        <v>8537</v>
      </c>
      <c r="B921" t="s">
        <v>8816</v>
      </c>
      <c r="C921">
        <v>1</v>
      </c>
    </row>
    <row r="922" spans="1:3" x14ac:dyDescent="0.25">
      <c r="A922" t="s">
        <v>8755</v>
      </c>
      <c r="B922" t="s">
        <v>8261</v>
      </c>
      <c r="C922">
        <v>1</v>
      </c>
    </row>
    <row r="923" spans="1:3" x14ac:dyDescent="0.25">
      <c r="A923" t="s">
        <v>8929</v>
      </c>
      <c r="B923" t="s">
        <v>8237</v>
      </c>
      <c r="C923">
        <v>1</v>
      </c>
    </row>
    <row r="924" spans="1:3" x14ac:dyDescent="0.25">
      <c r="A924" t="s">
        <v>8225</v>
      </c>
      <c r="B924" t="s">
        <v>8411</v>
      </c>
      <c r="C924">
        <v>1</v>
      </c>
    </row>
    <row r="925" spans="1:3" x14ac:dyDescent="0.25">
      <c r="A925" t="s">
        <v>8990</v>
      </c>
      <c r="B925" t="s">
        <v>8828</v>
      </c>
      <c r="C925">
        <v>1</v>
      </c>
    </row>
    <row r="926" spans="1:3" x14ac:dyDescent="0.25">
      <c r="A926" t="s">
        <v>8546</v>
      </c>
      <c r="B926" t="s">
        <v>8250</v>
      </c>
      <c r="C926">
        <v>1</v>
      </c>
    </row>
    <row r="927" spans="1:3" x14ac:dyDescent="0.25">
      <c r="A927" t="s">
        <v>8704</v>
      </c>
      <c r="B927" t="s">
        <v>8340</v>
      </c>
      <c r="C927">
        <v>1</v>
      </c>
    </row>
    <row r="928" spans="1:3" x14ac:dyDescent="0.25">
      <c r="A928" t="s">
        <v>8838</v>
      </c>
      <c r="B928" t="s">
        <v>8700</v>
      </c>
      <c r="C928">
        <v>1</v>
      </c>
    </row>
  </sheetData>
  <autoFilter ref="A1:B928" xr:uid="{F70BC8F3-D1F4-46AB-B2C0-485F9F8AF5EB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1899-ACFE-4A6E-BD5A-602F415EFE0F}">
  <dimension ref="A1:B869"/>
  <sheetViews>
    <sheetView workbookViewId="0"/>
  </sheetViews>
  <sheetFormatPr baseColWidth="10" defaultRowHeight="15" x14ac:dyDescent="0.25"/>
  <cols>
    <col min="1" max="1" width="15.42578125" bestFit="1" customWidth="1"/>
    <col min="2" max="2" width="16.85546875" bestFit="1" customWidth="1"/>
  </cols>
  <sheetData>
    <row r="1" spans="1:2" x14ac:dyDescent="0.25">
      <c r="A1" t="s">
        <v>9005</v>
      </c>
      <c r="B1" t="s">
        <v>11054</v>
      </c>
    </row>
    <row r="2" spans="1:2" x14ac:dyDescent="0.25">
      <c r="A2" t="s">
        <v>8280</v>
      </c>
      <c r="B2" t="s">
        <v>8216</v>
      </c>
    </row>
    <row r="3" spans="1:2" x14ac:dyDescent="0.25">
      <c r="A3" t="s">
        <v>8527</v>
      </c>
      <c r="B3" t="s">
        <v>8221</v>
      </c>
    </row>
    <row r="4" spans="1:2" x14ac:dyDescent="0.25">
      <c r="A4" t="s">
        <v>8454</v>
      </c>
      <c r="B4" t="s">
        <v>8221</v>
      </c>
    </row>
    <row r="5" spans="1:2" x14ac:dyDescent="0.25">
      <c r="A5" t="s">
        <v>8401</v>
      </c>
      <c r="B5" t="s">
        <v>8259</v>
      </c>
    </row>
    <row r="6" spans="1:2" x14ac:dyDescent="0.25">
      <c r="A6" t="s">
        <v>8380</v>
      </c>
      <c r="B6" t="s">
        <v>8403</v>
      </c>
    </row>
    <row r="7" spans="1:2" x14ac:dyDescent="0.25">
      <c r="A7" t="s">
        <v>8229</v>
      </c>
      <c r="B7" t="s">
        <v>8392</v>
      </c>
    </row>
    <row r="8" spans="1:2" x14ac:dyDescent="0.25">
      <c r="A8" t="s">
        <v>8562</v>
      </c>
      <c r="B8" t="s">
        <v>8221</v>
      </c>
    </row>
    <row r="9" spans="1:2" x14ac:dyDescent="0.25">
      <c r="A9" t="s">
        <v>8348</v>
      </c>
      <c r="B9" t="s">
        <v>8216</v>
      </c>
    </row>
    <row r="10" spans="1:2" x14ac:dyDescent="0.25">
      <c r="A10" t="s">
        <v>8343</v>
      </c>
      <c r="B10" t="s">
        <v>8216</v>
      </c>
    </row>
    <row r="11" spans="1:2" x14ac:dyDescent="0.25">
      <c r="A11" t="s">
        <v>8468</v>
      </c>
      <c r="B11" t="s">
        <v>8566</v>
      </c>
    </row>
    <row r="12" spans="1:2" x14ac:dyDescent="0.25">
      <c r="A12" t="s">
        <v>8297</v>
      </c>
      <c r="B12" t="s">
        <v>8362</v>
      </c>
    </row>
    <row r="13" spans="1:2" x14ac:dyDescent="0.25">
      <c r="A13" t="s">
        <v>8319</v>
      </c>
      <c r="B13" t="s">
        <v>8566</v>
      </c>
    </row>
    <row r="14" spans="1:2" x14ac:dyDescent="0.25">
      <c r="A14" t="s">
        <v>8341</v>
      </c>
      <c r="B14" t="s">
        <v>8566</v>
      </c>
    </row>
    <row r="15" spans="1:2" x14ac:dyDescent="0.25">
      <c r="A15" t="s">
        <v>8243</v>
      </c>
      <c r="B15" t="s">
        <v>8475</v>
      </c>
    </row>
    <row r="16" spans="1:2" x14ac:dyDescent="0.25">
      <c r="A16" t="s">
        <v>8691</v>
      </c>
      <c r="B16" t="s">
        <v>8566</v>
      </c>
    </row>
    <row r="17" spans="1:2" x14ac:dyDescent="0.25">
      <c r="A17" t="s">
        <v>8328</v>
      </c>
      <c r="B17" t="s">
        <v>8245</v>
      </c>
    </row>
    <row r="18" spans="1:2" x14ac:dyDescent="0.25">
      <c r="A18" t="s">
        <v>8423</v>
      </c>
      <c r="B18" t="s">
        <v>8295</v>
      </c>
    </row>
    <row r="19" spans="1:2" x14ac:dyDescent="0.25">
      <c r="A19" t="s">
        <v>8299</v>
      </c>
      <c r="B19" t="s">
        <v>8216</v>
      </c>
    </row>
    <row r="20" spans="1:2" x14ac:dyDescent="0.25">
      <c r="A20" t="s">
        <v>8432</v>
      </c>
      <c r="B20" t="s">
        <v>8237</v>
      </c>
    </row>
    <row r="21" spans="1:2" x14ac:dyDescent="0.25">
      <c r="A21" t="s">
        <v>8261</v>
      </c>
      <c r="B21" t="s">
        <v>8566</v>
      </c>
    </row>
    <row r="22" spans="1:2" x14ac:dyDescent="0.25">
      <c r="A22" t="s">
        <v>8227</v>
      </c>
      <c r="B22" t="s">
        <v>8425</v>
      </c>
    </row>
    <row r="23" spans="1:2" x14ac:dyDescent="0.25">
      <c r="A23" t="s">
        <v>8289</v>
      </c>
      <c r="B23" t="s">
        <v>8348</v>
      </c>
    </row>
    <row r="24" spans="1:2" x14ac:dyDescent="0.25">
      <c r="A24" t="s">
        <v>8921</v>
      </c>
      <c r="B24" t="s">
        <v>8475</v>
      </c>
    </row>
    <row r="25" spans="1:2" x14ac:dyDescent="0.25">
      <c r="A25" t="s">
        <v>8972</v>
      </c>
      <c r="B25" t="s">
        <v>8295</v>
      </c>
    </row>
    <row r="26" spans="1:2" x14ac:dyDescent="0.25">
      <c r="A26" t="s">
        <v>8359</v>
      </c>
      <c r="B26" t="s">
        <v>8343</v>
      </c>
    </row>
    <row r="27" spans="1:2" x14ac:dyDescent="0.25">
      <c r="A27" t="s">
        <v>8370</v>
      </c>
      <c r="B27" t="s">
        <v>8498</v>
      </c>
    </row>
    <row r="28" spans="1:2" x14ac:dyDescent="0.25">
      <c r="A28" t="s">
        <v>8320</v>
      </c>
      <c r="B28" t="s">
        <v>8566</v>
      </c>
    </row>
    <row r="29" spans="1:2" x14ac:dyDescent="0.25">
      <c r="A29" t="s">
        <v>8313</v>
      </c>
      <c r="B29" t="s">
        <v>8215</v>
      </c>
    </row>
    <row r="30" spans="1:2" x14ac:dyDescent="0.25">
      <c r="A30" t="s">
        <v>8386</v>
      </c>
      <c r="B30" t="s">
        <v>8221</v>
      </c>
    </row>
    <row r="31" spans="1:2" x14ac:dyDescent="0.25">
      <c r="A31" t="s">
        <v>8426</v>
      </c>
      <c r="B31" t="s">
        <v>8215</v>
      </c>
    </row>
    <row r="32" spans="1:2" x14ac:dyDescent="0.25">
      <c r="A32" t="s">
        <v>8283</v>
      </c>
      <c r="B32" t="s">
        <v>8475</v>
      </c>
    </row>
    <row r="33" spans="1:2" x14ac:dyDescent="0.25">
      <c r="A33" t="s">
        <v>8384</v>
      </c>
      <c r="B33" t="s">
        <v>8295</v>
      </c>
    </row>
    <row r="34" spans="1:2" x14ac:dyDescent="0.25">
      <c r="A34" t="s">
        <v>8480</v>
      </c>
      <c r="B34" t="s">
        <v>8566</v>
      </c>
    </row>
    <row r="35" spans="1:2" x14ac:dyDescent="0.25">
      <c r="A35" t="s">
        <v>8356</v>
      </c>
      <c r="B35" t="s">
        <v>8238</v>
      </c>
    </row>
    <row r="36" spans="1:2" x14ac:dyDescent="0.25">
      <c r="A36" t="s">
        <v>8717</v>
      </c>
      <c r="B36" t="s">
        <v>8216</v>
      </c>
    </row>
    <row r="37" spans="1:2" x14ac:dyDescent="0.25">
      <c r="A37" t="s">
        <v>8377</v>
      </c>
      <c r="B37" t="s">
        <v>8237</v>
      </c>
    </row>
    <row r="38" spans="1:2" x14ac:dyDescent="0.25">
      <c r="A38" t="s">
        <v>8333</v>
      </c>
      <c r="B38" t="s">
        <v>8259</v>
      </c>
    </row>
    <row r="39" spans="1:2" x14ac:dyDescent="0.25">
      <c r="A39" t="s">
        <v>8232</v>
      </c>
      <c r="B39" t="s">
        <v>8425</v>
      </c>
    </row>
    <row r="40" spans="1:2" x14ac:dyDescent="0.25">
      <c r="A40" t="s">
        <v>8350</v>
      </c>
      <c r="B40" t="s">
        <v>8328</v>
      </c>
    </row>
    <row r="41" spans="1:2" x14ac:dyDescent="0.25">
      <c r="A41" t="s">
        <v>8398</v>
      </c>
      <c r="B41" t="s">
        <v>8417</v>
      </c>
    </row>
    <row r="42" spans="1:2" x14ac:dyDescent="0.25">
      <c r="A42" t="s">
        <v>8337</v>
      </c>
      <c r="B42" t="s">
        <v>8717</v>
      </c>
    </row>
    <row r="43" spans="1:2" x14ac:dyDescent="0.25">
      <c r="A43" t="s">
        <v>8425</v>
      </c>
      <c r="B43" t="s">
        <v>8250</v>
      </c>
    </row>
    <row r="44" spans="1:2" x14ac:dyDescent="0.25">
      <c r="A44" t="s">
        <v>8247</v>
      </c>
      <c r="B44" t="s">
        <v>8475</v>
      </c>
    </row>
    <row r="45" spans="1:2" x14ac:dyDescent="0.25">
      <c r="A45" t="s">
        <v>8251</v>
      </c>
      <c r="B45" t="s">
        <v>8245</v>
      </c>
    </row>
    <row r="46" spans="1:2" x14ac:dyDescent="0.25">
      <c r="A46" t="s">
        <v>8918</v>
      </c>
      <c r="B46" t="s">
        <v>8221</v>
      </c>
    </row>
    <row r="47" spans="1:2" x14ac:dyDescent="0.25">
      <c r="A47" t="s">
        <v>8291</v>
      </c>
      <c r="B47" t="s">
        <v>8717</v>
      </c>
    </row>
    <row r="48" spans="1:2" x14ac:dyDescent="0.25">
      <c r="A48" t="s">
        <v>8335</v>
      </c>
      <c r="B48" t="s">
        <v>8670</v>
      </c>
    </row>
    <row r="49" spans="1:2" x14ac:dyDescent="0.25">
      <c r="A49" t="s">
        <v>8276</v>
      </c>
      <c r="B49" t="s">
        <v>8237</v>
      </c>
    </row>
    <row r="50" spans="1:2" x14ac:dyDescent="0.25">
      <c r="A50" t="s">
        <v>8241</v>
      </c>
      <c r="B50" t="s">
        <v>8859</v>
      </c>
    </row>
    <row r="51" spans="1:2" x14ac:dyDescent="0.25">
      <c r="A51" t="s">
        <v>8379</v>
      </c>
      <c r="B51" t="s">
        <v>8717</v>
      </c>
    </row>
    <row r="52" spans="1:2" x14ac:dyDescent="0.25">
      <c r="A52" t="s">
        <v>8591</v>
      </c>
      <c r="B52" t="s">
        <v>8297</v>
      </c>
    </row>
    <row r="53" spans="1:2" x14ac:dyDescent="0.25">
      <c r="A53" t="s">
        <v>8412</v>
      </c>
      <c r="B53" t="s">
        <v>8297</v>
      </c>
    </row>
    <row r="54" spans="1:2" x14ac:dyDescent="0.25">
      <c r="A54" t="s">
        <v>8364</v>
      </c>
      <c r="B54" t="s">
        <v>8362</v>
      </c>
    </row>
    <row r="55" spans="1:2" x14ac:dyDescent="0.25">
      <c r="A55" t="s">
        <v>8338</v>
      </c>
      <c r="B55" t="s">
        <v>8566</v>
      </c>
    </row>
    <row r="56" spans="1:2" x14ac:dyDescent="0.25">
      <c r="A56" t="s">
        <v>8588</v>
      </c>
      <c r="B56" t="s">
        <v>8403</v>
      </c>
    </row>
    <row r="57" spans="1:2" x14ac:dyDescent="0.25">
      <c r="A57" t="s">
        <v>8495</v>
      </c>
      <c r="B57" t="s">
        <v>8237</v>
      </c>
    </row>
    <row r="58" spans="1:2" x14ac:dyDescent="0.25">
      <c r="A58" t="s">
        <v>8570</v>
      </c>
      <c r="B58" t="s">
        <v>8475</v>
      </c>
    </row>
    <row r="59" spans="1:2" x14ac:dyDescent="0.25">
      <c r="A59" t="s">
        <v>8487</v>
      </c>
      <c r="B59" t="s">
        <v>8284</v>
      </c>
    </row>
    <row r="60" spans="1:2" x14ac:dyDescent="0.25">
      <c r="A60" t="s">
        <v>8285</v>
      </c>
      <c r="B60" t="s">
        <v>8237</v>
      </c>
    </row>
    <row r="61" spans="1:2" x14ac:dyDescent="0.25">
      <c r="A61" t="s">
        <v>8635</v>
      </c>
      <c r="B61" t="s">
        <v>8566</v>
      </c>
    </row>
    <row r="62" spans="1:2" x14ac:dyDescent="0.25">
      <c r="A62" t="s">
        <v>8388</v>
      </c>
      <c r="B62" t="s">
        <v>8566</v>
      </c>
    </row>
    <row r="63" spans="1:2" x14ac:dyDescent="0.25">
      <c r="A63" t="s">
        <v>8429</v>
      </c>
      <c r="B63" t="s">
        <v>8215</v>
      </c>
    </row>
    <row r="64" spans="1:2" x14ac:dyDescent="0.25">
      <c r="A64" t="s">
        <v>8422</v>
      </c>
      <c r="B64" t="s">
        <v>8492</v>
      </c>
    </row>
    <row r="65" spans="1:2" x14ac:dyDescent="0.25">
      <c r="A65" t="s">
        <v>8434</v>
      </c>
      <c r="B65" t="s">
        <v>8475</v>
      </c>
    </row>
    <row r="66" spans="1:2" x14ac:dyDescent="0.25">
      <c r="A66" t="s">
        <v>8273</v>
      </c>
      <c r="B66" t="s">
        <v>8299</v>
      </c>
    </row>
    <row r="67" spans="1:2" x14ac:dyDescent="0.25">
      <c r="A67" t="s">
        <v>8321</v>
      </c>
      <c r="B67" t="s">
        <v>8297</v>
      </c>
    </row>
    <row r="68" spans="1:2" x14ac:dyDescent="0.25">
      <c r="A68" t="s">
        <v>8567</v>
      </c>
      <c r="B68" t="s">
        <v>8215</v>
      </c>
    </row>
    <row r="69" spans="1:2" x14ac:dyDescent="0.25">
      <c r="A69" t="s">
        <v>8430</v>
      </c>
      <c r="B69" t="s">
        <v>8237</v>
      </c>
    </row>
    <row r="70" spans="1:2" x14ac:dyDescent="0.25">
      <c r="A70" t="s">
        <v>8604</v>
      </c>
      <c r="B70" t="s">
        <v>8566</v>
      </c>
    </row>
    <row r="71" spans="1:2" x14ac:dyDescent="0.25">
      <c r="A71" t="s">
        <v>8745</v>
      </c>
      <c r="B71" t="s">
        <v>8475</v>
      </c>
    </row>
    <row r="72" spans="1:2" x14ac:dyDescent="0.25">
      <c r="A72" t="s">
        <v>8246</v>
      </c>
      <c r="B72" t="s">
        <v>8237</v>
      </c>
    </row>
    <row r="73" spans="1:2" x14ac:dyDescent="0.25">
      <c r="A73" t="s">
        <v>8474</v>
      </c>
      <c r="B73" t="s">
        <v>8403</v>
      </c>
    </row>
    <row r="74" spans="1:2" x14ac:dyDescent="0.25">
      <c r="A74" t="s">
        <v>8684</v>
      </c>
      <c r="B74" t="s">
        <v>8417</v>
      </c>
    </row>
    <row r="75" spans="1:2" x14ac:dyDescent="0.25">
      <c r="A75" t="s">
        <v>8450</v>
      </c>
      <c r="B75" t="s">
        <v>8566</v>
      </c>
    </row>
    <row r="76" spans="1:2" x14ac:dyDescent="0.25">
      <c r="A76" t="s">
        <v>8540</v>
      </c>
      <c r="B76" t="s">
        <v>8343</v>
      </c>
    </row>
    <row r="77" spans="1:2" x14ac:dyDescent="0.25">
      <c r="A77" t="s">
        <v>8220</v>
      </c>
      <c r="B77" t="s">
        <v>8238</v>
      </c>
    </row>
    <row r="78" spans="1:2" x14ac:dyDescent="0.25">
      <c r="A78" t="s">
        <v>8393</v>
      </c>
      <c r="B78" t="s">
        <v>8462</v>
      </c>
    </row>
    <row r="79" spans="1:2" x14ac:dyDescent="0.25">
      <c r="A79" t="s">
        <v>8493</v>
      </c>
      <c r="B79" t="s">
        <v>8462</v>
      </c>
    </row>
    <row r="80" spans="1:2" x14ac:dyDescent="0.25">
      <c r="A80" t="s">
        <v>8862</v>
      </c>
      <c r="B80" t="s">
        <v>8392</v>
      </c>
    </row>
    <row r="81" spans="1:2" x14ac:dyDescent="0.25">
      <c r="A81" t="s">
        <v>8324</v>
      </c>
      <c r="B81" t="s">
        <v>8215</v>
      </c>
    </row>
    <row r="82" spans="1:2" x14ac:dyDescent="0.25">
      <c r="A82" t="s">
        <v>8351</v>
      </c>
      <c r="B82" t="s">
        <v>8284</v>
      </c>
    </row>
    <row r="83" spans="1:2" x14ac:dyDescent="0.25">
      <c r="A83" t="s">
        <v>8791</v>
      </c>
      <c r="B83" t="s">
        <v>8348</v>
      </c>
    </row>
    <row r="84" spans="1:2" x14ac:dyDescent="0.25">
      <c r="A84" t="s">
        <v>8290</v>
      </c>
      <c r="B84" t="s">
        <v>8221</v>
      </c>
    </row>
    <row r="85" spans="1:2" x14ac:dyDescent="0.25">
      <c r="A85" t="s">
        <v>8402</v>
      </c>
      <c r="B85" t="s">
        <v>8566</v>
      </c>
    </row>
    <row r="86" spans="1:2" x14ac:dyDescent="0.25">
      <c r="A86" t="s">
        <v>8985</v>
      </c>
      <c r="B86" t="s">
        <v>8221</v>
      </c>
    </row>
    <row r="87" spans="1:2" x14ac:dyDescent="0.25">
      <c r="A87" t="s">
        <v>8336</v>
      </c>
      <c r="B87" t="s">
        <v>8403</v>
      </c>
    </row>
    <row r="88" spans="1:2" x14ac:dyDescent="0.25">
      <c r="A88" t="s">
        <v>8477</v>
      </c>
      <c r="B88" t="s">
        <v>8284</v>
      </c>
    </row>
    <row r="89" spans="1:2" x14ac:dyDescent="0.25">
      <c r="A89" t="s">
        <v>8526</v>
      </c>
      <c r="B89" t="s">
        <v>8362</v>
      </c>
    </row>
    <row r="90" spans="1:2" x14ac:dyDescent="0.25">
      <c r="A90" t="s">
        <v>8306</v>
      </c>
      <c r="B90" t="s">
        <v>8266</v>
      </c>
    </row>
    <row r="91" spans="1:2" x14ac:dyDescent="0.25">
      <c r="A91" t="s">
        <v>8330</v>
      </c>
      <c r="B91" t="s">
        <v>8433</v>
      </c>
    </row>
    <row r="92" spans="1:2" x14ac:dyDescent="0.25">
      <c r="A92" t="s">
        <v>8715</v>
      </c>
      <c r="B92" t="s">
        <v>8392</v>
      </c>
    </row>
    <row r="93" spans="1:2" x14ac:dyDescent="0.25">
      <c r="A93" t="s">
        <v>8697</v>
      </c>
      <c r="B93" t="s">
        <v>8221</v>
      </c>
    </row>
    <row r="94" spans="1:2" x14ac:dyDescent="0.25">
      <c r="A94" t="s">
        <v>8462</v>
      </c>
      <c r="B94" t="s">
        <v>8498</v>
      </c>
    </row>
    <row r="95" spans="1:2" x14ac:dyDescent="0.25">
      <c r="A95" t="s">
        <v>8405</v>
      </c>
      <c r="B95" t="s">
        <v>8462</v>
      </c>
    </row>
    <row r="96" spans="1:2" x14ac:dyDescent="0.25">
      <c r="A96" t="s">
        <v>8344</v>
      </c>
      <c r="B96" t="s">
        <v>8221</v>
      </c>
    </row>
    <row r="97" spans="1:2" x14ac:dyDescent="0.25">
      <c r="A97" t="s">
        <v>8382</v>
      </c>
      <c r="B97" t="s">
        <v>8295</v>
      </c>
    </row>
    <row r="98" spans="1:2" x14ac:dyDescent="0.25">
      <c r="A98" t="s">
        <v>8446</v>
      </c>
      <c r="B98" t="s">
        <v>8403</v>
      </c>
    </row>
    <row r="99" spans="1:2" x14ac:dyDescent="0.25">
      <c r="A99" t="s">
        <v>8226</v>
      </c>
      <c r="B99" t="s">
        <v>8392</v>
      </c>
    </row>
    <row r="100" spans="1:2" x14ac:dyDescent="0.25">
      <c r="A100" t="s">
        <v>8371</v>
      </c>
      <c r="B100" t="s">
        <v>8297</v>
      </c>
    </row>
    <row r="101" spans="1:2" x14ac:dyDescent="0.25">
      <c r="A101" t="s">
        <v>8677</v>
      </c>
      <c r="B101" t="s">
        <v>8559</v>
      </c>
    </row>
    <row r="102" spans="1:2" x14ac:dyDescent="0.25">
      <c r="A102" t="s">
        <v>8373</v>
      </c>
      <c r="B102" t="s">
        <v>8215</v>
      </c>
    </row>
    <row r="103" spans="1:2" x14ac:dyDescent="0.25">
      <c r="A103" t="s">
        <v>8978</v>
      </c>
      <c r="B103" t="s">
        <v>8259</v>
      </c>
    </row>
    <row r="104" spans="1:2" x14ac:dyDescent="0.25">
      <c r="A104" t="s">
        <v>8355</v>
      </c>
      <c r="B104" t="s">
        <v>8237</v>
      </c>
    </row>
    <row r="105" spans="1:2" x14ac:dyDescent="0.25">
      <c r="A105" t="s">
        <v>8701</v>
      </c>
      <c r="B105" t="s">
        <v>8237</v>
      </c>
    </row>
    <row r="106" spans="1:2" x14ac:dyDescent="0.25">
      <c r="A106" t="s">
        <v>8763</v>
      </c>
      <c r="B106" t="s">
        <v>8237</v>
      </c>
    </row>
    <row r="107" spans="1:2" x14ac:dyDescent="0.25">
      <c r="A107" t="s">
        <v>8764</v>
      </c>
      <c r="B107" t="s">
        <v>8237</v>
      </c>
    </row>
    <row r="108" spans="1:2" x14ac:dyDescent="0.25">
      <c r="A108" t="s">
        <v>8578</v>
      </c>
      <c r="B108" t="s">
        <v>8566</v>
      </c>
    </row>
    <row r="109" spans="1:2" x14ac:dyDescent="0.25">
      <c r="A109" t="s">
        <v>8207</v>
      </c>
      <c r="B109" t="s">
        <v>8859</v>
      </c>
    </row>
    <row r="110" spans="1:2" x14ac:dyDescent="0.25">
      <c r="A110" t="s">
        <v>8854</v>
      </c>
      <c r="B110" t="s">
        <v>8237</v>
      </c>
    </row>
    <row r="111" spans="1:2" x14ac:dyDescent="0.25">
      <c r="A111" t="s">
        <v>8459</v>
      </c>
      <c r="B111" t="s">
        <v>8332</v>
      </c>
    </row>
    <row r="112" spans="1:2" x14ac:dyDescent="0.25">
      <c r="A112" t="s">
        <v>8409</v>
      </c>
      <c r="B112" t="s">
        <v>8566</v>
      </c>
    </row>
    <row r="113" spans="1:2" x14ac:dyDescent="0.25">
      <c r="A113" t="s">
        <v>8568</v>
      </c>
      <c r="B113" t="s">
        <v>8566</v>
      </c>
    </row>
    <row r="114" spans="1:2" x14ac:dyDescent="0.25">
      <c r="A114" t="s">
        <v>8472</v>
      </c>
      <c r="B114" t="s">
        <v>8559</v>
      </c>
    </row>
    <row r="115" spans="1:2" x14ac:dyDescent="0.25">
      <c r="A115" t="s">
        <v>8719</v>
      </c>
      <c r="B115" t="s">
        <v>8237</v>
      </c>
    </row>
    <row r="116" spans="1:2" x14ac:dyDescent="0.25">
      <c r="A116" t="s">
        <v>8977</v>
      </c>
      <c r="B116" t="s">
        <v>8295</v>
      </c>
    </row>
    <row r="117" spans="1:2" x14ac:dyDescent="0.25">
      <c r="A117" t="s">
        <v>8867</v>
      </c>
      <c r="B117" t="s">
        <v>8475</v>
      </c>
    </row>
    <row r="118" spans="1:2" x14ac:dyDescent="0.25">
      <c r="A118" t="s">
        <v>8736</v>
      </c>
      <c r="B118" t="s">
        <v>8566</v>
      </c>
    </row>
    <row r="119" spans="1:2" x14ac:dyDescent="0.25">
      <c r="A119" t="s">
        <v>8404</v>
      </c>
      <c r="B119" t="s">
        <v>8362</v>
      </c>
    </row>
    <row r="120" spans="1:2" x14ac:dyDescent="0.25">
      <c r="A120" t="s">
        <v>8662</v>
      </c>
      <c r="B120" t="s">
        <v>8475</v>
      </c>
    </row>
    <row r="121" spans="1:2" x14ac:dyDescent="0.25">
      <c r="A121" t="s">
        <v>8808</v>
      </c>
      <c r="B121" t="s">
        <v>8328</v>
      </c>
    </row>
    <row r="122" spans="1:2" x14ac:dyDescent="0.25">
      <c r="A122" t="s">
        <v>8946</v>
      </c>
      <c r="B122" t="s">
        <v>8859</v>
      </c>
    </row>
    <row r="123" spans="1:2" x14ac:dyDescent="0.25">
      <c r="A123" t="s">
        <v>8595</v>
      </c>
      <c r="B123" t="s">
        <v>8215</v>
      </c>
    </row>
    <row r="124" spans="1:2" x14ac:dyDescent="0.25">
      <c r="A124" t="s">
        <v>8270</v>
      </c>
      <c r="B124" t="s">
        <v>8566</v>
      </c>
    </row>
    <row r="125" spans="1:2" x14ac:dyDescent="0.25">
      <c r="A125" t="s">
        <v>8267</v>
      </c>
      <c r="B125" t="s">
        <v>8475</v>
      </c>
    </row>
    <row r="126" spans="1:2" x14ac:dyDescent="0.25">
      <c r="A126" t="s">
        <v>8924</v>
      </c>
      <c r="B126" t="s">
        <v>8238</v>
      </c>
    </row>
    <row r="127" spans="1:2" x14ac:dyDescent="0.25">
      <c r="A127" t="s">
        <v>8905</v>
      </c>
      <c r="B127" t="s">
        <v>8249</v>
      </c>
    </row>
    <row r="128" spans="1:2" x14ac:dyDescent="0.25">
      <c r="A128" t="s">
        <v>8932</v>
      </c>
      <c r="B128" t="s">
        <v>8859</v>
      </c>
    </row>
    <row r="129" spans="1:2" x14ac:dyDescent="0.25">
      <c r="A129" t="s">
        <v>8961</v>
      </c>
      <c r="B129" t="s">
        <v>8392</v>
      </c>
    </row>
    <row r="130" spans="1:2" x14ac:dyDescent="0.25">
      <c r="A130" t="s">
        <v>8773</v>
      </c>
      <c r="B130" t="s">
        <v>8297</v>
      </c>
    </row>
    <row r="131" spans="1:2" x14ac:dyDescent="0.25">
      <c r="A131" t="s">
        <v>8721</v>
      </c>
      <c r="B131" t="s">
        <v>8297</v>
      </c>
    </row>
    <row r="132" spans="1:2" x14ac:dyDescent="0.25">
      <c r="A132" t="s">
        <v>8376</v>
      </c>
      <c r="B132" t="s">
        <v>8403</v>
      </c>
    </row>
    <row r="133" spans="1:2" x14ac:dyDescent="0.25">
      <c r="A133" t="s">
        <v>8264</v>
      </c>
      <c r="B133" t="s">
        <v>8859</v>
      </c>
    </row>
    <row r="134" spans="1:2" x14ac:dyDescent="0.25">
      <c r="A134" t="s">
        <v>8832</v>
      </c>
      <c r="B134" t="s">
        <v>8670</v>
      </c>
    </row>
    <row r="135" spans="1:2" x14ac:dyDescent="0.25">
      <c r="A135" t="s">
        <v>8775</v>
      </c>
      <c r="B135" t="s">
        <v>8284</v>
      </c>
    </row>
    <row r="136" spans="1:2" x14ac:dyDescent="0.25">
      <c r="A136" t="s">
        <v>8445</v>
      </c>
      <c r="B136" t="s">
        <v>8859</v>
      </c>
    </row>
    <row r="137" spans="1:2" x14ac:dyDescent="0.25">
      <c r="A137" t="s">
        <v>8877</v>
      </c>
      <c r="B137" t="s">
        <v>8237</v>
      </c>
    </row>
    <row r="138" spans="1:2" x14ac:dyDescent="0.25">
      <c r="A138" t="s">
        <v>8594</v>
      </c>
      <c r="B138" t="s">
        <v>8237</v>
      </c>
    </row>
    <row r="139" spans="1:2" x14ac:dyDescent="0.25">
      <c r="A139" t="s">
        <v>8561</v>
      </c>
      <c r="B139" t="s">
        <v>8859</v>
      </c>
    </row>
    <row r="140" spans="1:2" x14ac:dyDescent="0.25">
      <c r="A140" t="s">
        <v>8390</v>
      </c>
      <c r="B140" t="s">
        <v>8566</v>
      </c>
    </row>
    <row r="141" spans="1:2" x14ac:dyDescent="0.25">
      <c r="A141" t="s">
        <v>8829</v>
      </c>
      <c r="B141" t="s">
        <v>8237</v>
      </c>
    </row>
    <row r="142" spans="1:2" x14ac:dyDescent="0.25">
      <c r="A142" t="s">
        <v>8315</v>
      </c>
      <c r="B142" t="s">
        <v>8566</v>
      </c>
    </row>
    <row r="143" spans="1:2" x14ac:dyDescent="0.25">
      <c r="A143" t="s">
        <v>8922</v>
      </c>
      <c r="B143" t="s">
        <v>8359</v>
      </c>
    </row>
    <row r="144" spans="1:2" x14ac:dyDescent="0.25">
      <c r="A144" t="s">
        <v>8740</v>
      </c>
      <c r="B144" t="s">
        <v>8425</v>
      </c>
    </row>
    <row r="145" spans="1:2" x14ac:dyDescent="0.25">
      <c r="A145" t="s">
        <v>8703</v>
      </c>
      <c r="B145" t="s">
        <v>8359</v>
      </c>
    </row>
    <row r="146" spans="1:2" x14ac:dyDescent="0.25">
      <c r="A146" t="s">
        <v>8523</v>
      </c>
      <c r="B146" t="s">
        <v>8425</v>
      </c>
    </row>
    <row r="147" spans="1:2" x14ac:dyDescent="0.25">
      <c r="A147" t="s">
        <v>8949</v>
      </c>
      <c r="B147" t="s">
        <v>8403</v>
      </c>
    </row>
    <row r="148" spans="1:2" x14ac:dyDescent="0.25">
      <c r="A148" t="s">
        <v>8882</v>
      </c>
      <c r="B148" t="s">
        <v>8411</v>
      </c>
    </row>
    <row r="149" spans="1:2" x14ac:dyDescent="0.25">
      <c r="A149" t="s">
        <v>8986</v>
      </c>
      <c r="B149" t="s">
        <v>8362</v>
      </c>
    </row>
    <row r="150" spans="1:2" x14ac:dyDescent="0.25">
      <c r="A150" t="s">
        <v>8934</v>
      </c>
      <c r="B150" t="s">
        <v>8670</v>
      </c>
    </row>
    <row r="151" spans="1:2" x14ac:dyDescent="0.25">
      <c r="A151" t="s">
        <v>8508</v>
      </c>
      <c r="B151" t="s">
        <v>8717</v>
      </c>
    </row>
    <row r="152" spans="1:2" x14ac:dyDescent="0.25">
      <c r="A152" t="s">
        <v>8689</v>
      </c>
      <c r="B152" t="s">
        <v>8498</v>
      </c>
    </row>
    <row r="153" spans="1:2" x14ac:dyDescent="0.25">
      <c r="A153" t="s">
        <v>8786</v>
      </c>
      <c r="B153" t="s">
        <v>8559</v>
      </c>
    </row>
    <row r="154" spans="1:2" x14ac:dyDescent="0.25">
      <c r="A154" t="s">
        <v>8503</v>
      </c>
      <c r="B154" t="s">
        <v>8859</v>
      </c>
    </row>
    <row r="155" spans="1:2" x14ac:dyDescent="0.25">
      <c r="A155" t="s">
        <v>8984</v>
      </c>
      <c r="B155" t="s">
        <v>8859</v>
      </c>
    </row>
    <row r="156" spans="1:2" x14ac:dyDescent="0.25">
      <c r="A156" t="s">
        <v>8690</v>
      </c>
      <c r="B156" t="s">
        <v>8352</v>
      </c>
    </row>
    <row r="157" spans="1:2" x14ac:dyDescent="0.25">
      <c r="A157" t="s">
        <v>8954</v>
      </c>
      <c r="B157" t="s">
        <v>8238</v>
      </c>
    </row>
    <row r="158" spans="1:2" x14ac:dyDescent="0.25">
      <c r="A158" t="s">
        <v>8855</v>
      </c>
      <c r="B158" t="s">
        <v>8297</v>
      </c>
    </row>
    <row r="159" spans="1:2" x14ac:dyDescent="0.25">
      <c r="A159" t="s">
        <v>8973</v>
      </c>
      <c r="B159" t="s">
        <v>8717</v>
      </c>
    </row>
    <row r="160" spans="1:2" x14ac:dyDescent="0.25">
      <c r="A160" t="s">
        <v>8753</v>
      </c>
      <c r="B160" t="s">
        <v>8343</v>
      </c>
    </row>
    <row r="161" spans="1:2" x14ac:dyDescent="0.25">
      <c r="A161" t="s">
        <v>8686</v>
      </c>
      <c r="B161" t="s">
        <v>8343</v>
      </c>
    </row>
    <row r="162" spans="1:2" x14ac:dyDescent="0.25">
      <c r="A162" t="s">
        <v>8514</v>
      </c>
      <c r="B162" t="s">
        <v>8284</v>
      </c>
    </row>
    <row r="163" spans="1:2" x14ac:dyDescent="0.25">
      <c r="A163" t="s">
        <v>8893</v>
      </c>
      <c r="B163" t="s">
        <v>8237</v>
      </c>
    </row>
    <row r="164" spans="1:2" x14ac:dyDescent="0.25">
      <c r="A164" t="s">
        <v>8476</v>
      </c>
      <c r="B164" t="s">
        <v>8237</v>
      </c>
    </row>
    <row r="165" spans="1:2" x14ac:dyDescent="0.25">
      <c r="A165" t="s">
        <v>8498</v>
      </c>
      <c r="B165" t="s">
        <v>8216</v>
      </c>
    </row>
    <row r="166" spans="1:2" x14ac:dyDescent="0.25">
      <c r="A166" t="s">
        <v>8485</v>
      </c>
      <c r="B166" t="s">
        <v>8237</v>
      </c>
    </row>
    <row r="167" spans="1:2" x14ac:dyDescent="0.25">
      <c r="A167" t="s">
        <v>8916</v>
      </c>
      <c r="B167" t="s">
        <v>8237</v>
      </c>
    </row>
    <row r="168" spans="1:2" x14ac:dyDescent="0.25">
      <c r="A168" t="s">
        <v>8317</v>
      </c>
      <c r="B168" t="s">
        <v>8297</v>
      </c>
    </row>
    <row r="169" spans="1:2" x14ac:dyDescent="0.25">
      <c r="A169" t="s">
        <v>8501</v>
      </c>
      <c r="B169" t="s">
        <v>8297</v>
      </c>
    </row>
    <row r="170" spans="1:2" x14ac:dyDescent="0.25">
      <c r="A170" t="s">
        <v>8817</v>
      </c>
      <c r="B170" t="s">
        <v>8613</v>
      </c>
    </row>
    <row r="171" spans="1:2" x14ac:dyDescent="0.25">
      <c r="A171" t="s">
        <v>8636</v>
      </c>
      <c r="B171" t="s">
        <v>8215</v>
      </c>
    </row>
    <row r="172" spans="1:2" x14ac:dyDescent="0.25">
      <c r="A172" t="s">
        <v>8589</v>
      </c>
      <c r="B172" t="s">
        <v>8266</v>
      </c>
    </row>
    <row r="173" spans="1:2" x14ac:dyDescent="0.25">
      <c r="A173" t="s">
        <v>8645</v>
      </c>
      <c r="B173" t="s">
        <v>8859</v>
      </c>
    </row>
    <row r="174" spans="1:2" x14ac:dyDescent="0.25">
      <c r="A174" t="s">
        <v>8580</v>
      </c>
      <c r="B174" t="s">
        <v>8425</v>
      </c>
    </row>
    <row r="175" spans="1:2" x14ac:dyDescent="0.25">
      <c r="A175" t="s">
        <v>8437</v>
      </c>
      <c r="B175" t="s">
        <v>8237</v>
      </c>
    </row>
    <row r="176" spans="1:2" x14ac:dyDescent="0.25">
      <c r="A176" t="s">
        <v>8698</v>
      </c>
      <c r="B176" t="s">
        <v>8237</v>
      </c>
    </row>
    <row r="177" spans="1:2" x14ac:dyDescent="0.25">
      <c r="A177" t="s">
        <v>8552</v>
      </c>
      <c r="B177" t="s">
        <v>8237</v>
      </c>
    </row>
    <row r="178" spans="1:2" x14ac:dyDescent="0.25">
      <c r="A178" t="s">
        <v>8898</v>
      </c>
      <c r="B178" t="s">
        <v>8221</v>
      </c>
    </row>
    <row r="179" spans="1:2" x14ac:dyDescent="0.25">
      <c r="A179" t="s">
        <v>8541</v>
      </c>
      <c r="B179" t="s">
        <v>8297</v>
      </c>
    </row>
    <row r="180" spans="1:2" x14ac:dyDescent="0.25">
      <c r="A180" t="s">
        <v>8778</v>
      </c>
      <c r="B180" t="s">
        <v>8425</v>
      </c>
    </row>
    <row r="181" spans="1:2" x14ac:dyDescent="0.25">
      <c r="A181" t="s">
        <v>8646</v>
      </c>
      <c r="B181" t="s">
        <v>8297</v>
      </c>
    </row>
    <row r="182" spans="1:2" x14ac:dyDescent="0.25">
      <c r="A182" t="s">
        <v>8394</v>
      </c>
      <c r="B182" t="s">
        <v>8462</v>
      </c>
    </row>
    <row r="183" spans="1:2" x14ac:dyDescent="0.25">
      <c r="A183" t="s">
        <v>8312</v>
      </c>
      <c r="B183" t="s">
        <v>8295</v>
      </c>
    </row>
    <row r="184" spans="1:2" x14ac:dyDescent="0.25">
      <c r="A184" t="s">
        <v>8664</v>
      </c>
      <c r="B184" t="s">
        <v>8297</v>
      </c>
    </row>
    <row r="185" spans="1:2" x14ac:dyDescent="0.25">
      <c r="A185" t="s">
        <v>8642</v>
      </c>
      <c r="B185" t="s">
        <v>8297</v>
      </c>
    </row>
    <row r="186" spans="1:2" x14ac:dyDescent="0.25">
      <c r="A186" t="s">
        <v>8818</v>
      </c>
      <c r="B186" t="s">
        <v>8221</v>
      </c>
    </row>
    <row r="187" spans="1:2" x14ac:dyDescent="0.25">
      <c r="A187" t="s">
        <v>8316</v>
      </c>
      <c r="B187" t="s">
        <v>8392</v>
      </c>
    </row>
    <row r="188" spans="1:2" x14ac:dyDescent="0.25">
      <c r="A188" t="s">
        <v>8253</v>
      </c>
      <c r="B188" t="s">
        <v>8221</v>
      </c>
    </row>
    <row r="189" spans="1:2" x14ac:dyDescent="0.25">
      <c r="A189" t="s">
        <v>8923</v>
      </c>
      <c r="B189" t="s">
        <v>8462</v>
      </c>
    </row>
    <row r="190" spans="1:2" x14ac:dyDescent="0.25">
      <c r="A190" t="s">
        <v>8400</v>
      </c>
      <c r="B190" t="s">
        <v>8359</v>
      </c>
    </row>
    <row r="191" spans="1:2" x14ac:dyDescent="0.25">
      <c r="A191" t="s">
        <v>8205</v>
      </c>
      <c r="B191" t="s">
        <v>8717</v>
      </c>
    </row>
    <row r="192" spans="1:2" x14ac:dyDescent="0.25">
      <c r="A192" t="s">
        <v>8248</v>
      </c>
      <c r="B192" t="s">
        <v>8411</v>
      </c>
    </row>
    <row r="193" spans="1:2" x14ac:dyDescent="0.25">
      <c r="A193" t="s">
        <v>8287</v>
      </c>
      <c r="B193" t="s">
        <v>8316</v>
      </c>
    </row>
    <row r="194" spans="1:2" x14ac:dyDescent="0.25">
      <c r="A194" t="s">
        <v>8236</v>
      </c>
      <c r="B194" t="s">
        <v>8237</v>
      </c>
    </row>
    <row r="195" spans="1:2" x14ac:dyDescent="0.25">
      <c r="A195" t="s">
        <v>8367</v>
      </c>
      <c r="B195" t="s">
        <v>8284</v>
      </c>
    </row>
    <row r="196" spans="1:2" x14ac:dyDescent="0.25">
      <c r="A196" t="s">
        <v>8772</v>
      </c>
      <c r="B196" t="s">
        <v>8566</v>
      </c>
    </row>
    <row r="197" spans="1:2" x14ac:dyDescent="0.25">
      <c r="A197" t="s">
        <v>8810</v>
      </c>
      <c r="B197" t="s">
        <v>8297</v>
      </c>
    </row>
    <row r="198" spans="1:2" x14ac:dyDescent="0.25">
      <c r="A198" t="s">
        <v>8881</v>
      </c>
      <c r="B198" t="s">
        <v>8295</v>
      </c>
    </row>
    <row r="199" spans="1:2" x14ac:dyDescent="0.25">
      <c r="A199" t="s">
        <v>8974</v>
      </c>
      <c r="B199" t="s">
        <v>8295</v>
      </c>
    </row>
    <row r="200" spans="1:2" x14ac:dyDescent="0.25">
      <c r="A200" t="s">
        <v>8983</v>
      </c>
      <c r="B200" t="s">
        <v>8392</v>
      </c>
    </row>
    <row r="201" spans="1:2" x14ac:dyDescent="0.25">
      <c r="A201" t="s">
        <v>8511</v>
      </c>
      <c r="B201" t="s">
        <v>8255</v>
      </c>
    </row>
    <row r="202" spans="1:2" x14ac:dyDescent="0.25">
      <c r="A202" t="s">
        <v>8550</v>
      </c>
      <c r="B202" t="s">
        <v>8251</v>
      </c>
    </row>
    <row r="203" spans="1:2" x14ac:dyDescent="0.25">
      <c r="A203" t="s">
        <v>8900</v>
      </c>
      <c r="B203" t="s">
        <v>8221</v>
      </c>
    </row>
    <row r="204" spans="1:2" x14ac:dyDescent="0.25">
      <c r="A204" t="s">
        <v>8670</v>
      </c>
      <c r="B204" t="s">
        <v>8362</v>
      </c>
    </row>
    <row r="205" spans="1:2" x14ac:dyDescent="0.25">
      <c r="A205" t="s">
        <v>8794</v>
      </c>
      <c r="B205" t="s">
        <v>8566</v>
      </c>
    </row>
    <row r="206" spans="1:2" x14ac:dyDescent="0.25">
      <c r="A206" t="s">
        <v>8849</v>
      </c>
      <c r="B206" t="s">
        <v>8295</v>
      </c>
    </row>
    <row r="207" spans="1:2" x14ac:dyDescent="0.25">
      <c r="A207" t="s">
        <v>8960</v>
      </c>
      <c r="B207" t="s">
        <v>8284</v>
      </c>
    </row>
    <row r="208" spans="1:2" x14ac:dyDescent="0.25">
      <c r="A208" t="s">
        <v>8878</v>
      </c>
      <c r="B208" t="s">
        <v>8433</v>
      </c>
    </row>
    <row r="209" spans="1:2" x14ac:dyDescent="0.25">
      <c r="A209" t="s">
        <v>8823</v>
      </c>
      <c r="B209" t="s">
        <v>8215</v>
      </c>
    </row>
    <row r="210" spans="1:2" x14ac:dyDescent="0.25">
      <c r="A210" t="s">
        <v>8769</v>
      </c>
      <c r="B210" t="s">
        <v>8359</v>
      </c>
    </row>
    <row r="211" spans="1:2" x14ac:dyDescent="0.25">
      <c r="A211" t="s">
        <v>8775</v>
      </c>
      <c r="B211" t="s">
        <v>8295</v>
      </c>
    </row>
    <row r="212" spans="1:2" x14ac:dyDescent="0.25">
      <c r="A212" t="s">
        <v>8375</v>
      </c>
      <c r="B212" t="s">
        <v>8266</v>
      </c>
    </row>
    <row r="213" spans="1:2" x14ac:dyDescent="0.25">
      <c r="A213" t="s">
        <v>8265</v>
      </c>
      <c r="B213" t="s">
        <v>8566</v>
      </c>
    </row>
    <row r="214" spans="1:2" x14ac:dyDescent="0.25">
      <c r="A214" t="s">
        <v>8288</v>
      </c>
      <c r="B214" t="s">
        <v>8284</v>
      </c>
    </row>
    <row r="215" spans="1:2" x14ac:dyDescent="0.25">
      <c r="A215" t="s">
        <v>8584</v>
      </c>
      <c r="B215" t="s">
        <v>8559</v>
      </c>
    </row>
    <row r="216" spans="1:2" x14ac:dyDescent="0.25">
      <c r="A216" t="s">
        <v>8239</v>
      </c>
      <c r="B216" t="s">
        <v>8215</v>
      </c>
    </row>
    <row r="217" spans="1:2" x14ac:dyDescent="0.25">
      <c r="A217" t="s">
        <v>8437</v>
      </c>
      <c r="B217" t="s">
        <v>8403</v>
      </c>
    </row>
    <row r="218" spans="1:2" x14ac:dyDescent="0.25">
      <c r="A218" t="s">
        <v>8745</v>
      </c>
      <c r="B218" t="s">
        <v>8295</v>
      </c>
    </row>
    <row r="219" spans="1:2" x14ac:dyDescent="0.25">
      <c r="A219" t="s">
        <v>8469</v>
      </c>
      <c r="B219" t="s">
        <v>8403</v>
      </c>
    </row>
    <row r="220" spans="1:2" x14ac:dyDescent="0.25">
      <c r="A220" t="s">
        <v>8841</v>
      </c>
      <c r="B220" t="s">
        <v>8859</v>
      </c>
    </row>
    <row r="221" spans="1:2" x14ac:dyDescent="0.25">
      <c r="A221" t="s">
        <v>8740</v>
      </c>
      <c r="B221" t="s">
        <v>8328</v>
      </c>
    </row>
    <row r="222" spans="1:2" x14ac:dyDescent="0.25">
      <c r="A222" t="s">
        <v>8527</v>
      </c>
      <c r="B222" t="s">
        <v>8425</v>
      </c>
    </row>
    <row r="223" spans="1:2" x14ac:dyDescent="0.25">
      <c r="A223" t="s">
        <v>8806</v>
      </c>
      <c r="B223" t="s">
        <v>8433</v>
      </c>
    </row>
    <row r="224" spans="1:2" x14ac:dyDescent="0.25">
      <c r="A224" t="s">
        <v>8713</v>
      </c>
      <c r="B224" t="s">
        <v>8352</v>
      </c>
    </row>
    <row r="225" spans="1:2" x14ac:dyDescent="0.25">
      <c r="A225" t="s">
        <v>8665</v>
      </c>
      <c r="B225" t="s">
        <v>8237</v>
      </c>
    </row>
    <row r="226" spans="1:2" x14ac:dyDescent="0.25">
      <c r="A226" t="s">
        <v>8342</v>
      </c>
      <c r="B226" t="s">
        <v>8475</v>
      </c>
    </row>
    <row r="227" spans="1:2" x14ac:dyDescent="0.25">
      <c r="A227" t="s">
        <v>8491</v>
      </c>
      <c r="B227" t="s">
        <v>8237</v>
      </c>
    </row>
    <row r="228" spans="1:2" x14ac:dyDescent="0.25">
      <c r="A228" t="s">
        <v>8214</v>
      </c>
      <c r="B228" t="s">
        <v>8297</v>
      </c>
    </row>
    <row r="229" spans="1:2" x14ac:dyDescent="0.25">
      <c r="A229" t="s">
        <v>8891</v>
      </c>
      <c r="B229" t="s">
        <v>8237</v>
      </c>
    </row>
    <row r="230" spans="1:2" x14ac:dyDescent="0.25">
      <c r="A230" t="s">
        <v>8285</v>
      </c>
      <c r="B230" t="s">
        <v>8475</v>
      </c>
    </row>
    <row r="231" spans="1:2" x14ac:dyDescent="0.25">
      <c r="A231" t="s">
        <v>8495</v>
      </c>
      <c r="B231" t="s">
        <v>8475</v>
      </c>
    </row>
    <row r="232" spans="1:2" x14ac:dyDescent="0.25">
      <c r="A232" t="s">
        <v>8347</v>
      </c>
      <c r="B232" t="s">
        <v>8215</v>
      </c>
    </row>
    <row r="233" spans="1:2" x14ac:dyDescent="0.25">
      <c r="A233" t="s">
        <v>8491</v>
      </c>
      <c r="B233" t="s">
        <v>8237</v>
      </c>
    </row>
    <row r="234" spans="1:2" x14ac:dyDescent="0.25">
      <c r="A234" t="s">
        <v>8905</v>
      </c>
      <c r="B234" t="s">
        <v>8249</v>
      </c>
    </row>
    <row r="235" spans="1:2" x14ac:dyDescent="0.25">
      <c r="A235" t="s">
        <v>8257</v>
      </c>
      <c r="B235" t="s">
        <v>8237</v>
      </c>
    </row>
    <row r="236" spans="1:2" x14ac:dyDescent="0.25">
      <c r="A236" t="s">
        <v>8807</v>
      </c>
      <c r="B236" t="s">
        <v>8392</v>
      </c>
    </row>
    <row r="237" spans="1:2" x14ac:dyDescent="0.25">
      <c r="A237" t="s">
        <v>8214</v>
      </c>
      <c r="B237" t="s">
        <v>8297</v>
      </c>
    </row>
    <row r="238" spans="1:2" x14ac:dyDescent="0.25">
      <c r="A238" t="s">
        <v>8891</v>
      </c>
      <c r="B238" t="s">
        <v>8237</v>
      </c>
    </row>
    <row r="239" spans="1:2" x14ac:dyDescent="0.25">
      <c r="A239" t="s">
        <v>8715</v>
      </c>
      <c r="B239" t="s">
        <v>8392</v>
      </c>
    </row>
    <row r="240" spans="1:2" x14ac:dyDescent="0.25">
      <c r="A240" t="s">
        <v>8591</v>
      </c>
      <c r="B240" t="s">
        <v>8297</v>
      </c>
    </row>
    <row r="241" spans="1:2" x14ac:dyDescent="0.25">
      <c r="A241" t="s">
        <v>8383</v>
      </c>
      <c r="B241" t="s">
        <v>8566</v>
      </c>
    </row>
    <row r="242" spans="1:2" x14ac:dyDescent="0.25">
      <c r="A242" t="s">
        <v>8947</v>
      </c>
      <c r="B242" t="s">
        <v>8237</v>
      </c>
    </row>
    <row r="243" spans="1:2" x14ac:dyDescent="0.25">
      <c r="A243" t="s">
        <v>8415</v>
      </c>
      <c r="B243" t="s">
        <v>8237</v>
      </c>
    </row>
    <row r="244" spans="1:2" x14ac:dyDescent="0.25">
      <c r="A244" t="s">
        <v>8507</v>
      </c>
      <c r="B244" t="s">
        <v>8425</v>
      </c>
    </row>
    <row r="245" spans="1:2" x14ac:dyDescent="0.25">
      <c r="A245" t="s">
        <v>8481</v>
      </c>
      <c r="B245" t="s">
        <v>8359</v>
      </c>
    </row>
    <row r="246" spans="1:2" x14ac:dyDescent="0.25">
      <c r="A246" t="s">
        <v>8399</v>
      </c>
      <c r="B246" t="s">
        <v>8284</v>
      </c>
    </row>
    <row r="247" spans="1:2" x14ac:dyDescent="0.25">
      <c r="A247" t="s">
        <v>8711</v>
      </c>
      <c r="B247" t="s">
        <v>8417</v>
      </c>
    </row>
    <row r="248" spans="1:2" x14ac:dyDescent="0.25">
      <c r="A248" t="s">
        <v>8747</v>
      </c>
      <c r="B248" t="s">
        <v>8613</v>
      </c>
    </row>
    <row r="249" spans="1:2" x14ac:dyDescent="0.25">
      <c r="A249" t="s">
        <v>8749</v>
      </c>
      <c r="B249" t="s">
        <v>8717</v>
      </c>
    </row>
    <row r="250" spans="1:2" x14ac:dyDescent="0.25">
      <c r="A250" t="s">
        <v>8242</v>
      </c>
      <c r="B250" t="s">
        <v>8475</v>
      </c>
    </row>
    <row r="251" spans="1:2" x14ac:dyDescent="0.25">
      <c r="A251" t="s">
        <v>8919</v>
      </c>
      <c r="B251" t="s">
        <v>8328</v>
      </c>
    </row>
    <row r="252" spans="1:2" x14ac:dyDescent="0.25">
      <c r="A252" t="s">
        <v>8813</v>
      </c>
      <c r="B252" t="s">
        <v>8462</v>
      </c>
    </row>
    <row r="253" spans="1:2" x14ac:dyDescent="0.25">
      <c r="A253" t="s">
        <v>8746</v>
      </c>
      <c r="B253" t="s">
        <v>8297</v>
      </c>
    </row>
    <row r="254" spans="1:2" x14ac:dyDescent="0.25">
      <c r="A254" t="s">
        <v>8264</v>
      </c>
      <c r="B254" t="s">
        <v>8266</v>
      </c>
    </row>
    <row r="255" spans="1:2" x14ac:dyDescent="0.25">
      <c r="A255" t="s">
        <v>8892</v>
      </c>
      <c r="B255" t="s">
        <v>8417</v>
      </c>
    </row>
    <row r="256" spans="1:2" x14ac:dyDescent="0.25">
      <c r="A256" t="s">
        <v>8911</v>
      </c>
      <c r="B256" t="s">
        <v>8359</v>
      </c>
    </row>
    <row r="257" spans="1:2" x14ac:dyDescent="0.25">
      <c r="A257" t="s">
        <v>8529</v>
      </c>
      <c r="B257" t="s">
        <v>8237</v>
      </c>
    </row>
    <row r="258" spans="1:2" x14ac:dyDescent="0.25">
      <c r="A258" t="s">
        <v>8729</v>
      </c>
      <c r="B258" t="s">
        <v>8343</v>
      </c>
    </row>
    <row r="259" spans="1:2" x14ac:dyDescent="0.25">
      <c r="A259" t="s">
        <v>8834</v>
      </c>
      <c r="B259" t="s">
        <v>8295</v>
      </c>
    </row>
    <row r="260" spans="1:2" x14ac:dyDescent="0.25">
      <c r="A260" t="s">
        <v>8904</v>
      </c>
      <c r="B260" t="s">
        <v>8348</v>
      </c>
    </row>
    <row r="261" spans="1:2" x14ac:dyDescent="0.25">
      <c r="A261" t="s">
        <v>8869</v>
      </c>
      <c r="B261" t="s">
        <v>8328</v>
      </c>
    </row>
    <row r="262" spans="1:2" x14ac:dyDescent="0.25">
      <c r="A262" t="s">
        <v>8657</v>
      </c>
      <c r="B262" t="s">
        <v>8475</v>
      </c>
    </row>
    <row r="263" spans="1:2" x14ac:dyDescent="0.25">
      <c r="A263" t="s">
        <v>8958</v>
      </c>
      <c r="B263" t="s">
        <v>8316</v>
      </c>
    </row>
    <row r="264" spans="1:2" x14ac:dyDescent="0.25">
      <c r="A264" t="s">
        <v>8777</v>
      </c>
      <c r="B264" t="s">
        <v>8566</v>
      </c>
    </row>
    <row r="265" spans="1:2" x14ac:dyDescent="0.25">
      <c r="A265" t="s">
        <v>8354</v>
      </c>
      <c r="B265" t="s">
        <v>8237</v>
      </c>
    </row>
    <row r="266" spans="1:2" x14ac:dyDescent="0.25">
      <c r="A266" t="s">
        <v>8593</v>
      </c>
      <c r="B266" t="s">
        <v>8404</v>
      </c>
    </row>
    <row r="267" spans="1:2" x14ac:dyDescent="0.25">
      <c r="A267" t="s">
        <v>8664</v>
      </c>
      <c r="B267" t="s">
        <v>8297</v>
      </c>
    </row>
    <row r="268" spans="1:2" x14ac:dyDescent="0.25">
      <c r="A268" t="s">
        <v>8906</v>
      </c>
      <c r="B268" t="s">
        <v>8238</v>
      </c>
    </row>
    <row r="269" spans="1:2" x14ac:dyDescent="0.25">
      <c r="A269" t="s">
        <v>8327</v>
      </c>
      <c r="B269" t="s">
        <v>8237</v>
      </c>
    </row>
    <row r="270" spans="1:2" x14ac:dyDescent="0.25">
      <c r="A270" t="s">
        <v>8407</v>
      </c>
      <c r="B270" t="s">
        <v>8362</v>
      </c>
    </row>
    <row r="271" spans="1:2" x14ac:dyDescent="0.25">
      <c r="A271" t="s">
        <v>8444</v>
      </c>
      <c r="B271" t="s">
        <v>8297</v>
      </c>
    </row>
    <row r="272" spans="1:2" x14ac:dyDescent="0.25">
      <c r="A272" t="s">
        <v>8622</v>
      </c>
      <c r="B272" t="s">
        <v>8297</v>
      </c>
    </row>
    <row r="273" spans="1:2" x14ac:dyDescent="0.25">
      <c r="A273" t="s">
        <v>8932</v>
      </c>
      <c r="B273" t="s">
        <v>8566</v>
      </c>
    </row>
    <row r="274" spans="1:2" x14ac:dyDescent="0.25">
      <c r="A274" t="s">
        <v>8662</v>
      </c>
      <c r="B274" t="s">
        <v>8475</v>
      </c>
    </row>
    <row r="275" spans="1:2" x14ac:dyDescent="0.25">
      <c r="A275" t="s">
        <v>8539</v>
      </c>
      <c r="B275" t="s">
        <v>8717</v>
      </c>
    </row>
    <row r="276" spans="1:2" x14ac:dyDescent="0.25">
      <c r="A276" t="s">
        <v>8208</v>
      </c>
      <c r="B276" t="s">
        <v>8316</v>
      </c>
    </row>
    <row r="277" spans="1:2" x14ac:dyDescent="0.25">
      <c r="A277" t="s">
        <v>8626</v>
      </c>
      <c r="B277" t="s">
        <v>8425</v>
      </c>
    </row>
    <row r="278" spans="1:2" x14ac:dyDescent="0.25">
      <c r="A278" t="s">
        <v>8218</v>
      </c>
      <c r="B278" t="s">
        <v>8403</v>
      </c>
    </row>
    <row r="279" spans="1:2" x14ac:dyDescent="0.25">
      <c r="A279" t="s">
        <v>8235</v>
      </c>
      <c r="B279" t="s">
        <v>8403</v>
      </c>
    </row>
    <row r="280" spans="1:2" x14ac:dyDescent="0.25">
      <c r="A280" t="s">
        <v>8463</v>
      </c>
      <c r="B280" t="s">
        <v>8295</v>
      </c>
    </row>
    <row r="281" spans="1:2" x14ac:dyDescent="0.25">
      <c r="A281" t="s">
        <v>8653</v>
      </c>
      <c r="B281" t="s">
        <v>8359</v>
      </c>
    </row>
    <row r="282" spans="1:2" x14ac:dyDescent="0.25">
      <c r="A282" t="s">
        <v>8310</v>
      </c>
      <c r="B282" t="s">
        <v>8284</v>
      </c>
    </row>
    <row r="283" spans="1:2" x14ac:dyDescent="0.25">
      <c r="A283" t="s">
        <v>8706</v>
      </c>
      <c r="B283" t="s">
        <v>8237</v>
      </c>
    </row>
    <row r="284" spans="1:2" x14ac:dyDescent="0.25">
      <c r="A284" t="s">
        <v>8599</v>
      </c>
      <c r="B284" t="s">
        <v>8237</v>
      </c>
    </row>
    <row r="285" spans="1:2" x14ac:dyDescent="0.25">
      <c r="A285" t="s">
        <v>8749</v>
      </c>
      <c r="B285" t="s">
        <v>8492</v>
      </c>
    </row>
    <row r="286" spans="1:2" x14ac:dyDescent="0.25">
      <c r="A286" t="s">
        <v>8869</v>
      </c>
      <c r="B286" t="s">
        <v>8245</v>
      </c>
    </row>
    <row r="287" spans="1:2" x14ac:dyDescent="0.25">
      <c r="A287" t="s">
        <v>8878</v>
      </c>
      <c r="B287" t="s">
        <v>8433</v>
      </c>
    </row>
    <row r="288" spans="1:2" x14ac:dyDescent="0.25">
      <c r="A288" t="s">
        <v>8391</v>
      </c>
      <c r="B288" t="s">
        <v>8566</v>
      </c>
    </row>
    <row r="289" spans="1:2" x14ac:dyDescent="0.25">
      <c r="A289" t="s">
        <v>8574</v>
      </c>
      <c r="B289" t="s">
        <v>8425</v>
      </c>
    </row>
    <row r="290" spans="1:2" x14ac:dyDescent="0.25">
      <c r="A290" t="s">
        <v>8596</v>
      </c>
      <c r="B290" t="s">
        <v>8670</v>
      </c>
    </row>
    <row r="291" spans="1:2" x14ac:dyDescent="0.25">
      <c r="A291" t="s">
        <v>8506</v>
      </c>
      <c r="B291" t="s">
        <v>8566</v>
      </c>
    </row>
    <row r="292" spans="1:2" x14ac:dyDescent="0.25">
      <c r="A292" t="s">
        <v>8442</v>
      </c>
      <c r="B292" t="s">
        <v>8670</v>
      </c>
    </row>
    <row r="293" spans="1:2" x14ac:dyDescent="0.25">
      <c r="A293" t="s">
        <v>8331</v>
      </c>
      <c r="B293" t="s">
        <v>8284</v>
      </c>
    </row>
    <row r="294" spans="1:2" x14ac:dyDescent="0.25">
      <c r="A294" t="s">
        <v>8309</v>
      </c>
      <c r="B294" t="s">
        <v>8237</v>
      </c>
    </row>
    <row r="295" spans="1:2" x14ac:dyDescent="0.25">
      <c r="A295" t="s">
        <v>8471</v>
      </c>
      <c r="B295" t="s">
        <v>8215</v>
      </c>
    </row>
    <row r="296" spans="1:2" x14ac:dyDescent="0.25">
      <c r="A296" t="s">
        <v>8443</v>
      </c>
      <c r="B296" t="s">
        <v>8215</v>
      </c>
    </row>
    <row r="297" spans="1:2" x14ac:dyDescent="0.25">
      <c r="A297" t="s">
        <v>8366</v>
      </c>
      <c r="B297" t="s">
        <v>8215</v>
      </c>
    </row>
    <row r="298" spans="1:2" x14ac:dyDescent="0.25">
      <c r="A298" t="s">
        <v>8479</v>
      </c>
      <c r="B298" t="s">
        <v>8237</v>
      </c>
    </row>
    <row r="299" spans="1:2" x14ac:dyDescent="0.25">
      <c r="A299" t="s">
        <v>8603</v>
      </c>
      <c r="B299" t="s">
        <v>8284</v>
      </c>
    </row>
    <row r="300" spans="1:2" x14ac:dyDescent="0.25">
      <c r="A300" t="s">
        <v>8884</v>
      </c>
      <c r="B300" t="s">
        <v>8492</v>
      </c>
    </row>
    <row r="301" spans="1:2" x14ac:dyDescent="0.25">
      <c r="A301" t="s">
        <v>8935</v>
      </c>
      <c r="B301" t="s">
        <v>8237</v>
      </c>
    </row>
    <row r="302" spans="1:2" x14ac:dyDescent="0.25">
      <c r="A302" t="s">
        <v>8795</v>
      </c>
      <c r="B302" t="s">
        <v>8417</v>
      </c>
    </row>
    <row r="303" spans="1:2" x14ac:dyDescent="0.25">
      <c r="A303" t="s">
        <v>8887</v>
      </c>
      <c r="B303" t="s">
        <v>8295</v>
      </c>
    </row>
    <row r="304" spans="1:2" x14ac:dyDescent="0.25">
      <c r="A304" t="s">
        <v>8641</v>
      </c>
      <c r="B304" t="s">
        <v>8284</v>
      </c>
    </row>
    <row r="305" spans="1:2" x14ac:dyDescent="0.25">
      <c r="A305" t="s">
        <v>8962</v>
      </c>
      <c r="B305" t="s">
        <v>8328</v>
      </c>
    </row>
    <row r="306" spans="1:2" x14ac:dyDescent="0.25">
      <c r="A306" t="s">
        <v>8266</v>
      </c>
      <c r="B306" t="s">
        <v>8566</v>
      </c>
    </row>
    <row r="307" spans="1:2" x14ac:dyDescent="0.25">
      <c r="A307" t="s">
        <v>8747</v>
      </c>
      <c r="B307" t="s">
        <v>8403</v>
      </c>
    </row>
    <row r="308" spans="1:2" x14ac:dyDescent="0.25">
      <c r="A308" t="s">
        <v>8420</v>
      </c>
      <c r="B308" t="s">
        <v>8566</v>
      </c>
    </row>
    <row r="309" spans="1:2" x14ac:dyDescent="0.25">
      <c r="A309" t="s">
        <v>8231</v>
      </c>
      <c r="B309" t="s">
        <v>8237</v>
      </c>
    </row>
    <row r="310" spans="1:2" x14ac:dyDescent="0.25">
      <c r="A310" t="s">
        <v>8602</v>
      </c>
      <c r="B310" t="s">
        <v>8237</v>
      </c>
    </row>
    <row r="311" spans="1:2" x14ac:dyDescent="0.25">
      <c r="A311" t="s">
        <v>8979</v>
      </c>
      <c r="B311" t="s">
        <v>8859</v>
      </c>
    </row>
    <row r="312" spans="1:2" x14ac:dyDescent="0.25">
      <c r="A312" t="s">
        <v>8349</v>
      </c>
      <c r="B312" t="s">
        <v>8245</v>
      </c>
    </row>
    <row r="313" spans="1:2" x14ac:dyDescent="0.25">
      <c r="A313" t="s">
        <v>8683</v>
      </c>
      <c r="B313" t="s">
        <v>8364</v>
      </c>
    </row>
    <row r="314" spans="1:2" x14ac:dyDescent="0.25">
      <c r="A314" t="s">
        <v>8976</v>
      </c>
      <c r="B314" t="s">
        <v>8425</v>
      </c>
    </row>
    <row r="315" spans="1:2" x14ac:dyDescent="0.25">
      <c r="A315" t="s">
        <v>8958</v>
      </c>
      <c r="B315" t="s">
        <v>8316</v>
      </c>
    </row>
    <row r="316" spans="1:2" x14ac:dyDescent="0.25">
      <c r="A316" t="s">
        <v>8521</v>
      </c>
      <c r="B316" t="s">
        <v>8352</v>
      </c>
    </row>
    <row r="317" spans="1:2" x14ac:dyDescent="0.25">
      <c r="A317" t="s">
        <v>8211</v>
      </c>
      <c r="B317" t="s">
        <v>8670</v>
      </c>
    </row>
    <row r="318" spans="1:2" x14ac:dyDescent="0.25">
      <c r="A318" t="s">
        <v>8728</v>
      </c>
      <c r="B318" t="s">
        <v>8237</v>
      </c>
    </row>
    <row r="319" spans="1:2" x14ac:dyDescent="0.25">
      <c r="A319" t="s">
        <v>8579</v>
      </c>
      <c r="B319" t="s">
        <v>8403</v>
      </c>
    </row>
    <row r="320" spans="1:2" x14ac:dyDescent="0.25">
      <c r="A320" t="s">
        <v>8457</v>
      </c>
      <c r="B320" t="s">
        <v>8403</v>
      </c>
    </row>
    <row r="321" spans="1:2" x14ac:dyDescent="0.25">
      <c r="A321" t="s">
        <v>8522</v>
      </c>
      <c r="B321" t="s">
        <v>8859</v>
      </c>
    </row>
    <row r="322" spans="1:2" x14ac:dyDescent="0.25">
      <c r="A322" t="s">
        <v>8854</v>
      </c>
      <c r="B322" t="s">
        <v>8475</v>
      </c>
    </row>
    <row r="323" spans="1:2" x14ac:dyDescent="0.25">
      <c r="A323" t="s">
        <v>8208</v>
      </c>
      <c r="B323" t="s">
        <v>8316</v>
      </c>
    </row>
    <row r="324" spans="1:2" x14ac:dyDescent="0.25">
      <c r="A324" t="s">
        <v>8610</v>
      </c>
      <c r="B324" t="s">
        <v>8566</v>
      </c>
    </row>
    <row r="325" spans="1:2" x14ac:dyDescent="0.25">
      <c r="A325" t="s">
        <v>8606</v>
      </c>
      <c r="B325" t="s">
        <v>8221</v>
      </c>
    </row>
    <row r="326" spans="1:2" x14ac:dyDescent="0.25">
      <c r="A326" t="s">
        <v>8965</v>
      </c>
      <c r="B326" t="s">
        <v>8859</v>
      </c>
    </row>
    <row r="327" spans="1:2" x14ac:dyDescent="0.25">
      <c r="A327" t="s">
        <v>8896</v>
      </c>
      <c r="B327" t="s">
        <v>8417</v>
      </c>
    </row>
    <row r="328" spans="1:2" x14ac:dyDescent="0.25">
      <c r="A328" t="s">
        <v>8607</v>
      </c>
      <c r="B328" t="s">
        <v>8343</v>
      </c>
    </row>
    <row r="329" spans="1:2" x14ac:dyDescent="0.25">
      <c r="A329" t="s">
        <v>8894</v>
      </c>
      <c r="B329" t="s">
        <v>8403</v>
      </c>
    </row>
    <row r="330" spans="1:2" x14ac:dyDescent="0.25">
      <c r="A330" t="s">
        <v>8695</v>
      </c>
      <c r="B330" t="s">
        <v>8670</v>
      </c>
    </row>
    <row r="331" spans="1:2" x14ac:dyDescent="0.25">
      <c r="A331" t="s">
        <v>8806</v>
      </c>
      <c r="B331" t="s">
        <v>8433</v>
      </c>
    </row>
    <row r="332" spans="1:2" x14ac:dyDescent="0.25">
      <c r="A332" t="s">
        <v>8933</v>
      </c>
      <c r="B332" t="s">
        <v>8215</v>
      </c>
    </row>
    <row r="333" spans="1:2" x14ac:dyDescent="0.25">
      <c r="A333" t="s">
        <v>8269</v>
      </c>
      <c r="B333" t="s">
        <v>8403</v>
      </c>
    </row>
    <row r="334" spans="1:2" x14ac:dyDescent="0.25">
      <c r="A334" t="s">
        <v>8864</v>
      </c>
      <c r="B334" t="s">
        <v>8259</v>
      </c>
    </row>
    <row r="335" spans="1:2" x14ac:dyDescent="0.25">
      <c r="A335" t="s">
        <v>8523</v>
      </c>
      <c r="B335" t="s">
        <v>8250</v>
      </c>
    </row>
    <row r="336" spans="1:2" x14ac:dyDescent="0.25">
      <c r="A336" t="s">
        <v>8968</v>
      </c>
      <c r="B336" t="s">
        <v>8316</v>
      </c>
    </row>
    <row r="337" spans="1:2" x14ac:dyDescent="0.25">
      <c r="A337" t="s">
        <v>8445</v>
      </c>
      <c r="B337" t="s">
        <v>8332</v>
      </c>
    </row>
    <row r="338" spans="1:2" x14ac:dyDescent="0.25">
      <c r="A338" t="s">
        <v>8840</v>
      </c>
      <c r="B338" t="s">
        <v>8859</v>
      </c>
    </row>
    <row r="339" spans="1:2" x14ac:dyDescent="0.25">
      <c r="A339" t="s">
        <v>8908</v>
      </c>
      <c r="B339" t="s">
        <v>8492</v>
      </c>
    </row>
    <row r="340" spans="1:2" x14ac:dyDescent="0.25">
      <c r="A340" t="s">
        <v>8643</v>
      </c>
      <c r="B340" t="s">
        <v>8316</v>
      </c>
    </row>
    <row r="341" spans="1:2" x14ac:dyDescent="0.25">
      <c r="A341" t="s">
        <v>8207</v>
      </c>
      <c r="B341" t="s">
        <v>8859</v>
      </c>
    </row>
    <row r="342" spans="1:2" x14ac:dyDescent="0.25">
      <c r="A342" t="s">
        <v>8592</v>
      </c>
      <c r="B342" t="s">
        <v>8215</v>
      </c>
    </row>
    <row r="343" spans="1:2" x14ac:dyDescent="0.25">
      <c r="A343" t="s">
        <v>8518</v>
      </c>
      <c r="B343" t="s">
        <v>8215</v>
      </c>
    </row>
    <row r="344" spans="1:2" x14ac:dyDescent="0.25">
      <c r="A344" t="s">
        <v>8676</v>
      </c>
      <c r="B344" t="s">
        <v>8566</v>
      </c>
    </row>
    <row r="345" spans="1:2" x14ac:dyDescent="0.25">
      <c r="A345" t="s">
        <v>8659</v>
      </c>
      <c r="B345" t="s">
        <v>8566</v>
      </c>
    </row>
    <row r="346" spans="1:2" x14ac:dyDescent="0.25">
      <c r="A346" t="s">
        <v>8323</v>
      </c>
      <c r="B346" t="s">
        <v>8295</v>
      </c>
    </row>
    <row r="347" spans="1:2" x14ac:dyDescent="0.25">
      <c r="A347" t="s">
        <v>8714</v>
      </c>
      <c r="B347" t="s">
        <v>8566</v>
      </c>
    </row>
    <row r="348" spans="1:2" x14ac:dyDescent="0.25">
      <c r="A348" t="s">
        <v>8465</v>
      </c>
      <c r="B348" t="s">
        <v>8237</v>
      </c>
    </row>
    <row r="349" spans="1:2" x14ac:dyDescent="0.25">
      <c r="A349" t="s">
        <v>8458</v>
      </c>
      <c r="B349" t="s">
        <v>8566</v>
      </c>
    </row>
    <row r="350" spans="1:2" x14ac:dyDescent="0.25">
      <c r="A350" t="s">
        <v>8760</v>
      </c>
      <c r="B350" t="s">
        <v>8859</v>
      </c>
    </row>
    <row r="351" spans="1:2" x14ac:dyDescent="0.25">
      <c r="A351" t="s">
        <v>8612</v>
      </c>
      <c r="B351" t="s">
        <v>8403</v>
      </c>
    </row>
    <row r="352" spans="1:2" x14ac:dyDescent="0.25">
      <c r="A352" t="s">
        <v>8907</v>
      </c>
      <c r="B352" t="s">
        <v>8348</v>
      </c>
    </row>
    <row r="353" spans="1:2" x14ac:dyDescent="0.25">
      <c r="A353" t="s">
        <v>8789</v>
      </c>
      <c r="B353" t="s">
        <v>8392</v>
      </c>
    </row>
    <row r="354" spans="1:2" x14ac:dyDescent="0.25">
      <c r="A354" t="s">
        <v>8981</v>
      </c>
      <c r="B354" t="s">
        <v>8237</v>
      </c>
    </row>
    <row r="355" spans="1:2" x14ac:dyDescent="0.25">
      <c r="A355" t="s">
        <v>8551</v>
      </c>
      <c r="B355" t="s">
        <v>8237</v>
      </c>
    </row>
    <row r="356" spans="1:2" x14ac:dyDescent="0.25">
      <c r="A356" t="s">
        <v>8952</v>
      </c>
      <c r="B356" t="s">
        <v>8297</v>
      </c>
    </row>
    <row r="357" spans="1:2" x14ac:dyDescent="0.25">
      <c r="A357" t="s">
        <v>8244</v>
      </c>
      <c r="B357" t="s">
        <v>8566</v>
      </c>
    </row>
    <row r="358" spans="1:2" x14ac:dyDescent="0.25">
      <c r="A358" t="s">
        <v>8378</v>
      </c>
      <c r="B358" t="s">
        <v>8403</v>
      </c>
    </row>
    <row r="359" spans="1:2" x14ac:dyDescent="0.25">
      <c r="A359" t="s">
        <v>8521</v>
      </c>
      <c r="B359" t="s">
        <v>8352</v>
      </c>
    </row>
    <row r="360" spans="1:2" x14ac:dyDescent="0.25">
      <c r="A360" t="s">
        <v>8946</v>
      </c>
      <c r="B360" t="s">
        <v>8295</v>
      </c>
    </row>
    <row r="361" spans="1:2" x14ac:dyDescent="0.25">
      <c r="A361" t="s">
        <v>8369</v>
      </c>
      <c r="B361" t="s">
        <v>8566</v>
      </c>
    </row>
    <row r="362" spans="1:2" x14ac:dyDescent="0.25">
      <c r="A362" t="s">
        <v>8278</v>
      </c>
      <c r="B362" t="s">
        <v>8566</v>
      </c>
    </row>
    <row r="363" spans="1:2" x14ac:dyDescent="0.25">
      <c r="A363" t="s">
        <v>8497</v>
      </c>
      <c r="B363" t="s">
        <v>8403</v>
      </c>
    </row>
    <row r="364" spans="1:2" x14ac:dyDescent="0.25">
      <c r="A364" t="s">
        <v>8919</v>
      </c>
      <c r="B364" t="s">
        <v>8492</v>
      </c>
    </row>
    <row r="365" spans="1:2" x14ac:dyDescent="0.25">
      <c r="A365" t="s">
        <v>8275</v>
      </c>
      <c r="B365" t="s">
        <v>8403</v>
      </c>
    </row>
    <row r="366" spans="1:2" x14ac:dyDescent="0.25">
      <c r="A366" t="s">
        <v>8239</v>
      </c>
      <c r="B366" t="s">
        <v>8215</v>
      </c>
    </row>
    <row r="367" spans="1:2" x14ac:dyDescent="0.25">
      <c r="A367" t="s">
        <v>8582</v>
      </c>
      <c r="B367" t="s">
        <v>8403</v>
      </c>
    </row>
    <row r="368" spans="1:2" x14ac:dyDescent="0.25">
      <c r="A368" t="s">
        <v>8538</v>
      </c>
      <c r="B368" t="s">
        <v>8297</v>
      </c>
    </row>
    <row r="369" spans="1:2" x14ac:dyDescent="0.25">
      <c r="A369" t="s">
        <v>8782</v>
      </c>
      <c r="B369" t="s">
        <v>8403</v>
      </c>
    </row>
    <row r="370" spans="1:2" x14ac:dyDescent="0.25">
      <c r="A370" t="s">
        <v>8648</v>
      </c>
      <c r="B370" t="s">
        <v>8343</v>
      </c>
    </row>
    <row r="371" spans="1:2" x14ac:dyDescent="0.25">
      <c r="A371" t="s">
        <v>8784</v>
      </c>
      <c r="B371" t="s">
        <v>8403</v>
      </c>
    </row>
    <row r="372" spans="1:2" x14ac:dyDescent="0.25">
      <c r="A372" t="s">
        <v>8856</v>
      </c>
      <c r="B372" t="s">
        <v>8392</v>
      </c>
    </row>
    <row r="373" spans="1:2" x14ac:dyDescent="0.25">
      <c r="A373" t="s">
        <v>8628</v>
      </c>
      <c r="B373" t="s">
        <v>8670</v>
      </c>
    </row>
    <row r="374" spans="1:2" x14ac:dyDescent="0.25">
      <c r="A374" t="s">
        <v>8334</v>
      </c>
      <c r="B374" t="s">
        <v>8284</v>
      </c>
    </row>
    <row r="375" spans="1:2" x14ac:dyDescent="0.25">
      <c r="A375" t="s">
        <v>8821</v>
      </c>
      <c r="B375" t="s">
        <v>8498</v>
      </c>
    </row>
    <row r="376" spans="1:2" x14ac:dyDescent="0.25">
      <c r="A376" t="s">
        <v>8524</v>
      </c>
      <c r="B376" t="s">
        <v>8566</v>
      </c>
    </row>
    <row r="377" spans="1:2" x14ac:dyDescent="0.25">
      <c r="A377" t="s">
        <v>8452</v>
      </c>
      <c r="B377" t="s">
        <v>8613</v>
      </c>
    </row>
    <row r="378" spans="1:2" x14ac:dyDescent="0.25">
      <c r="A378" t="s">
        <v>8577</v>
      </c>
      <c r="B378" t="s">
        <v>8566</v>
      </c>
    </row>
    <row r="379" spans="1:2" x14ac:dyDescent="0.25">
      <c r="A379" t="s">
        <v>8576</v>
      </c>
      <c r="B379" t="s">
        <v>8670</v>
      </c>
    </row>
    <row r="380" spans="1:2" x14ac:dyDescent="0.25">
      <c r="A380" t="s">
        <v>8663</v>
      </c>
      <c r="B380" t="s">
        <v>8392</v>
      </c>
    </row>
    <row r="381" spans="1:2" x14ac:dyDescent="0.25">
      <c r="A381" t="s">
        <v>8500</v>
      </c>
      <c r="B381" t="s">
        <v>8403</v>
      </c>
    </row>
    <row r="382" spans="1:2" x14ac:dyDescent="0.25">
      <c r="A382" t="s">
        <v>8400</v>
      </c>
      <c r="B382" t="s">
        <v>8498</v>
      </c>
    </row>
    <row r="383" spans="1:2" x14ac:dyDescent="0.25">
      <c r="A383" t="s">
        <v>8886</v>
      </c>
      <c r="B383" t="s">
        <v>8433</v>
      </c>
    </row>
    <row r="384" spans="1:2" x14ac:dyDescent="0.25">
      <c r="A384" t="s">
        <v>8738</v>
      </c>
      <c r="B384" t="s">
        <v>8259</v>
      </c>
    </row>
    <row r="385" spans="1:2" x14ac:dyDescent="0.25">
      <c r="A385" t="s">
        <v>8544</v>
      </c>
      <c r="B385" t="s">
        <v>8392</v>
      </c>
    </row>
    <row r="386" spans="1:2" x14ac:dyDescent="0.25">
      <c r="A386" t="s">
        <v>8276</v>
      </c>
      <c r="B386" t="s">
        <v>8475</v>
      </c>
    </row>
    <row r="387" spans="1:2" x14ac:dyDescent="0.25">
      <c r="A387" t="s">
        <v>8246</v>
      </c>
      <c r="B387" t="s">
        <v>8475</v>
      </c>
    </row>
    <row r="388" spans="1:2" x14ac:dyDescent="0.25">
      <c r="A388" t="s">
        <v>8719</v>
      </c>
      <c r="B388" t="s">
        <v>8237</v>
      </c>
    </row>
    <row r="389" spans="1:2" x14ac:dyDescent="0.25">
      <c r="A389" t="s">
        <v>8327</v>
      </c>
      <c r="B389" t="s">
        <v>8475</v>
      </c>
    </row>
    <row r="390" spans="1:2" x14ac:dyDescent="0.25">
      <c r="A390" t="s">
        <v>8501</v>
      </c>
      <c r="B390" t="s">
        <v>8297</v>
      </c>
    </row>
    <row r="391" spans="1:2" x14ac:dyDescent="0.25">
      <c r="A391" t="s">
        <v>8453</v>
      </c>
      <c r="B391" t="s">
        <v>8295</v>
      </c>
    </row>
    <row r="392" spans="1:2" x14ac:dyDescent="0.25">
      <c r="A392" t="s">
        <v>8466</v>
      </c>
      <c r="B392" t="s">
        <v>8717</v>
      </c>
    </row>
    <row r="393" spans="1:2" x14ac:dyDescent="0.25">
      <c r="A393" t="s">
        <v>8405</v>
      </c>
      <c r="B393" t="s">
        <v>8462</v>
      </c>
    </row>
    <row r="394" spans="1:2" x14ac:dyDescent="0.25">
      <c r="A394" t="s">
        <v>8279</v>
      </c>
      <c r="B394" t="s">
        <v>8403</v>
      </c>
    </row>
    <row r="395" spans="1:2" x14ac:dyDescent="0.25">
      <c r="A395" t="s">
        <v>8600</v>
      </c>
      <c r="B395" t="s">
        <v>8566</v>
      </c>
    </row>
    <row r="396" spans="1:2" x14ac:dyDescent="0.25">
      <c r="A396" t="s">
        <v>8674</v>
      </c>
      <c r="B396" t="s">
        <v>8475</v>
      </c>
    </row>
    <row r="397" spans="1:2" x14ac:dyDescent="0.25">
      <c r="A397" t="s">
        <v>8889</v>
      </c>
      <c r="B397" t="s">
        <v>8259</v>
      </c>
    </row>
    <row r="398" spans="1:2" x14ac:dyDescent="0.25">
      <c r="A398" t="s">
        <v>8496</v>
      </c>
      <c r="B398" t="s">
        <v>8295</v>
      </c>
    </row>
    <row r="399" spans="1:2" x14ac:dyDescent="0.25">
      <c r="A399" t="s">
        <v>8991</v>
      </c>
      <c r="B399" t="s">
        <v>8343</v>
      </c>
    </row>
    <row r="400" spans="1:2" x14ac:dyDescent="0.25">
      <c r="A400" t="s">
        <v>8916</v>
      </c>
      <c r="B400" t="s">
        <v>8475</v>
      </c>
    </row>
    <row r="401" spans="1:2" x14ac:dyDescent="0.25">
      <c r="A401" t="s">
        <v>8892</v>
      </c>
      <c r="B401" t="s">
        <v>8362</v>
      </c>
    </row>
    <row r="402" spans="1:2" x14ac:dyDescent="0.25">
      <c r="A402" t="s">
        <v>8594</v>
      </c>
      <c r="B402" t="s">
        <v>8475</v>
      </c>
    </row>
    <row r="403" spans="1:2" x14ac:dyDescent="0.25">
      <c r="A403" t="s">
        <v>8805</v>
      </c>
      <c r="B403" t="s">
        <v>8475</v>
      </c>
    </row>
    <row r="404" spans="1:2" x14ac:dyDescent="0.25">
      <c r="A404" t="s">
        <v>8309</v>
      </c>
      <c r="B404" t="s">
        <v>8475</v>
      </c>
    </row>
    <row r="405" spans="1:2" x14ac:dyDescent="0.25">
      <c r="A405" t="s">
        <v>8976</v>
      </c>
      <c r="B405" t="s">
        <v>8250</v>
      </c>
    </row>
    <row r="406" spans="1:2" x14ac:dyDescent="0.25">
      <c r="A406" t="s">
        <v>8711</v>
      </c>
      <c r="B406" t="s">
        <v>8417</v>
      </c>
    </row>
    <row r="407" spans="1:2" x14ac:dyDescent="0.25">
      <c r="A407" t="s">
        <v>8368</v>
      </c>
      <c r="B407" t="s">
        <v>8670</v>
      </c>
    </row>
    <row r="408" spans="1:2" x14ac:dyDescent="0.25">
      <c r="A408" t="s">
        <v>8825</v>
      </c>
      <c r="B408" t="s">
        <v>8221</v>
      </c>
    </row>
    <row r="409" spans="1:2" x14ac:dyDescent="0.25">
      <c r="A409" t="s">
        <v>8332</v>
      </c>
      <c r="B409" t="s">
        <v>8343</v>
      </c>
    </row>
    <row r="410" spans="1:2" x14ac:dyDescent="0.25">
      <c r="A410" t="s">
        <v>8441</v>
      </c>
      <c r="B410" t="s">
        <v>8717</v>
      </c>
    </row>
    <row r="411" spans="1:2" x14ac:dyDescent="0.25">
      <c r="A411" t="s">
        <v>8828</v>
      </c>
      <c r="B411" t="s">
        <v>8259</v>
      </c>
    </row>
    <row r="412" spans="1:2" x14ac:dyDescent="0.25">
      <c r="A412" t="s">
        <v>8418</v>
      </c>
      <c r="B412" t="s">
        <v>8498</v>
      </c>
    </row>
    <row r="413" spans="1:2" x14ac:dyDescent="0.25">
      <c r="A413" t="s">
        <v>8922</v>
      </c>
      <c r="B413" t="s">
        <v>8359</v>
      </c>
    </row>
    <row r="414" spans="1:2" x14ac:dyDescent="0.25">
      <c r="A414" t="s">
        <v>8774</v>
      </c>
      <c r="B414" t="s">
        <v>8316</v>
      </c>
    </row>
    <row r="415" spans="1:2" x14ac:dyDescent="0.25">
      <c r="A415" t="s">
        <v>8655</v>
      </c>
      <c r="B415" t="s">
        <v>8297</v>
      </c>
    </row>
    <row r="416" spans="1:2" x14ac:dyDescent="0.25">
      <c r="A416" t="s">
        <v>8263</v>
      </c>
      <c r="B416" t="s">
        <v>8566</v>
      </c>
    </row>
    <row r="417" spans="1:2" x14ac:dyDescent="0.25">
      <c r="A417" t="s">
        <v>8920</v>
      </c>
      <c r="B417" t="s">
        <v>8475</v>
      </c>
    </row>
    <row r="418" spans="1:2" x14ac:dyDescent="0.25">
      <c r="A418" t="s">
        <v>8230</v>
      </c>
      <c r="B418" t="s">
        <v>8392</v>
      </c>
    </row>
    <row r="419" spans="1:2" x14ac:dyDescent="0.25">
      <c r="A419" t="s">
        <v>8520</v>
      </c>
      <c r="B419" t="s">
        <v>8316</v>
      </c>
    </row>
    <row r="420" spans="1:2" x14ac:dyDescent="0.25">
      <c r="A420" t="s">
        <v>8502</v>
      </c>
      <c r="B420" t="s">
        <v>8425</v>
      </c>
    </row>
    <row r="421" spans="1:2" x14ac:dyDescent="0.25">
      <c r="A421" t="s">
        <v>8609</v>
      </c>
      <c r="B421" t="s">
        <v>8284</v>
      </c>
    </row>
    <row r="422" spans="1:2" x14ac:dyDescent="0.25">
      <c r="A422" t="s">
        <v>8770</v>
      </c>
      <c r="B422" t="s">
        <v>8403</v>
      </c>
    </row>
    <row r="423" spans="1:2" x14ac:dyDescent="0.25">
      <c r="A423" t="s">
        <v>8733</v>
      </c>
      <c r="B423" t="s">
        <v>8343</v>
      </c>
    </row>
    <row r="424" spans="1:2" x14ac:dyDescent="0.25">
      <c r="A424" t="s">
        <v>8804</v>
      </c>
      <c r="B424" t="s">
        <v>8348</v>
      </c>
    </row>
    <row r="425" spans="1:2" x14ac:dyDescent="0.25">
      <c r="A425" t="s">
        <v>8519</v>
      </c>
      <c r="B425" t="s">
        <v>8352</v>
      </c>
    </row>
    <row r="426" spans="1:2" x14ac:dyDescent="0.25">
      <c r="A426" t="s">
        <v>8569</v>
      </c>
      <c r="B426" t="s">
        <v>8964</v>
      </c>
    </row>
    <row r="427" spans="1:2" x14ac:dyDescent="0.25">
      <c r="A427" t="s">
        <v>8732</v>
      </c>
      <c r="B427" t="s">
        <v>8392</v>
      </c>
    </row>
    <row r="428" spans="1:2" x14ac:dyDescent="0.25">
      <c r="A428" t="s">
        <v>8680</v>
      </c>
      <c r="B428" t="s">
        <v>8245</v>
      </c>
    </row>
    <row r="429" spans="1:2" x14ac:dyDescent="0.25">
      <c r="A429" t="s">
        <v>8963</v>
      </c>
      <c r="B429" t="s">
        <v>8475</v>
      </c>
    </row>
    <row r="430" spans="1:2" x14ac:dyDescent="0.25">
      <c r="A430" t="s">
        <v>8372</v>
      </c>
      <c r="B430" t="s">
        <v>8403</v>
      </c>
    </row>
    <row r="431" spans="1:2" x14ac:dyDescent="0.25">
      <c r="A431" t="s">
        <v>8298</v>
      </c>
      <c r="B431" t="s">
        <v>8566</v>
      </c>
    </row>
    <row r="432" spans="1:2" x14ac:dyDescent="0.25">
      <c r="A432" t="s">
        <v>8800</v>
      </c>
      <c r="B432" t="s">
        <v>8613</v>
      </c>
    </row>
    <row r="433" spans="1:2" x14ac:dyDescent="0.25">
      <c r="A433" t="s">
        <v>8286</v>
      </c>
      <c r="B433" t="s">
        <v>8403</v>
      </c>
    </row>
    <row r="434" spans="1:2" x14ac:dyDescent="0.25">
      <c r="A434" t="s">
        <v>8581</v>
      </c>
      <c r="B434" t="s">
        <v>8689</v>
      </c>
    </row>
    <row r="435" spans="1:2" x14ac:dyDescent="0.25">
      <c r="A435" t="s">
        <v>8307</v>
      </c>
      <c r="B435" t="s">
        <v>8250</v>
      </c>
    </row>
    <row r="436" spans="1:2" x14ac:dyDescent="0.25">
      <c r="A436" t="s">
        <v>8424</v>
      </c>
      <c r="B436" t="s">
        <v>8343</v>
      </c>
    </row>
    <row r="437" spans="1:2" x14ac:dyDescent="0.25">
      <c r="A437" t="s">
        <v>8801</v>
      </c>
      <c r="B437" t="s">
        <v>8566</v>
      </c>
    </row>
    <row r="438" spans="1:2" x14ac:dyDescent="0.25">
      <c r="A438" t="s">
        <v>8329</v>
      </c>
      <c r="B438" t="s">
        <v>8670</v>
      </c>
    </row>
    <row r="439" spans="1:2" x14ac:dyDescent="0.25">
      <c r="A439" t="s">
        <v>8821</v>
      </c>
      <c r="B439" t="s">
        <v>8566</v>
      </c>
    </row>
    <row r="440" spans="1:2" x14ac:dyDescent="0.25">
      <c r="A440" t="s">
        <v>8625</v>
      </c>
      <c r="B440" t="s">
        <v>8237</v>
      </c>
    </row>
    <row r="441" spans="1:2" x14ac:dyDescent="0.25">
      <c r="A441" t="s">
        <v>8400</v>
      </c>
      <c r="B441" t="s">
        <v>8498</v>
      </c>
    </row>
    <row r="442" spans="1:2" x14ac:dyDescent="0.25">
      <c r="A442" t="s">
        <v>8799</v>
      </c>
      <c r="B442" t="s">
        <v>8492</v>
      </c>
    </row>
    <row r="443" spans="1:2" x14ac:dyDescent="0.25">
      <c r="A443" t="s">
        <v>8654</v>
      </c>
      <c r="B443" t="s">
        <v>8221</v>
      </c>
    </row>
    <row r="444" spans="1:2" x14ac:dyDescent="0.25">
      <c r="A444" t="s">
        <v>8627</v>
      </c>
      <c r="B444" t="s">
        <v>8403</v>
      </c>
    </row>
    <row r="445" spans="1:2" x14ac:dyDescent="0.25">
      <c r="A445" t="s">
        <v>8222</v>
      </c>
      <c r="B445" t="s">
        <v>8392</v>
      </c>
    </row>
    <row r="446" spans="1:2" x14ac:dyDescent="0.25">
      <c r="A446" t="s">
        <v>8756</v>
      </c>
      <c r="B446" t="s">
        <v>8297</v>
      </c>
    </row>
    <row r="447" spans="1:2" x14ac:dyDescent="0.25">
      <c r="A447" t="s">
        <v>8678</v>
      </c>
      <c r="B447" t="s">
        <v>8297</v>
      </c>
    </row>
    <row r="448" spans="1:2" x14ac:dyDescent="0.25">
      <c r="A448" t="s">
        <v>8967</v>
      </c>
      <c r="B448" t="s">
        <v>8238</v>
      </c>
    </row>
    <row r="449" spans="1:2" x14ac:dyDescent="0.25">
      <c r="A449" t="s">
        <v>8410</v>
      </c>
      <c r="B449" t="s">
        <v>8340</v>
      </c>
    </row>
    <row r="450" spans="1:2" x14ac:dyDescent="0.25">
      <c r="A450" t="s">
        <v>8945</v>
      </c>
      <c r="B450">
        <v>471</v>
      </c>
    </row>
    <row r="451" spans="1:2" x14ac:dyDescent="0.25">
      <c r="A451" t="s">
        <v>8411</v>
      </c>
      <c r="B451" t="s">
        <v>8362</v>
      </c>
    </row>
    <row r="452" spans="1:2" x14ac:dyDescent="0.25">
      <c r="A452" t="s">
        <v>8296</v>
      </c>
      <c r="B452" t="s">
        <v>8284</v>
      </c>
    </row>
    <row r="453" spans="1:2" x14ac:dyDescent="0.25">
      <c r="A453" t="s">
        <v>8543</v>
      </c>
      <c r="B453" t="s">
        <v>8475</v>
      </c>
    </row>
    <row r="454" spans="1:2" x14ac:dyDescent="0.25">
      <c r="A454" t="s">
        <v>8754</v>
      </c>
      <c r="B454" t="s">
        <v>8284</v>
      </c>
    </row>
    <row r="455" spans="1:2" x14ac:dyDescent="0.25">
      <c r="A455" t="s">
        <v>8301</v>
      </c>
      <c r="B455" t="s">
        <v>8403</v>
      </c>
    </row>
    <row r="456" spans="1:2" x14ac:dyDescent="0.25">
      <c r="A456" t="s">
        <v>8389</v>
      </c>
      <c r="B456" t="s">
        <v>8403</v>
      </c>
    </row>
    <row r="457" spans="1:2" x14ac:dyDescent="0.25">
      <c r="A457" t="s">
        <v>8671</v>
      </c>
      <c r="B457" t="s">
        <v>8559</v>
      </c>
    </row>
    <row r="458" spans="1:2" x14ac:dyDescent="0.25">
      <c r="A458" t="s">
        <v>8452</v>
      </c>
      <c r="B458" t="s">
        <v>8221</v>
      </c>
    </row>
    <row r="459" spans="1:2" x14ac:dyDescent="0.25">
      <c r="A459" t="s">
        <v>8634</v>
      </c>
      <c r="B459" t="s">
        <v>8245</v>
      </c>
    </row>
    <row r="460" spans="1:2" x14ac:dyDescent="0.25">
      <c r="A460" t="s">
        <v>8847</v>
      </c>
      <c r="B460" t="s">
        <v>8237</v>
      </c>
    </row>
    <row r="461" spans="1:2" x14ac:dyDescent="0.25">
      <c r="A461" t="s">
        <v>8930</v>
      </c>
      <c r="B461" t="s">
        <v>8403</v>
      </c>
    </row>
    <row r="462" spans="1:2" x14ac:dyDescent="0.25">
      <c r="A462" t="s">
        <v>8837</v>
      </c>
      <c r="B462" t="s">
        <v>8343</v>
      </c>
    </row>
    <row r="463" spans="1:2" x14ac:dyDescent="0.25">
      <c r="A463" t="s">
        <v>8871</v>
      </c>
      <c r="B463" t="s">
        <v>8259</v>
      </c>
    </row>
    <row r="464" spans="1:2" x14ac:dyDescent="0.25">
      <c r="A464" t="s">
        <v>8708</v>
      </c>
      <c r="B464" t="s">
        <v>8237</v>
      </c>
    </row>
    <row r="465" spans="1:2" x14ac:dyDescent="0.25">
      <c r="A465" t="s">
        <v>8822</v>
      </c>
      <c r="B465" t="s">
        <v>8475</v>
      </c>
    </row>
    <row r="466" spans="1:2" x14ac:dyDescent="0.25">
      <c r="A466" t="s">
        <v>8481</v>
      </c>
      <c r="B466" t="s">
        <v>8475</v>
      </c>
    </row>
    <row r="467" spans="1:2" x14ac:dyDescent="0.25">
      <c r="A467" t="s">
        <v>8322</v>
      </c>
      <c r="B467" t="s">
        <v>8403</v>
      </c>
    </row>
    <row r="468" spans="1:2" x14ac:dyDescent="0.25">
      <c r="A468" t="s">
        <v>8969</v>
      </c>
      <c r="B468" t="s">
        <v>8359</v>
      </c>
    </row>
    <row r="469" spans="1:2" x14ac:dyDescent="0.25">
      <c r="A469" t="s">
        <v>8326</v>
      </c>
      <c r="B469" t="s">
        <v>8498</v>
      </c>
    </row>
    <row r="470" spans="1:2" x14ac:dyDescent="0.25">
      <c r="A470" t="s">
        <v>8499</v>
      </c>
      <c r="B470" t="s">
        <v>8295</v>
      </c>
    </row>
    <row r="471" spans="1:2" x14ac:dyDescent="0.25">
      <c r="A471" t="s">
        <v>8489</v>
      </c>
      <c r="B471" t="s">
        <v>8362</v>
      </c>
    </row>
    <row r="472" spans="1:2" x14ac:dyDescent="0.25">
      <c r="A472" t="s">
        <v>8206</v>
      </c>
      <c r="B472" t="s">
        <v>8238</v>
      </c>
    </row>
    <row r="473" spans="1:2" x14ac:dyDescent="0.25">
      <c r="A473" t="s">
        <v>8846</v>
      </c>
      <c r="B473" t="s">
        <v>8284</v>
      </c>
    </row>
    <row r="474" spans="1:2" x14ac:dyDescent="0.25">
      <c r="A474" t="s">
        <v>8795</v>
      </c>
      <c r="B474" t="s">
        <v>8362</v>
      </c>
    </row>
    <row r="475" spans="1:2" x14ac:dyDescent="0.25">
      <c r="A475" t="s">
        <v>8262</v>
      </c>
      <c r="B475" t="s">
        <v>8221</v>
      </c>
    </row>
    <row r="476" spans="1:2" x14ac:dyDescent="0.25">
      <c r="A476" t="s">
        <v>8608</v>
      </c>
      <c r="B476" t="s">
        <v>8717</v>
      </c>
    </row>
    <row r="477" spans="1:2" x14ac:dyDescent="0.25">
      <c r="A477" t="s">
        <v>8397</v>
      </c>
      <c r="B477" t="s">
        <v>8250</v>
      </c>
    </row>
    <row r="478" spans="1:2" x14ac:dyDescent="0.25">
      <c r="A478" t="s">
        <v>8909</v>
      </c>
      <c r="B478" t="s">
        <v>8403</v>
      </c>
    </row>
    <row r="479" spans="1:2" x14ac:dyDescent="0.25">
      <c r="A479" t="s">
        <v>8428</v>
      </c>
      <c r="B479" t="s">
        <v>8343</v>
      </c>
    </row>
    <row r="480" spans="1:2" x14ac:dyDescent="0.25">
      <c r="A480" t="s">
        <v>8615</v>
      </c>
      <c r="B480" t="s">
        <v>8250</v>
      </c>
    </row>
    <row r="481" spans="1:2" x14ac:dyDescent="0.25">
      <c r="A481" t="s">
        <v>8886</v>
      </c>
      <c r="B481" t="s">
        <v>8433</v>
      </c>
    </row>
    <row r="482" spans="1:2" x14ac:dyDescent="0.25">
      <c r="A482" t="s">
        <v>8815</v>
      </c>
      <c r="B482" t="s">
        <v>8475</v>
      </c>
    </row>
    <row r="483" spans="1:2" x14ac:dyDescent="0.25">
      <c r="A483" t="s">
        <v>8928</v>
      </c>
      <c r="B483" t="s">
        <v>8221</v>
      </c>
    </row>
    <row r="484" spans="1:2" x14ac:dyDescent="0.25">
      <c r="A484" t="s">
        <v>8630</v>
      </c>
      <c r="B484" t="s">
        <v>8295</v>
      </c>
    </row>
    <row r="485" spans="1:2" x14ac:dyDescent="0.25">
      <c r="A485" t="s">
        <v>8381</v>
      </c>
      <c r="B485" t="s">
        <v>8215</v>
      </c>
    </row>
    <row r="486" spans="1:2" x14ac:dyDescent="0.25">
      <c r="A486" t="s">
        <v>8396</v>
      </c>
      <c r="B486" t="s">
        <v>8403</v>
      </c>
    </row>
    <row r="487" spans="1:2" x14ac:dyDescent="0.25">
      <c r="A487" t="s">
        <v>8406</v>
      </c>
      <c r="B487" t="s">
        <v>8221</v>
      </c>
    </row>
    <row r="488" spans="1:2" x14ac:dyDescent="0.25">
      <c r="A488" t="s">
        <v>8725</v>
      </c>
      <c r="B488" t="s">
        <v>8221</v>
      </c>
    </row>
    <row r="489" spans="1:2" x14ac:dyDescent="0.25">
      <c r="A489" t="s">
        <v>8620</v>
      </c>
      <c r="B489" t="s">
        <v>8215</v>
      </c>
    </row>
    <row r="490" spans="1:2" x14ac:dyDescent="0.25">
      <c r="A490" t="s">
        <v>8689</v>
      </c>
      <c r="B490" t="s">
        <v>8362</v>
      </c>
    </row>
    <row r="491" spans="1:2" x14ac:dyDescent="0.25">
      <c r="A491" t="s">
        <v>8469</v>
      </c>
      <c r="B491" t="s">
        <v>8566</v>
      </c>
    </row>
    <row r="492" spans="1:2" x14ac:dyDescent="0.25">
      <c r="A492" t="s">
        <v>8553</v>
      </c>
      <c r="B492" t="s">
        <v>8245</v>
      </c>
    </row>
    <row r="493" spans="1:2" x14ac:dyDescent="0.25">
      <c r="A493" t="s">
        <v>8274</v>
      </c>
      <c r="B493" t="s">
        <v>8295</v>
      </c>
    </row>
    <row r="494" spans="1:2" x14ac:dyDescent="0.25">
      <c r="A494" t="s">
        <v>8930</v>
      </c>
      <c r="B494" t="s">
        <v>8221</v>
      </c>
    </row>
    <row r="495" spans="1:2" x14ac:dyDescent="0.25">
      <c r="A495" t="s">
        <v>8758</v>
      </c>
      <c r="B495" t="s">
        <v>8221</v>
      </c>
    </row>
    <row r="496" spans="1:2" x14ac:dyDescent="0.25">
      <c r="A496" t="s">
        <v>8421</v>
      </c>
      <c r="B496" t="s">
        <v>8259</v>
      </c>
    </row>
    <row r="497" spans="1:2" x14ac:dyDescent="0.25">
      <c r="A497" t="s">
        <v>8294</v>
      </c>
      <c r="B497" t="s">
        <v>8348</v>
      </c>
    </row>
    <row r="498" spans="1:2" x14ac:dyDescent="0.25">
      <c r="A498" t="s">
        <v>8651</v>
      </c>
      <c r="B498" t="s">
        <v>8566</v>
      </c>
    </row>
    <row r="499" spans="1:2" x14ac:dyDescent="0.25">
      <c r="A499" t="s">
        <v>8752</v>
      </c>
      <c r="B499" t="s">
        <v>8221</v>
      </c>
    </row>
    <row r="500" spans="1:2" x14ac:dyDescent="0.25">
      <c r="A500" t="s">
        <v>8419</v>
      </c>
      <c r="B500" t="s">
        <v>8238</v>
      </c>
    </row>
    <row r="501" spans="1:2" x14ac:dyDescent="0.25">
      <c r="A501" t="s">
        <v>8937</v>
      </c>
      <c r="B501" t="s">
        <v>8215</v>
      </c>
    </row>
    <row r="502" spans="1:2" x14ac:dyDescent="0.25">
      <c r="A502" t="s">
        <v>8490</v>
      </c>
      <c r="B502" t="s">
        <v>8566</v>
      </c>
    </row>
    <row r="503" spans="1:2" x14ac:dyDescent="0.25">
      <c r="A503" t="s">
        <v>8787</v>
      </c>
      <c r="B503" t="s">
        <v>8348</v>
      </c>
    </row>
    <row r="504" spans="1:2" x14ac:dyDescent="0.25">
      <c r="A504" t="s">
        <v>8709</v>
      </c>
      <c r="B504" t="s">
        <v>8566</v>
      </c>
    </row>
    <row r="505" spans="1:2" x14ac:dyDescent="0.25">
      <c r="A505" t="s">
        <v>8842</v>
      </c>
      <c r="B505" t="s">
        <v>8670</v>
      </c>
    </row>
    <row r="506" spans="1:2" x14ac:dyDescent="0.25">
      <c r="A506" t="s">
        <v>8517</v>
      </c>
      <c r="B506" t="s">
        <v>8411</v>
      </c>
    </row>
    <row r="507" spans="1:2" x14ac:dyDescent="0.25">
      <c r="A507" t="s">
        <v>8436</v>
      </c>
      <c r="B507" t="s">
        <v>8403</v>
      </c>
    </row>
    <row r="508" spans="1:2" x14ac:dyDescent="0.25">
      <c r="A508" t="s">
        <v>8661</v>
      </c>
      <c r="B508" t="s">
        <v>8670</v>
      </c>
    </row>
    <row r="509" spans="1:2" x14ac:dyDescent="0.25">
      <c r="A509" t="s">
        <v>8597</v>
      </c>
      <c r="B509" t="s">
        <v>8411</v>
      </c>
    </row>
    <row r="510" spans="1:2" x14ac:dyDescent="0.25">
      <c r="A510" t="s">
        <v>8792</v>
      </c>
      <c r="B510" t="s">
        <v>8475</v>
      </c>
    </row>
    <row r="511" spans="1:2" x14ac:dyDescent="0.25">
      <c r="A511" t="s">
        <v>8882</v>
      </c>
      <c r="B511" t="s">
        <v>8362</v>
      </c>
    </row>
    <row r="512" spans="1:2" x14ac:dyDescent="0.25">
      <c r="A512" t="s">
        <v>8586</v>
      </c>
      <c r="B512" t="s">
        <v>8250</v>
      </c>
    </row>
    <row r="513" spans="1:2" x14ac:dyDescent="0.25">
      <c r="A513" t="s">
        <v>8513</v>
      </c>
      <c r="B513" t="s">
        <v>8215</v>
      </c>
    </row>
    <row r="514" spans="1:2" x14ac:dyDescent="0.25">
      <c r="A514" t="s">
        <v>8486</v>
      </c>
      <c r="B514" t="s">
        <v>8475</v>
      </c>
    </row>
    <row r="515" spans="1:2" x14ac:dyDescent="0.25">
      <c r="A515" t="s">
        <v>8960</v>
      </c>
      <c r="B515" t="s">
        <v>8475</v>
      </c>
    </row>
    <row r="516" spans="1:2" x14ac:dyDescent="0.25">
      <c r="A516" t="s">
        <v>8652</v>
      </c>
      <c r="B516" t="s">
        <v>8403</v>
      </c>
    </row>
    <row r="517" spans="1:2" x14ac:dyDescent="0.25">
      <c r="A517" t="s">
        <v>8233</v>
      </c>
      <c r="B517" t="s">
        <v>8238</v>
      </c>
    </row>
    <row r="518" spans="1:2" x14ac:dyDescent="0.25">
      <c r="A518" t="s">
        <v>8431</v>
      </c>
      <c r="B518" t="s">
        <v>8566</v>
      </c>
    </row>
    <row r="519" spans="1:2" x14ac:dyDescent="0.25">
      <c r="A519" t="s">
        <v>8914</v>
      </c>
      <c r="B519" t="s">
        <v>8475</v>
      </c>
    </row>
    <row r="520" spans="1:2" x14ac:dyDescent="0.25">
      <c r="A520" t="s">
        <v>8940</v>
      </c>
      <c r="B520" t="s">
        <v>8475</v>
      </c>
    </row>
    <row r="521" spans="1:2" x14ac:dyDescent="0.25">
      <c r="A521" t="s">
        <v>8413</v>
      </c>
      <c r="B521" t="s">
        <v>8284</v>
      </c>
    </row>
    <row r="522" spans="1:2" x14ac:dyDescent="0.25">
      <c r="A522" t="s">
        <v>8638</v>
      </c>
      <c r="B522" t="s">
        <v>8475</v>
      </c>
    </row>
    <row r="523" spans="1:2" x14ac:dyDescent="0.25">
      <c r="A523" t="s">
        <v>8942</v>
      </c>
      <c r="B523" t="s">
        <v>8475</v>
      </c>
    </row>
    <row r="524" spans="1:2" x14ac:dyDescent="0.25">
      <c r="A524" t="s">
        <v>8530</v>
      </c>
      <c r="B524" t="s">
        <v>8475</v>
      </c>
    </row>
    <row r="525" spans="1:2" x14ac:dyDescent="0.25">
      <c r="A525" t="s">
        <v>8788</v>
      </c>
      <c r="B525" t="s">
        <v>8335</v>
      </c>
    </row>
    <row r="526" spans="1:2" x14ac:dyDescent="0.25">
      <c r="A526" t="s">
        <v>8334</v>
      </c>
      <c r="B526" t="s">
        <v>8215</v>
      </c>
    </row>
    <row r="527" spans="1:2" x14ac:dyDescent="0.25">
      <c r="A527" t="s">
        <v>8272</v>
      </c>
      <c r="B527" t="s">
        <v>8362</v>
      </c>
    </row>
    <row r="528" spans="1:2" x14ac:dyDescent="0.25">
      <c r="A528" t="s">
        <v>8812</v>
      </c>
      <c r="B528" t="s">
        <v>8964</v>
      </c>
    </row>
    <row r="529" spans="1:2" x14ac:dyDescent="0.25">
      <c r="A529" t="s">
        <v>8573</v>
      </c>
      <c r="B529" t="s">
        <v>8238</v>
      </c>
    </row>
    <row r="530" spans="1:2" x14ac:dyDescent="0.25">
      <c r="A530" t="s">
        <v>8870</v>
      </c>
      <c r="B530" t="s">
        <v>8295</v>
      </c>
    </row>
    <row r="531" spans="1:2" x14ac:dyDescent="0.25">
      <c r="A531" t="s">
        <v>8991</v>
      </c>
      <c r="B531" t="s">
        <v>8392</v>
      </c>
    </row>
    <row r="532" spans="1:2" x14ac:dyDescent="0.25">
      <c r="A532" t="s">
        <v>8771</v>
      </c>
      <c r="B532" t="s">
        <v>8475</v>
      </c>
    </row>
    <row r="533" spans="1:2" x14ac:dyDescent="0.25">
      <c r="A533" t="s">
        <v>8722</v>
      </c>
      <c r="B533" t="s">
        <v>8475</v>
      </c>
    </row>
    <row r="534" spans="1:2" x14ac:dyDescent="0.25">
      <c r="A534" t="s">
        <v>8865</v>
      </c>
      <c r="B534" t="s">
        <v>8670</v>
      </c>
    </row>
    <row r="535" spans="1:2" x14ac:dyDescent="0.25">
      <c r="A535" t="s">
        <v>8515</v>
      </c>
      <c r="B535" t="s">
        <v>8348</v>
      </c>
    </row>
    <row r="536" spans="1:2" x14ac:dyDescent="0.25">
      <c r="A536" t="s">
        <v>8314</v>
      </c>
      <c r="B536" t="s">
        <v>8295</v>
      </c>
    </row>
    <row r="537" spans="1:2" x14ac:dyDescent="0.25">
      <c r="A537" t="s">
        <v>8779</v>
      </c>
      <c r="B537" t="s">
        <v>8475</v>
      </c>
    </row>
    <row r="538" spans="1:2" x14ac:dyDescent="0.25">
      <c r="A538" t="s">
        <v>8903</v>
      </c>
      <c r="B538" t="s">
        <v>8403</v>
      </c>
    </row>
    <row r="539" spans="1:2" x14ac:dyDescent="0.25">
      <c r="A539" t="s">
        <v>8696</v>
      </c>
      <c r="B539" t="s">
        <v>8245</v>
      </c>
    </row>
    <row r="540" spans="1:2" x14ac:dyDescent="0.25">
      <c r="A540" t="s">
        <v>8731</v>
      </c>
      <c r="B540" t="s">
        <v>8362</v>
      </c>
    </row>
    <row r="541" spans="1:2" x14ac:dyDescent="0.25">
      <c r="A541" t="s">
        <v>8917</v>
      </c>
      <c r="B541" t="s">
        <v>8475</v>
      </c>
    </row>
    <row r="542" spans="1:2" x14ac:dyDescent="0.25">
      <c r="A542" t="s">
        <v>8617</v>
      </c>
      <c r="B542" t="s">
        <v>8297</v>
      </c>
    </row>
    <row r="543" spans="1:2" x14ac:dyDescent="0.25">
      <c r="A543" t="s">
        <v>8400</v>
      </c>
      <c r="B543" t="s">
        <v>8498</v>
      </c>
    </row>
    <row r="544" spans="1:2" x14ac:dyDescent="0.25">
      <c r="A544" t="s">
        <v>8863</v>
      </c>
      <c r="B544" t="s">
        <v>8238</v>
      </c>
    </row>
    <row r="545" spans="1:2" x14ac:dyDescent="0.25">
      <c r="A545" t="s">
        <v>8888</v>
      </c>
      <c r="B545" t="s">
        <v>8297</v>
      </c>
    </row>
    <row r="546" spans="1:2" x14ac:dyDescent="0.25">
      <c r="A546" t="s">
        <v>8219</v>
      </c>
      <c r="B546" t="s">
        <v>8392</v>
      </c>
    </row>
    <row r="547" spans="1:2" x14ac:dyDescent="0.25">
      <c r="A547" t="s">
        <v>8629</v>
      </c>
      <c r="B547" t="s">
        <v>8392</v>
      </c>
    </row>
    <row r="548" spans="1:2" x14ac:dyDescent="0.25">
      <c r="A548" t="s">
        <v>8856</v>
      </c>
      <c r="B548" t="s">
        <v>8259</v>
      </c>
    </row>
    <row r="549" spans="1:2" x14ac:dyDescent="0.25">
      <c r="A549" t="s">
        <v>8310</v>
      </c>
      <c r="B549" t="s">
        <v>8475</v>
      </c>
    </row>
    <row r="550" spans="1:2" x14ac:dyDescent="0.25">
      <c r="A550" t="s">
        <v>8288</v>
      </c>
      <c r="B550" t="s">
        <v>8475</v>
      </c>
    </row>
    <row r="551" spans="1:2" x14ac:dyDescent="0.25">
      <c r="A551" t="s">
        <v>8860</v>
      </c>
      <c r="B551" t="s">
        <v>8392</v>
      </c>
    </row>
    <row r="552" spans="1:2" x14ac:dyDescent="0.25">
      <c r="A552" t="s">
        <v>8897</v>
      </c>
      <c r="B552" t="s">
        <v>8566</v>
      </c>
    </row>
    <row r="553" spans="1:2" x14ac:dyDescent="0.25">
      <c r="A553" t="s">
        <v>8599</v>
      </c>
      <c r="B553" t="s">
        <v>8475</v>
      </c>
    </row>
    <row r="554" spans="1:2" x14ac:dyDescent="0.25">
      <c r="A554" t="s">
        <v>8712</v>
      </c>
      <c r="B554" t="s">
        <v>8352</v>
      </c>
    </row>
    <row r="555" spans="1:2" x14ac:dyDescent="0.25">
      <c r="A555" t="s">
        <v>8409</v>
      </c>
      <c r="B555" t="s">
        <v>8566</v>
      </c>
    </row>
    <row r="556" spans="1:2" x14ac:dyDescent="0.25">
      <c r="A556" t="s">
        <v>8814</v>
      </c>
      <c r="B556" t="s">
        <v>8299</v>
      </c>
    </row>
    <row r="557" spans="1:2" x14ac:dyDescent="0.25">
      <c r="A557" t="s">
        <v>8845</v>
      </c>
      <c r="B557" t="s">
        <v>8498</v>
      </c>
    </row>
    <row r="558" spans="1:2" x14ac:dyDescent="0.25">
      <c r="A558" t="s">
        <v>8836</v>
      </c>
      <c r="B558" t="s">
        <v>8670</v>
      </c>
    </row>
    <row r="559" spans="1:2" x14ac:dyDescent="0.25">
      <c r="A559" t="s">
        <v>8558</v>
      </c>
      <c r="B559" t="s">
        <v>8403</v>
      </c>
    </row>
    <row r="560" spans="1:2" x14ac:dyDescent="0.25">
      <c r="A560" t="s">
        <v>8222</v>
      </c>
      <c r="B560" t="s">
        <v>8392</v>
      </c>
    </row>
    <row r="561" spans="1:2" x14ac:dyDescent="0.25">
      <c r="A561" t="s">
        <v>8975</v>
      </c>
      <c r="B561" t="s">
        <v>8362</v>
      </c>
    </row>
    <row r="562" spans="1:2" x14ac:dyDescent="0.25">
      <c r="A562" t="s">
        <v>8414</v>
      </c>
      <c r="B562" t="s">
        <v>8250</v>
      </c>
    </row>
    <row r="563" spans="1:2" x14ac:dyDescent="0.25">
      <c r="A563" t="s">
        <v>8254</v>
      </c>
      <c r="B563" t="s">
        <v>8475</v>
      </c>
    </row>
    <row r="564" spans="1:2" x14ac:dyDescent="0.25">
      <c r="A564" t="s">
        <v>8750</v>
      </c>
      <c r="B564" t="s">
        <v>8566</v>
      </c>
    </row>
    <row r="565" spans="1:2" x14ac:dyDescent="0.25">
      <c r="A565" t="s">
        <v>8944</v>
      </c>
      <c r="B565" t="s">
        <v>8295</v>
      </c>
    </row>
    <row r="566" spans="1:2" x14ac:dyDescent="0.25">
      <c r="A566" t="s">
        <v>8296</v>
      </c>
      <c r="B566" t="s">
        <v>8475</v>
      </c>
    </row>
    <row r="567" spans="1:2" x14ac:dyDescent="0.25">
      <c r="A567" t="s">
        <v>8273</v>
      </c>
      <c r="B567" t="s">
        <v>8259</v>
      </c>
    </row>
    <row r="568" spans="1:2" x14ac:dyDescent="0.25">
      <c r="A568" t="s">
        <v>8754</v>
      </c>
      <c r="B568" t="s">
        <v>8475</v>
      </c>
    </row>
    <row r="569" spans="1:2" x14ac:dyDescent="0.25">
      <c r="A569" t="s">
        <v>8576</v>
      </c>
      <c r="B569" t="s">
        <v>8717</v>
      </c>
    </row>
    <row r="570" spans="1:2" x14ac:dyDescent="0.25">
      <c r="A570" t="s">
        <v>8846</v>
      </c>
      <c r="B570" t="s">
        <v>8284</v>
      </c>
    </row>
    <row r="571" spans="1:2" x14ac:dyDescent="0.25">
      <c r="A571" t="s">
        <v>8639</v>
      </c>
      <c r="B571" t="s">
        <v>8717</v>
      </c>
    </row>
    <row r="572" spans="1:2" x14ac:dyDescent="0.25">
      <c r="A572" t="s">
        <v>8360</v>
      </c>
      <c r="B572" t="s">
        <v>8348</v>
      </c>
    </row>
    <row r="573" spans="1:2" x14ac:dyDescent="0.25">
      <c r="A573" t="s">
        <v>8667</v>
      </c>
      <c r="B573" t="s">
        <v>8348</v>
      </c>
    </row>
    <row r="574" spans="1:2" x14ac:dyDescent="0.25">
      <c r="A574" t="s">
        <v>8509</v>
      </c>
      <c r="B574" t="s">
        <v>8475</v>
      </c>
    </row>
    <row r="575" spans="1:2" x14ac:dyDescent="0.25">
      <c r="A575" t="s">
        <v>8358</v>
      </c>
      <c r="B575" t="s">
        <v>8221</v>
      </c>
    </row>
    <row r="576" spans="1:2" x14ac:dyDescent="0.25">
      <c r="A576" t="s">
        <v>8210</v>
      </c>
      <c r="B576" t="s">
        <v>8215</v>
      </c>
    </row>
    <row r="577" spans="1:2" x14ac:dyDescent="0.25">
      <c r="A577" t="s">
        <v>8874</v>
      </c>
      <c r="B577" t="s">
        <v>8670</v>
      </c>
    </row>
    <row r="578" spans="1:2" x14ac:dyDescent="0.25">
      <c r="A578" t="s">
        <v>8408</v>
      </c>
      <c r="B578" t="s">
        <v>8475</v>
      </c>
    </row>
    <row r="579" spans="1:2" x14ac:dyDescent="0.25">
      <c r="A579" t="s">
        <v>8853</v>
      </c>
      <c r="B579" t="s">
        <v>8259</v>
      </c>
    </row>
    <row r="580" spans="1:2" x14ac:dyDescent="0.25">
      <c r="A580" t="s">
        <v>8939</v>
      </c>
      <c r="B580" t="s">
        <v>8259</v>
      </c>
    </row>
    <row r="581" spans="1:2" x14ac:dyDescent="0.25">
      <c r="A581" t="s">
        <v>8393</v>
      </c>
      <c r="B581" t="s">
        <v>8250</v>
      </c>
    </row>
    <row r="582" spans="1:2" x14ac:dyDescent="0.25">
      <c r="A582" t="s">
        <v>8895</v>
      </c>
      <c r="B582" t="s">
        <v>8237</v>
      </c>
    </row>
    <row r="583" spans="1:2" x14ac:dyDescent="0.25">
      <c r="A583" t="s">
        <v>8936</v>
      </c>
      <c r="B583" t="s">
        <v>8566</v>
      </c>
    </row>
    <row r="584" spans="1:2" x14ac:dyDescent="0.25">
      <c r="A584" t="s">
        <v>8347</v>
      </c>
      <c r="B584" t="s">
        <v>8566</v>
      </c>
    </row>
    <row r="585" spans="1:2" x14ac:dyDescent="0.25">
      <c r="A585" t="s">
        <v>8374</v>
      </c>
      <c r="B585" t="s">
        <v>8475</v>
      </c>
    </row>
    <row r="586" spans="1:2" x14ac:dyDescent="0.25">
      <c r="A586" t="s">
        <v>8768</v>
      </c>
      <c r="B586" t="s">
        <v>8566</v>
      </c>
    </row>
    <row r="587" spans="1:2" x14ac:dyDescent="0.25">
      <c r="A587" t="s">
        <v>8848</v>
      </c>
      <c r="B587" t="s">
        <v>8352</v>
      </c>
    </row>
    <row r="588" spans="1:2" x14ac:dyDescent="0.25">
      <c r="A588" t="s">
        <v>8470</v>
      </c>
      <c r="B588" t="s">
        <v>8284</v>
      </c>
    </row>
    <row r="589" spans="1:2" x14ac:dyDescent="0.25">
      <c r="A589" t="s">
        <v>8438</v>
      </c>
      <c r="B589" t="s">
        <v>8717</v>
      </c>
    </row>
    <row r="590" spans="1:2" x14ac:dyDescent="0.25">
      <c r="A590" t="s">
        <v>8948</v>
      </c>
      <c r="B590" t="s">
        <v>8238</v>
      </c>
    </row>
    <row r="591" spans="1:2" x14ac:dyDescent="0.25">
      <c r="A591" t="s">
        <v>8688</v>
      </c>
      <c r="B591" t="s">
        <v>8475</v>
      </c>
    </row>
    <row r="592" spans="1:2" x14ac:dyDescent="0.25">
      <c r="A592" t="s">
        <v>8868</v>
      </c>
      <c r="B592" t="s">
        <v>8259</v>
      </c>
    </row>
    <row r="593" spans="1:2" x14ac:dyDescent="0.25">
      <c r="A593" t="s">
        <v>8649</v>
      </c>
      <c r="B593" t="s">
        <v>8475</v>
      </c>
    </row>
    <row r="594" spans="1:2" x14ac:dyDescent="0.25">
      <c r="A594" t="s">
        <v>8252</v>
      </c>
      <c r="B594" t="s">
        <v>8566</v>
      </c>
    </row>
    <row r="595" spans="1:2" x14ac:dyDescent="0.25">
      <c r="A595" t="s">
        <v>8938</v>
      </c>
      <c r="B595" t="s">
        <v>8259</v>
      </c>
    </row>
    <row r="596" spans="1:2" x14ac:dyDescent="0.25">
      <c r="A596" t="s">
        <v>8212</v>
      </c>
      <c r="B596" t="s">
        <v>8362</v>
      </c>
    </row>
    <row r="597" spans="1:2" x14ac:dyDescent="0.25">
      <c r="A597" t="s">
        <v>8517</v>
      </c>
      <c r="B597" t="s">
        <v>8297</v>
      </c>
    </row>
    <row r="598" spans="1:2" x14ac:dyDescent="0.25">
      <c r="A598" t="s">
        <v>8702</v>
      </c>
      <c r="B598" t="s">
        <v>8215</v>
      </c>
    </row>
    <row r="599" spans="1:2" x14ac:dyDescent="0.25">
      <c r="A599" t="s">
        <v>8213</v>
      </c>
      <c r="B599" t="s">
        <v>8295</v>
      </c>
    </row>
    <row r="600" spans="1:2" x14ac:dyDescent="0.25">
      <c r="A600" t="s">
        <v>8542</v>
      </c>
      <c r="B600" t="s">
        <v>8284</v>
      </c>
    </row>
    <row r="601" spans="1:2" x14ac:dyDescent="0.25">
      <c r="A601" t="s">
        <v>8613</v>
      </c>
      <c r="B601" t="s">
        <v>8217</v>
      </c>
    </row>
    <row r="602" spans="1:2" x14ac:dyDescent="0.25">
      <c r="A602" t="s">
        <v>8910</v>
      </c>
      <c r="B602" t="s">
        <v>8221</v>
      </c>
    </row>
    <row r="603" spans="1:2" x14ac:dyDescent="0.25">
      <c r="A603" t="s">
        <v>8763</v>
      </c>
      <c r="B603" t="s">
        <v>8475</v>
      </c>
    </row>
    <row r="604" spans="1:2" x14ac:dyDescent="0.25">
      <c r="A604" t="s">
        <v>8667</v>
      </c>
      <c r="B604" t="s">
        <v>8670</v>
      </c>
    </row>
    <row r="605" spans="1:2" x14ac:dyDescent="0.25">
      <c r="A605" t="s">
        <v>8336</v>
      </c>
      <c r="B605" t="s">
        <v>8566</v>
      </c>
    </row>
    <row r="606" spans="1:2" x14ac:dyDescent="0.25">
      <c r="A606" t="s">
        <v>8660</v>
      </c>
      <c r="B606" t="s">
        <v>8221</v>
      </c>
    </row>
    <row r="607" spans="1:2" x14ac:dyDescent="0.25">
      <c r="A607" t="s">
        <v>8913</v>
      </c>
      <c r="B607" t="s">
        <v>8670</v>
      </c>
    </row>
    <row r="608" spans="1:2" x14ac:dyDescent="0.25">
      <c r="A608" t="s">
        <v>8992</v>
      </c>
      <c r="B608" t="s">
        <v>8221</v>
      </c>
    </row>
    <row r="609" spans="1:2" x14ac:dyDescent="0.25">
      <c r="A609" t="s">
        <v>8427</v>
      </c>
      <c r="B609" t="s">
        <v>8348</v>
      </c>
    </row>
    <row r="610" spans="1:2" x14ac:dyDescent="0.25">
      <c r="A610" t="s">
        <v>8672</v>
      </c>
      <c r="B610" t="s">
        <v>8566</v>
      </c>
    </row>
    <row r="611" spans="1:2" x14ac:dyDescent="0.25">
      <c r="A611" t="s">
        <v>8228</v>
      </c>
      <c r="B611" t="s">
        <v>8475</v>
      </c>
    </row>
    <row r="612" spans="1:2" x14ac:dyDescent="0.25">
      <c r="A612" t="s">
        <v>8447</v>
      </c>
      <c r="B612" t="s">
        <v>8566</v>
      </c>
    </row>
    <row r="613" spans="1:2" x14ac:dyDescent="0.25">
      <c r="A613" t="s">
        <v>8531</v>
      </c>
      <c r="B613" t="s">
        <v>8670</v>
      </c>
    </row>
    <row r="614" spans="1:2" x14ac:dyDescent="0.25">
      <c r="A614" t="s">
        <v>8951</v>
      </c>
      <c r="B614" t="s">
        <v>8304</v>
      </c>
    </row>
    <row r="615" spans="1:2" x14ac:dyDescent="0.25">
      <c r="A615" t="s">
        <v>8528</v>
      </c>
      <c r="B615" t="s">
        <v>8566</v>
      </c>
    </row>
    <row r="616" spans="1:2" x14ac:dyDescent="0.25">
      <c r="A616" t="s">
        <v>8879</v>
      </c>
      <c r="B616" t="s">
        <v>8403</v>
      </c>
    </row>
    <row r="617" spans="1:2" x14ac:dyDescent="0.25">
      <c r="A617" t="s">
        <v>8658</v>
      </c>
      <c r="B617" t="s">
        <v>8475</v>
      </c>
    </row>
    <row r="618" spans="1:2" x14ac:dyDescent="0.25">
      <c r="A618" t="s">
        <v>8844</v>
      </c>
      <c r="B618" t="s">
        <v>8475</v>
      </c>
    </row>
    <row r="619" spans="1:2" x14ac:dyDescent="0.25">
      <c r="A619" t="s">
        <v>8554</v>
      </c>
      <c r="B619" t="s">
        <v>8566</v>
      </c>
    </row>
    <row r="620" spans="1:2" x14ac:dyDescent="0.25">
      <c r="A620" t="s">
        <v>8282</v>
      </c>
      <c r="B620" t="s">
        <v>8348</v>
      </c>
    </row>
    <row r="621" spans="1:2" x14ac:dyDescent="0.25">
      <c r="A621" t="s">
        <v>8548</v>
      </c>
      <c r="B621" t="s">
        <v>8475</v>
      </c>
    </row>
    <row r="622" spans="1:2" x14ac:dyDescent="0.25">
      <c r="A622" t="s">
        <v>8478</v>
      </c>
      <c r="B622" t="s">
        <v>8475</v>
      </c>
    </row>
    <row r="623" spans="1:2" x14ac:dyDescent="0.25">
      <c r="A623" t="s">
        <v>8357</v>
      </c>
      <c r="B623" t="s">
        <v>8221</v>
      </c>
    </row>
    <row r="624" spans="1:2" x14ac:dyDescent="0.25">
      <c r="A624" t="s">
        <v>8318</v>
      </c>
      <c r="B624" t="s">
        <v>8221</v>
      </c>
    </row>
    <row r="625" spans="1:2" x14ac:dyDescent="0.25">
      <c r="A625" t="s">
        <v>8611</v>
      </c>
      <c r="B625" t="s">
        <v>8475</v>
      </c>
    </row>
    <row r="626" spans="1:2" x14ac:dyDescent="0.25">
      <c r="A626" t="s">
        <v>8470</v>
      </c>
      <c r="B626" t="s">
        <v>8475</v>
      </c>
    </row>
    <row r="627" spans="1:2" x14ac:dyDescent="0.25">
      <c r="A627" t="s">
        <v>8787</v>
      </c>
      <c r="B627" t="s">
        <v>8348</v>
      </c>
    </row>
    <row r="628" spans="1:2" x14ac:dyDescent="0.25">
      <c r="A628" t="s">
        <v>8393</v>
      </c>
      <c r="B628" t="s">
        <v>8221</v>
      </c>
    </row>
    <row r="629" spans="1:2" x14ac:dyDescent="0.25">
      <c r="A629" t="s">
        <v>8618</v>
      </c>
      <c r="B629" t="s">
        <v>8392</v>
      </c>
    </row>
    <row r="630" spans="1:2" x14ac:dyDescent="0.25">
      <c r="A630" t="s">
        <v>8631</v>
      </c>
      <c r="B630" t="s">
        <v>8392</v>
      </c>
    </row>
    <row r="631" spans="1:2" x14ac:dyDescent="0.25">
      <c r="A631" t="s">
        <v>8260</v>
      </c>
      <c r="B631" t="s">
        <v>8475</v>
      </c>
    </row>
    <row r="632" spans="1:2" x14ac:dyDescent="0.25">
      <c r="A632" t="s">
        <v>8812</v>
      </c>
      <c r="B632" t="s">
        <v>8417</v>
      </c>
    </row>
    <row r="633" spans="1:2" x14ac:dyDescent="0.25">
      <c r="A633" t="s">
        <v>8380</v>
      </c>
      <c r="B633" t="s">
        <v>8221</v>
      </c>
    </row>
    <row r="634" spans="1:2" x14ac:dyDescent="0.25">
      <c r="A634" t="s">
        <v>8912</v>
      </c>
      <c r="B634" t="s">
        <v>8245</v>
      </c>
    </row>
    <row r="635" spans="1:2" x14ac:dyDescent="0.25">
      <c r="A635" t="s">
        <v>8970</v>
      </c>
      <c r="B635" t="s">
        <v>8259</v>
      </c>
    </row>
    <row r="636" spans="1:2" x14ac:dyDescent="0.25">
      <c r="A636" t="s">
        <v>8805</v>
      </c>
      <c r="B636" t="s">
        <v>8475</v>
      </c>
    </row>
    <row r="637" spans="1:2" x14ac:dyDescent="0.25">
      <c r="A637" t="s">
        <v>8549</v>
      </c>
      <c r="B637" t="s">
        <v>8475</v>
      </c>
    </row>
    <row r="638" spans="1:2" x14ac:dyDescent="0.25">
      <c r="A638" t="s">
        <v>8737</v>
      </c>
      <c r="B638" t="s">
        <v>8475</v>
      </c>
    </row>
    <row r="639" spans="1:2" x14ac:dyDescent="0.25">
      <c r="A639" t="s">
        <v>8539</v>
      </c>
      <c r="B639" t="s">
        <v>8717</v>
      </c>
    </row>
    <row r="640" spans="1:2" x14ac:dyDescent="0.25">
      <c r="A640" t="s">
        <v>8801</v>
      </c>
      <c r="B640" t="s">
        <v>8566</v>
      </c>
    </row>
    <row r="641" spans="1:2" x14ac:dyDescent="0.25">
      <c r="A641" t="s">
        <v>8650</v>
      </c>
      <c r="B641" t="s">
        <v>8221</v>
      </c>
    </row>
    <row r="642" spans="1:2" x14ac:dyDescent="0.25">
      <c r="A642" t="s">
        <v>8303</v>
      </c>
      <c r="B642" t="s">
        <v>8475</v>
      </c>
    </row>
    <row r="643" spans="1:2" x14ac:dyDescent="0.25">
      <c r="A643" t="s">
        <v>8652</v>
      </c>
      <c r="B643" t="s">
        <v>8221</v>
      </c>
    </row>
    <row r="644" spans="1:2" x14ac:dyDescent="0.25">
      <c r="A644" t="s">
        <v>8353</v>
      </c>
      <c r="B644" t="s">
        <v>8475</v>
      </c>
    </row>
    <row r="645" spans="1:2" x14ac:dyDescent="0.25">
      <c r="A645" t="s">
        <v>8560</v>
      </c>
      <c r="B645" t="s">
        <v>8475</v>
      </c>
    </row>
    <row r="646" spans="1:2" x14ac:dyDescent="0.25">
      <c r="A646" t="s">
        <v>8803</v>
      </c>
      <c r="B646" t="s">
        <v>8566</v>
      </c>
    </row>
    <row r="647" spans="1:2" x14ac:dyDescent="0.25">
      <c r="A647" t="s">
        <v>8471</v>
      </c>
      <c r="B647" t="s">
        <v>8295</v>
      </c>
    </row>
    <row r="648" spans="1:2" x14ac:dyDescent="0.25">
      <c r="A648" t="s">
        <v>8796</v>
      </c>
      <c r="B648" t="s">
        <v>8237</v>
      </c>
    </row>
    <row r="649" spans="1:2" x14ac:dyDescent="0.25">
      <c r="A649" t="s">
        <v>8413</v>
      </c>
      <c r="B649" t="s">
        <v>8475</v>
      </c>
    </row>
    <row r="650" spans="1:2" x14ac:dyDescent="0.25">
      <c r="A650" t="s">
        <v>8479</v>
      </c>
      <c r="B650" t="s">
        <v>8475</v>
      </c>
    </row>
    <row r="651" spans="1:2" x14ac:dyDescent="0.25">
      <c r="A651" t="s">
        <v>8947</v>
      </c>
      <c r="B651" t="s">
        <v>8475</v>
      </c>
    </row>
    <row r="652" spans="1:2" x14ac:dyDescent="0.25">
      <c r="A652" t="s">
        <v>8867</v>
      </c>
      <c r="B652" t="s">
        <v>8475</v>
      </c>
    </row>
    <row r="653" spans="1:2" x14ac:dyDescent="0.25">
      <c r="A653" t="s">
        <v>8893</v>
      </c>
      <c r="B653" t="s">
        <v>8475</v>
      </c>
    </row>
    <row r="654" spans="1:2" x14ac:dyDescent="0.25">
      <c r="A654" t="s">
        <v>8292</v>
      </c>
      <c r="B654" t="s">
        <v>8221</v>
      </c>
    </row>
    <row r="655" spans="1:2" x14ac:dyDescent="0.25">
      <c r="A655" t="s">
        <v>8930</v>
      </c>
      <c r="B655" t="s">
        <v>8566</v>
      </c>
    </row>
    <row r="656" spans="1:2" x14ac:dyDescent="0.25">
      <c r="A656" t="s">
        <v>8858</v>
      </c>
      <c r="B656" t="s">
        <v>8670</v>
      </c>
    </row>
    <row r="657" spans="1:2" x14ac:dyDescent="0.25">
      <c r="A657" t="s">
        <v>8473</v>
      </c>
      <c r="B657" t="s">
        <v>8475</v>
      </c>
    </row>
    <row r="658" spans="1:2" x14ac:dyDescent="0.25">
      <c r="A658" t="s">
        <v>8286</v>
      </c>
      <c r="B658" t="s">
        <v>8566</v>
      </c>
    </row>
    <row r="659" spans="1:2" x14ac:dyDescent="0.25">
      <c r="A659" t="s">
        <v>8223</v>
      </c>
      <c r="B659" t="s">
        <v>8221</v>
      </c>
    </row>
    <row r="660" spans="1:2" x14ac:dyDescent="0.25">
      <c r="A660" t="s">
        <v>8325</v>
      </c>
      <c r="B660" t="s">
        <v>8566</v>
      </c>
    </row>
    <row r="661" spans="1:2" x14ac:dyDescent="0.25">
      <c r="A661" t="s">
        <v>8827</v>
      </c>
      <c r="B661" t="s">
        <v>8475</v>
      </c>
    </row>
    <row r="662" spans="1:2" x14ac:dyDescent="0.25">
      <c r="A662" t="s">
        <v>8308</v>
      </c>
      <c r="B662" t="s">
        <v>8238</v>
      </c>
    </row>
    <row r="663" spans="1:2" x14ac:dyDescent="0.25">
      <c r="A663" t="s">
        <v>8640</v>
      </c>
      <c r="B663" t="s">
        <v>8566</v>
      </c>
    </row>
    <row r="664" spans="1:2" x14ac:dyDescent="0.25">
      <c r="A664" t="s">
        <v>8394</v>
      </c>
      <c r="B664" t="s">
        <v>8238</v>
      </c>
    </row>
    <row r="665" spans="1:2" x14ac:dyDescent="0.25">
      <c r="A665" t="s">
        <v>8887</v>
      </c>
      <c r="B665" t="s">
        <v>8295</v>
      </c>
    </row>
    <row r="666" spans="1:2" x14ac:dyDescent="0.25">
      <c r="A666" t="s">
        <v>8720</v>
      </c>
      <c r="B666" t="s">
        <v>8475</v>
      </c>
    </row>
    <row r="667" spans="1:2" x14ac:dyDescent="0.25">
      <c r="A667" t="s">
        <v>8759</v>
      </c>
      <c r="B667" t="s">
        <v>8475</v>
      </c>
    </row>
    <row r="668" spans="1:2" x14ac:dyDescent="0.25">
      <c r="A668" t="s">
        <v>8482</v>
      </c>
      <c r="B668" t="s">
        <v>8475</v>
      </c>
    </row>
    <row r="669" spans="1:2" x14ac:dyDescent="0.25">
      <c r="A669" t="s">
        <v>8959</v>
      </c>
      <c r="B669" t="s">
        <v>8475</v>
      </c>
    </row>
    <row r="670" spans="1:2" x14ac:dyDescent="0.25">
      <c r="A670" t="s">
        <v>8535</v>
      </c>
      <c r="B670" t="s">
        <v>8295</v>
      </c>
    </row>
    <row r="671" spans="1:2" x14ac:dyDescent="0.25">
      <c r="A671" t="s">
        <v>8815</v>
      </c>
      <c r="B671" t="s">
        <v>8566</v>
      </c>
    </row>
    <row r="672" spans="1:2" x14ac:dyDescent="0.25">
      <c r="A672" t="s">
        <v>8583</v>
      </c>
      <c r="B672" t="s">
        <v>8475</v>
      </c>
    </row>
    <row r="673" spans="1:2" x14ac:dyDescent="0.25">
      <c r="A673" t="s">
        <v>8533</v>
      </c>
      <c r="B673" t="s">
        <v>8475</v>
      </c>
    </row>
    <row r="674" spans="1:2" x14ac:dyDescent="0.25">
      <c r="A674" t="s">
        <v>8224</v>
      </c>
      <c r="B674" t="s">
        <v>8475</v>
      </c>
    </row>
    <row r="675" spans="1:2" x14ac:dyDescent="0.25">
      <c r="A675" t="s">
        <v>8250</v>
      </c>
      <c r="B675" t="s">
        <v>8217</v>
      </c>
    </row>
    <row r="676" spans="1:2" x14ac:dyDescent="0.25">
      <c r="A676" t="s">
        <v>8387</v>
      </c>
      <c r="B676" t="s">
        <v>8259</v>
      </c>
    </row>
    <row r="677" spans="1:2" x14ac:dyDescent="0.25">
      <c r="A677" t="s">
        <v>8666</v>
      </c>
      <c r="B677" t="s">
        <v>8340</v>
      </c>
    </row>
    <row r="678" spans="1:2" x14ac:dyDescent="0.25">
      <c r="A678" t="s">
        <v>8295</v>
      </c>
      <c r="B678" t="s">
        <v>8217</v>
      </c>
    </row>
    <row r="679" spans="1:2" x14ac:dyDescent="0.25">
      <c r="A679" t="s">
        <v>8400</v>
      </c>
      <c r="B679" t="s">
        <v>8566</v>
      </c>
    </row>
    <row r="680" spans="1:2" x14ac:dyDescent="0.25">
      <c r="A680" t="s">
        <v>8566</v>
      </c>
      <c r="B680" t="s">
        <v>8217</v>
      </c>
    </row>
    <row r="681" spans="1:2" x14ac:dyDescent="0.25">
      <c r="A681" t="s">
        <v>8744</v>
      </c>
      <c r="B681" t="s">
        <v>8475</v>
      </c>
    </row>
    <row r="682" spans="1:2" x14ac:dyDescent="0.25">
      <c r="A682" t="s">
        <v>8455</v>
      </c>
      <c r="B682" t="s">
        <v>8670</v>
      </c>
    </row>
    <row r="683" spans="1:2" x14ac:dyDescent="0.25">
      <c r="A683" t="s">
        <v>8271</v>
      </c>
      <c r="B683" t="s">
        <v>8348</v>
      </c>
    </row>
    <row r="684" spans="1:2" x14ac:dyDescent="0.25">
      <c r="A684" t="s">
        <v>8931</v>
      </c>
      <c r="B684" t="s">
        <v>8475</v>
      </c>
    </row>
    <row r="685" spans="1:2" x14ac:dyDescent="0.25">
      <c r="A685" t="s">
        <v>8656</v>
      </c>
      <c r="B685" t="s">
        <v>8475</v>
      </c>
    </row>
    <row r="686" spans="1:2" x14ac:dyDescent="0.25">
      <c r="A686" t="s">
        <v>8843</v>
      </c>
      <c r="B686" t="s">
        <v>8475</v>
      </c>
    </row>
    <row r="687" spans="1:2" x14ac:dyDescent="0.25">
      <c r="A687" t="s">
        <v>8439</v>
      </c>
      <c r="B687" t="s">
        <v>8475</v>
      </c>
    </row>
    <row r="688" spans="1:2" x14ac:dyDescent="0.25">
      <c r="A688" t="s">
        <v>8311</v>
      </c>
      <c r="B688" t="s">
        <v>8475</v>
      </c>
    </row>
    <row r="689" spans="1:2" x14ac:dyDescent="0.25">
      <c r="A689" t="s">
        <v>8883</v>
      </c>
      <c r="B689" t="s">
        <v>8475</v>
      </c>
    </row>
    <row r="690" spans="1:2" x14ac:dyDescent="0.25">
      <c r="A690" t="s">
        <v>8488</v>
      </c>
      <c r="B690" t="s">
        <v>8475</v>
      </c>
    </row>
    <row r="691" spans="1:2" x14ac:dyDescent="0.25">
      <c r="A691" t="s">
        <v>8838</v>
      </c>
      <c r="B691" t="s">
        <v>8392</v>
      </c>
    </row>
    <row r="692" spans="1:2" x14ac:dyDescent="0.25">
      <c r="A692" t="s">
        <v>8449</v>
      </c>
      <c r="B692" t="s">
        <v>8475</v>
      </c>
    </row>
    <row r="693" spans="1:2" x14ac:dyDescent="0.25">
      <c r="A693" t="s">
        <v>8783</v>
      </c>
      <c r="B693" t="s">
        <v>8475</v>
      </c>
    </row>
    <row r="694" spans="1:2" x14ac:dyDescent="0.25">
      <c r="A694" t="s">
        <v>8475</v>
      </c>
      <c r="B694" t="s">
        <v>8217</v>
      </c>
    </row>
    <row r="695" spans="1:2" x14ac:dyDescent="0.25">
      <c r="A695" t="s">
        <v>8757</v>
      </c>
      <c r="B695" t="s">
        <v>8566</v>
      </c>
    </row>
    <row r="696" spans="1:2" x14ac:dyDescent="0.25">
      <c r="A696" t="s">
        <v>8536</v>
      </c>
      <c r="B696" t="s">
        <v>8475</v>
      </c>
    </row>
    <row r="697" spans="1:2" x14ac:dyDescent="0.25">
      <c r="A697" t="s">
        <v>8440</v>
      </c>
      <c r="B697" t="s">
        <v>8566</v>
      </c>
    </row>
    <row r="698" spans="1:2" x14ac:dyDescent="0.25">
      <c r="A698" t="s">
        <v>8970</v>
      </c>
      <c r="B698" t="s">
        <v>8259</v>
      </c>
    </row>
    <row r="699" spans="1:2" x14ac:dyDescent="0.25">
      <c r="A699" t="s">
        <v>8940</v>
      </c>
      <c r="B699" t="s">
        <v>8475</v>
      </c>
    </row>
    <row r="700" spans="1:2" x14ac:dyDescent="0.25">
      <c r="A700" t="s">
        <v>8743</v>
      </c>
      <c r="B700" t="s">
        <v>8245</v>
      </c>
    </row>
    <row r="701" spans="1:2" x14ac:dyDescent="0.25">
      <c r="A701" t="s">
        <v>8875</v>
      </c>
      <c r="B701" t="s">
        <v>8475</v>
      </c>
    </row>
    <row r="702" spans="1:2" x14ac:dyDescent="0.25">
      <c r="A702" t="s">
        <v>8226</v>
      </c>
      <c r="B702" t="s">
        <v>8392</v>
      </c>
    </row>
    <row r="703" spans="1:2" x14ac:dyDescent="0.25">
      <c r="A703" t="s">
        <v>8723</v>
      </c>
      <c r="B703" t="s">
        <v>8475</v>
      </c>
    </row>
    <row r="704" spans="1:2" x14ac:dyDescent="0.25">
      <c r="A704" t="s">
        <v>8819</v>
      </c>
      <c r="B704" t="s">
        <v>8238</v>
      </c>
    </row>
    <row r="705" spans="1:2" x14ac:dyDescent="0.25">
      <c r="A705" t="s">
        <v>8765</v>
      </c>
      <c r="B705" t="s">
        <v>8475</v>
      </c>
    </row>
    <row r="706" spans="1:2" x14ac:dyDescent="0.25">
      <c r="A706" t="s">
        <v>8633</v>
      </c>
      <c r="B706" t="s">
        <v>8295</v>
      </c>
    </row>
    <row r="707" spans="1:2" x14ac:dyDescent="0.25">
      <c r="A707" t="s">
        <v>8484</v>
      </c>
      <c r="B707" t="s">
        <v>8475</v>
      </c>
    </row>
    <row r="708" spans="1:2" x14ac:dyDescent="0.25">
      <c r="A708" t="s">
        <v>8826</v>
      </c>
      <c r="B708" t="s">
        <v>8475</v>
      </c>
    </row>
    <row r="709" spans="1:2" x14ac:dyDescent="0.25">
      <c r="A709" t="s">
        <v>8464</v>
      </c>
      <c r="B709" t="s">
        <v>8475</v>
      </c>
    </row>
    <row r="710" spans="1:2" x14ac:dyDescent="0.25">
      <c r="A710" t="s">
        <v>8748</v>
      </c>
      <c r="B710" t="s">
        <v>8475</v>
      </c>
    </row>
    <row r="711" spans="1:2" x14ac:dyDescent="0.25">
      <c r="A711" t="s">
        <v>8679</v>
      </c>
      <c r="B711" t="s">
        <v>8475</v>
      </c>
    </row>
    <row r="712" spans="1:2" x14ac:dyDescent="0.25">
      <c r="A712" t="s">
        <v>8757</v>
      </c>
      <c r="B712" t="s">
        <v>8566</v>
      </c>
    </row>
    <row r="713" spans="1:2" x14ac:dyDescent="0.25">
      <c r="A713" t="s">
        <v>8209</v>
      </c>
      <c r="B713" t="s">
        <v>8475</v>
      </c>
    </row>
    <row r="714" spans="1:2" x14ac:dyDescent="0.25">
      <c r="A714" t="s">
        <v>8866</v>
      </c>
      <c r="B714" t="s">
        <v>8259</v>
      </c>
    </row>
    <row r="715" spans="1:2" x14ac:dyDescent="0.25">
      <c r="A715" t="s">
        <v>8780</v>
      </c>
      <c r="B715" t="s">
        <v>8392</v>
      </c>
    </row>
    <row r="716" spans="1:2" x14ac:dyDescent="0.25">
      <c r="A716" t="s">
        <v>8644</v>
      </c>
      <c r="B716" t="s">
        <v>8566</v>
      </c>
    </row>
    <row r="717" spans="1:2" x14ac:dyDescent="0.25">
      <c r="A717" t="s">
        <v>8624</v>
      </c>
      <c r="B717" t="s">
        <v>8295</v>
      </c>
    </row>
    <row r="718" spans="1:2" x14ac:dyDescent="0.25">
      <c r="A718" t="s">
        <v>8727</v>
      </c>
      <c r="B718" t="s">
        <v>8566</v>
      </c>
    </row>
    <row r="719" spans="1:2" x14ac:dyDescent="0.25">
      <c r="A719" t="s">
        <v>8616</v>
      </c>
      <c r="B719" t="s">
        <v>8221</v>
      </c>
    </row>
    <row r="720" spans="1:2" x14ac:dyDescent="0.25">
      <c r="A720" t="s">
        <v>8281</v>
      </c>
      <c r="B720" t="s">
        <v>8392</v>
      </c>
    </row>
    <row r="721" spans="1:2" x14ac:dyDescent="0.25">
      <c r="A721" t="s">
        <v>8514</v>
      </c>
      <c r="B721" t="s">
        <v>8475</v>
      </c>
    </row>
    <row r="722" spans="1:2" x14ac:dyDescent="0.25">
      <c r="A722" t="s">
        <v>8851</v>
      </c>
      <c r="B722" t="s">
        <v>8475</v>
      </c>
    </row>
    <row r="723" spans="1:2" x14ac:dyDescent="0.25">
      <c r="A723" t="s">
        <v>8204</v>
      </c>
      <c r="B723" t="s">
        <v>8362</v>
      </c>
    </row>
    <row r="724" spans="1:2" x14ac:dyDescent="0.25">
      <c r="A724" t="s">
        <v>8673</v>
      </c>
      <c r="B724" t="s">
        <v>8475</v>
      </c>
    </row>
    <row r="725" spans="1:2" x14ac:dyDescent="0.25">
      <c r="A725" t="s">
        <v>8857</v>
      </c>
      <c r="B725" t="s">
        <v>8475</v>
      </c>
    </row>
    <row r="726" spans="1:2" x14ac:dyDescent="0.25">
      <c r="A726" t="s">
        <v>8234</v>
      </c>
      <c r="B726" t="s">
        <v>8475</v>
      </c>
    </row>
    <row r="727" spans="1:2" x14ac:dyDescent="0.25">
      <c r="A727" t="s">
        <v>8820</v>
      </c>
      <c r="B727" t="s">
        <v>8475</v>
      </c>
    </row>
    <row r="728" spans="1:2" x14ac:dyDescent="0.25">
      <c r="A728" t="s">
        <v>8915</v>
      </c>
      <c r="B728" t="s">
        <v>8475</v>
      </c>
    </row>
    <row r="729" spans="1:2" x14ac:dyDescent="0.25">
      <c r="A729" t="s">
        <v>8980</v>
      </c>
      <c r="B729" t="s">
        <v>8475</v>
      </c>
    </row>
    <row r="730" spans="1:2" x14ac:dyDescent="0.25">
      <c r="A730" t="s">
        <v>8741</v>
      </c>
      <c r="B730" t="s">
        <v>8475</v>
      </c>
    </row>
    <row r="731" spans="1:2" x14ac:dyDescent="0.25">
      <c r="A731" t="s">
        <v>8901</v>
      </c>
      <c r="B731" t="s">
        <v>8475</v>
      </c>
    </row>
    <row r="732" spans="1:2" x14ac:dyDescent="0.25">
      <c r="A732" t="s">
        <v>8505</v>
      </c>
      <c r="B732" t="s">
        <v>8475</v>
      </c>
    </row>
    <row r="733" spans="1:2" x14ac:dyDescent="0.25">
      <c r="A733" t="s">
        <v>8534</v>
      </c>
      <c r="B733" t="s">
        <v>8475</v>
      </c>
    </row>
    <row r="734" spans="1:2" x14ac:dyDescent="0.25">
      <c r="A734" t="s">
        <v>8955</v>
      </c>
      <c r="B734" t="s">
        <v>8475</v>
      </c>
    </row>
    <row r="735" spans="1:2" x14ac:dyDescent="0.25">
      <c r="A735" t="s">
        <v>8302</v>
      </c>
      <c r="B735" t="s">
        <v>8475</v>
      </c>
    </row>
    <row r="736" spans="1:2" x14ac:dyDescent="0.25">
      <c r="A736" t="s">
        <v>8400</v>
      </c>
      <c r="B736" t="s">
        <v>8566</v>
      </c>
    </row>
    <row r="737" spans="1:2" x14ac:dyDescent="0.25">
      <c r="A737" t="s">
        <v>8953</v>
      </c>
      <c r="B737" t="s">
        <v>8475</v>
      </c>
    </row>
    <row r="738" spans="1:2" x14ac:dyDescent="0.25">
      <c r="A738" t="s">
        <v>8709</v>
      </c>
      <c r="B738" t="s">
        <v>8566</v>
      </c>
    </row>
    <row r="739" spans="1:2" x14ac:dyDescent="0.25">
      <c r="A739" t="s">
        <v>8920</v>
      </c>
      <c r="B739" t="s">
        <v>8475</v>
      </c>
    </row>
    <row r="740" spans="1:2" x14ac:dyDescent="0.25">
      <c r="A740" t="s">
        <v>8222</v>
      </c>
      <c r="B740" t="s">
        <v>8392</v>
      </c>
    </row>
    <row r="741" spans="1:2" x14ac:dyDescent="0.25">
      <c r="A741" t="s">
        <v>8836</v>
      </c>
      <c r="B741" t="s">
        <v>8670</v>
      </c>
    </row>
    <row r="742" spans="1:2" x14ac:dyDescent="0.25">
      <c r="A742" t="s">
        <v>8543</v>
      </c>
      <c r="B742" t="s">
        <v>8475</v>
      </c>
    </row>
    <row r="743" spans="1:2" x14ac:dyDescent="0.25">
      <c r="A743" t="s">
        <v>8914</v>
      </c>
      <c r="B743" t="s">
        <v>8475</v>
      </c>
    </row>
    <row r="744" spans="1:2" x14ac:dyDescent="0.25">
      <c r="A744" t="s">
        <v>8360</v>
      </c>
      <c r="B744" t="s">
        <v>8348</v>
      </c>
    </row>
    <row r="745" spans="1:2" x14ac:dyDescent="0.25">
      <c r="A745" t="s">
        <v>8638</v>
      </c>
      <c r="B745" t="s">
        <v>8475</v>
      </c>
    </row>
    <row r="746" spans="1:2" x14ac:dyDescent="0.25">
      <c r="A746" t="s">
        <v>8661</v>
      </c>
      <c r="B746" t="s">
        <v>8670</v>
      </c>
    </row>
    <row r="747" spans="1:2" x14ac:dyDescent="0.25">
      <c r="A747" t="s">
        <v>8788</v>
      </c>
      <c r="B747" t="s">
        <v>8670</v>
      </c>
    </row>
    <row r="748" spans="1:2" x14ac:dyDescent="0.25">
      <c r="A748" t="s">
        <v>8695</v>
      </c>
      <c r="B748" t="s">
        <v>8670</v>
      </c>
    </row>
    <row r="749" spans="1:2" x14ac:dyDescent="0.25">
      <c r="A749" t="s">
        <v>8657</v>
      </c>
      <c r="B749" t="s">
        <v>8475</v>
      </c>
    </row>
    <row r="750" spans="1:2" x14ac:dyDescent="0.25">
      <c r="A750" t="s">
        <v>8596</v>
      </c>
      <c r="B750" t="s">
        <v>8670</v>
      </c>
    </row>
    <row r="751" spans="1:2" x14ac:dyDescent="0.25">
      <c r="A751" t="s">
        <v>8242</v>
      </c>
      <c r="B751" t="s">
        <v>8475</v>
      </c>
    </row>
    <row r="752" spans="1:2" x14ac:dyDescent="0.25">
      <c r="A752" t="s">
        <v>8822</v>
      </c>
      <c r="B752" t="s">
        <v>8475</v>
      </c>
    </row>
    <row r="753" spans="1:2" x14ac:dyDescent="0.25">
      <c r="A753" t="s">
        <v>8260</v>
      </c>
      <c r="B753" t="s">
        <v>8475</v>
      </c>
    </row>
    <row r="754" spans="1:2" x14ac:dyDescent="0.25">
      <c r="A754" t="s">
        <v>8669</v>
      </c>
      <c r="B754" t="s">
        <v>8245</v>
      </c>
    </row>
    <row r="755" spans="1:2" x14ac:dyDescent="0.25">
      <c r="A755" t="s">
        <v>8565</v>
      </c>
      <c r="B755" t="s">
        <v>8295</v>
      </c>
    </row>
    <row r="756" spans="1:2" x14ac:dyDescent="0.25">
      <c r="A756" t="s">
        <v>8726</v>
      </c>
      <c r="B756" t="s">
        <v>8475</v>
      </c>
    </row>
    <row r="757" spans="1:2" x14ac:dyDescent="0.25">
      <c r="A757" t="s">
        <v>8339</v>
      </c>
      <c r="B757" t="s">
        <v>8475</v>
      </c>
    </row>
    <row r="758" spans="1:2" x14ac:dyDescent="0.25">
      <c r="A758" t="s">
        <v>8950</v>
      </c>
      <c r="B758" t="s">
        <v>8475</v>
      </c>
    </row>
    <row r="759" spans="1:2" x14ac:dyDescent="0.25">
      <c r="A759" t="s">
        <v>8416</v>
      </c>
      <c r="B759" t="s">
        <v>8221</v>
      </c>
    </row>
    <row r="760" spans="1:2" x14ac:dyDescent="0.25">
      <c r="A760" t="s">
        <v>8734</v>
      </c>
      <c r="B760" t="s">
        <v>8475</v>
      </c>
    </row>
    <row r="761" spans="1:2" x14ac:dyDescent="0.25">
      <c r="A761" t="s">
        <v>8605</v>
      </c>
      <c r="B761" t="s">
        <v>8475</v>
      </c>
    </row>
    <row r="762" spans="1:2" x14ac:dyDescent="0.25">
      <c r="A762" t="s">
        <v>8885</v>
      </c>
      <c r="B762" t="s">
        <v>8475</v>
      </c>
    </row>
    <row r="763" spans="1:2" x14ac:dyDescent="0.25">
      <c r="A763" t="s">
        <v>8813</v>
      </c>
      <c r="B763" t="s">
        <v>8566</v>
      </c>
    </row>
    <row r="764" spans="1:2" x14ac:dyDescent="0.25">
      <c r="A764" t="s">
        <v>8873</v>
      </c>
      <c r="B764" t="s">
        <v>8295</v>
      </c>
    </row>
    <row r="765" spans="1:2" x14ac:dyDescent="0.25">
      <c r="A765" t="s">
        <v>8835</v>
      </c>
      <c r="B765" t="s">
        <v>8475</v>
      </c>
    </row>
    <row r="766" spans="1:2" x14ac:dyDescent="0.25">
      <c r="A766" t="s">
        <v>8982</v>
      </c>
      <c r="B766" t="s">
        <v>8245</v>
      </c>
    </row>
    <row r="767" spans="1:2" x14ac:dyDescent="0.25">
      <c r="A767" t="s">
        <v>8766</v>
      </c>
      <c r="B767" t="s">
        <v>8245</v>
      </c>
    </row>
    <row r="768" spans="1:2" x14ac:dyDescent="0.25">
      <c r="A768" t="s">
        <v>8545</v>
      </c>
      <c r="B768" t="s">
        <v>8475</v>
      </c>
    </row>
    <row r="769" spans="1:2" x14ac:dyDescent="0.25">
      <c r="A769" t="s">
        <v>8705</v>
      </c>
      <c r="B769" t="s">
        <v>8475</v>
      </c>
    </row>
    <row r="770" spans="1:2" x14ac:dyDescent="0.25">
      <c r="A770" t="s">
        <v>8451</v>
      </c>
      <c r="B770" t="s">
        <v>8259</v>
      </c>
    </row>
    <row r="771" spans="1:2" x14ac:dyDescent="0.25">
      <c r="A771" t="s">
        <v>8674</v>
      </c>
      <c r="B771" t="s">
        <v>8475</v>
      </c>
    </row>
    <row r="772" spans="1:2" x14ac:dyDescent="0.25">
      <c r="A772" t="s">
        <v>8941</v>
      </c>
      <c r="B772" t="s">
        <v>8245</v>
      </c>
    </row>
    <row r="773" spans="1:2" x14ac:dyDescent="0.25">
      <c r="A773" t="s">
        <v>8302</v>
      </c>
      <c r="B773" t="s">
        <v>8295</v>
      </c>
    </row>
    <row r="774" spans="1:2" x14ac:dyDescent="0.25">
      <c r="A774" t="s">
        <v>8585</v>
      </c>
      <c r="B774" t="s">
        <v>8475</v>
      </c>
    </row>
    <row r="775" spans="1:2" x14ac:dyDescent="0.25">
      <c r="A775" t="s">
        <v>8830</v>
      </c>
      <c r="B775" t="s">
        <v>8259</v>
      </c>
    </row>
    <row r="776" spans="1:2" x14ac:dyDescent="0.25">
      <c r="A776" t="s">
        <v>8221</v>
      </c>
      <c r="B776" t="s">
        <v>8216</v>
      </c>
    </row>
    <row r="777" spans="1:2" x14ac:dyDescent="0.25">
      <c r="A777" t="s">
        <v>8956</v>
      </c>
      <c r="B777" t="s">
        <v>8417</v>
      </c>
    </row>
    <row r="778" spans="1:2" x14ac:dyDescent="0.25">
      <c r="A778" t="s">
        <v>8345</v>
      </c>
      <c r="B778" t="s">
        <v>8566</v>
      </c>
    </row>
    <row r="779" spans="1:2" x14ac:dyDescent="0.25">
      <c r="A779" t="s">
        <v>8215</v>
      </c>
      <c r="B779" t="s">
        <v>8348</v>
      </c>
    </row>
    <row r="780" spans="1:2" x14ac:dyDescent="0.25">
      <c r="A780" t="s">
        <v>8557</v>
      </c>
      <c r="B780" t="s">
        <v>8221</v>
      </c>
    </row>
    <row r="781" spans="1:2" x14ac:dyDescent="0.25">
      <c r="A781" t="s">
        <v>8268</v>
      </c>
      <c r="B781" t="s">
        <v>8259</v>
      </c>
    </row>
    <row r="782" spans="1:2" x14ac:dyDescent="0.25">
      <c r="A782" t="s">
        <v>8365</v>
      </c>
      <c r="B782" t="s">
        <v>8475</v>
      </c>
    </row>
    <row r="783" spans="1:2" x14ac:dyDescent="0.25">
      <c r="A783" t="s">
        <v>8850</v>
      </c>
      <c r="B783" t="s">
        <v>8475</v>
      </c>
    </row>
    <row r="784" spans="1:2" x14ac:dyDescent="0.25">
      <c r="A784" t="s">
        <v>8587</v>
      </c>
      <c r="B784" t="s">
        <v>8475</v>
      </c>
    </row>
    <row r="785" spans="1:2" x14ac:dyDescent="0.25">
      <c r="A785" t="s">
        <v>8693</v>
      </c>
      <c r="B785" t="s">
        <v>8475</v>
      </c>
    </row>
    <row r="786" spans="1:2" x14ac:dyDescent="0.25">
      <c r="A786" t="s">
        <v>8547</v>
      </c>
      <c r="B786" t="s">
        <v>8475</v>
      </c>
    </row>
    <row r="787" spans="1:2" x14ac:dyDescent="0.25">
      <c r="A787" t="s">
        <v>8781</v>
      </c>
      <c r="B787" t="s">
        <v>8475</v>
      </c>
    </row>
    <row r="788" spans="1:2" x14ac:dyDescent="0.25">
      <c r="A788" t="s">
        <v>8811</v>
      </c>
      <c r="B788" t="s">
        <v>8566</v>
      </c>
    </row>
    <row r="789" spans="1:2" x14ac:dyDescent="0.25">
      <c r="A789" t="s">
        <v>8437</v>
      </c>
      <c r="B789" t="s">
        <v>8475</v>
      </c>
    </row>
    <row r="790" spans="1:2" x14ac:dyDescent="0.25">
      <c r="A790" t="s">
        <v>8277</v>
      </c>
      <c r="B790" t="s">
        <v>8221</v>
      </c>
    </row>
    <row r="791" spans="1:2" x14ac:dyDescent="0.25">
      <c r="A791" t="s">
        <v>8762</v>
      </c>
      <c r="B791" t="s">
        <v>8475</v>
      </c>
    </row>
    <row r="792" spans="1:2" x14ac:dyDescent="0.25">
      <c r="A792" t="s">
        <v>8739</v>
      </c>
      <c r="B792" t="s">
        <v>8475</v>
      </c>
    </row>
    <row r="793" spans="1:2" x14ac:dyDescent="0.25">
      <c r="A793" t="s">
        <v>8989</v>
      </c>
      <c r="B793" t="s">
        <v>8295</v>
      </c>
    </row>
    <row r="794" spans="1:2" x14ac:dyDescent="0.25">
      <c r="A794" t="s">
        <v>8467</v>
      </c>
      <c r="B794" t="s">
        <v>8295</v>
      </c>
    </row>
    <row r="795" spans="1:2" x14ac:dyDescent="0.25">
      <c r="A795" t="s">
        <v>8256</v>
      </c>
      <c r="B795" t="s">
        <v>8295</v>
      </c>
    </row>
    <row r="796" spans="1:2" x14ac:dyDescent="0.25">
      <c r="A796" t="s">
        <v>8374</v>
      </c>
      <c r="B796" t="s">
        <v>8475</v>
      </c>
    </row>
    <row r="797" spans="1:2" x14ac:dyDescent="0.25">
      <c r="A797" t="s">
        <v>8293</v>
      </c>
      <c r="B797" t="s">
        <v>8475</v>
      </c>
    </row>
    <row r="798" spans="1:2" x14ac:dyDescent="0.25">
      <c r="A798" t="s">
        <v>8876</v>
      </c>
      <c r="B798" t="s">
        <v>8475</v>
      </c>
    </row>
    <row r="799" spans="1:2" x14ac:dyDescent="0.25">
      <c r="A799" t="s">
        <v>8601</v>
      </c>
      <c r="B799" t="s">
        <v>8475</v>
      </c>
    </row>
    <row r="800" spans="1:2" x14ac:dyDescent="0.25">
      <c r="A800" t="s">
        <v>8575</v>
      </c>
      <c r="B800" t="s">
        <v>8259</v>
      </c>
    </row>
    <row r="801" spans="1:2" x14ac:dyDescent="0.25">
      <c r="A801" t="s">
        <v>8751</v>
      </c>
      <c r="B801" t="s">
        <v>8475</v>
      </c>
    </row>
    <row r="802" spans="1:2" x14ac:dyDescent="0.25">
      <c r="A802" t="s">
        <v>8300</v>
      </c>
      <c r="B802" t="s">
        <v>8392</v>
      </c>
    </row>
    <row r="803" spans="1:2" x14ac:dyDescent="0.25">
      <c r="A803" t="s">
        <v>8590</v>
      </c>
      <c r="B803" t="s">
        <v>8221</v>
      </c>
    </row>
    <row r="804" spans="1:2" x14ac:dyDescent="0.25">
      <c r="A804" t="s">
        <v>8790</v>
      </c>
      <c r="B804" t="s">
        <v>8259</v>
      </c>
    </row>
    <row r="805" spans="1:2" x14ac:dyDescent="0.25">
      <c r="A805" t="s">
        <v>8462</v>
      </c>
      <c r="B805" t="s">
        <v>8343</v>
      </c>
    </row>
    <row r="806" spans="1:2" x14ac:dyDescent="0.25">
      <c r="A806" t="s">
        <v>8619</v>
      </c>
      <c r="B806" t="s">
        <v>8245</v>
      </c>
    </row>
    <row r="807" spans="1:2" x14ac:dyDescent="0.25">
      <c r="A807" t="s">
        <v>8798</v>
      </c>
      <c r="B807" t="s">
        <v>8566</v>
      </c>
    </row>
    <row r="808" spans="1:2" x14ac:dyDescent="0.25">
      <c r="A808">
        <v>732</v>
      </c>
      <c r="B808" t="s">
        <v>8566</v>
      </c>
    </row>
    <row r="809" spans="1:2" x14ac:dyDescent="0.25">
      <c r="A809" t="s">
        <v>8761</v>
      </c>
      <c r="B809" t="s">
        <v>8566</v>
      </c>
    </row>
    <row r="810" spans="1:2" x14ac:dyDescent="0.25">
      <c r="A810" t="s">
        <v>8802</v>
      </c>
      <c r="B810" t="s">
        <v>8295</v>
      </c>
    </row>
    <row r="811" spans="1:2" x14ac:dyDescent="0.25">
      <c r="A811" t="s">
        <v>8793</v>
      </c>
      <c r="B811" t="s">
        <v>8362</v>
      </c>
    </row>
    <row r="812" spans="1:2" x14ac:dyDescent="0.25">
      <c r="A812" t="s">
        <v>8572</v>
      </c>
      <c r="B812" t="s">
        <v>8217</v>
      </c>
    </row>
    <row r="813" spans="1:2" x14ac:dyDescent="0.25">
      <c r="A813" t="s">
        <v>8816</v>
      </c>
      <c r="B813" t="s">
        <v>8221</v>
      </c>
    </row>
    <row r="814" spans="1:2" x14ac:dyDescent="0.25">
      <c r="A814" t="s">
        <v>8555</v>
      </c>
      <c r="B814" t="s">
        <v>8348</v>
      </c>
    </row>
    <row r="815" spans="1:2" x14ac:dyDescent="0.25">
      <c r="A815" t="s">
        <v>8852</v>
      </c>
      <c r="B815" t="s">
        <v>8475</v>
      </c>
    </row>
    <row r="816" spans="1:2" x14ac:dyDescent="0.25">
      <c r="A816" t="s">
        <v>8435</v>
      </c>
      <c r="B816" t="s">
        <v>8343</v>
      </c>
    </row>
    <row r="817" spans="1:2" x14ac:dyDescent="0.25">
      <c r="A817" t="s">
        <v>8824</v>
      </c>
      <c r="B817" t="s">
        <v>8670</v>
      </c>
    </row>
    <row r="818" spans="1:2" x14ac:dyDescent="0.25">
      <c r="A818" t="s">
        <v>8504</v>
      </c>
      <c r="B818" t="s">
        <v>8392</v>
      </c>
    </row>
    <row r="819" spans="1:2" x14ac:dyDescent="0.25">
      <c r="A819" t="s">
        <v>8667</v>
      </c>
      <c r="B819" t="s">
        <v>8670</v>
      </c>
    </row>
    <row r="820" spans="1:2" x14ac:dyDescent="0.25">
      <c r="A820" t="s">
        <v>8966</v>
      </c>
      <c r="B820" t="s">
        <v>8475</v>
      </c>
    </row>
    <row r="821" spans="1:2" x14ac:dyDescent="0.25">
      <c r="A821" t="s">
        <v>8647</v>
      </c>
      <c r="B821" t="s">
        <v>8475</v>
      </c>
    </row>
    <row r="822" spans="1:2" x14ac:dyDescent="0.25">
      <c r="A822" t="s">
        <v>8395</v>
      </c>
      <c r="B822" t="s">
        <v>8566</v>
      </c>
    </row>
    <row r="823" spans="1:2" x14ac:dyDescent="0.25">
      <c r="A823" t="s">
        <v>8707</v>
      </c>
      <c r="B823" t="s">
        <v>8566</v>
      </c>
    </row>
    <row r="824" spans="1:2" x14ac:dyDescent="0.25">
      <c r="A824" t="s">
        <v>8668</v>
      </c>
      <c r="B824" t="s">
        <v>8475</v>
      </c>
    </row>
    <row r="825" spans="1:2" x14ac:dyDescent="0.25">
      <c r="A825" t="s">
        <v>8261</v>
      </c>
      <c r="B825" t="s">
        <v>8221</v>
      </c>
    </row>
    <row r="826" spans="1:2" x14ac:dyDescent="0.25">
      <c r="A826" t="s">
        <v>8258</v>
      </c>
      <c r="B826" t="s">
        <v>8362</v>
      </c>
    </row>
    <row r="827" spans="1:2" x14ac:dyDescent="0.25">
      <c r="A827" t="s">
        <v>8525</v>
      </c>
      <c r="B827" t="s">
        <v>8475</v>
      </c>
    </row>
    <row r="828" spans="1:2" x14ac:dyDescent="0.25">
      <c r="A828" t="s">
        <v>8776</v>
      </c>
      <c r="B828" t="s">
        <v>8245</v>
      </c>
    </row>
    <row r="829" spans="1:2" x14ac:dyDescent="0.25">
      <c r="A829" t="s">
        <v>8494</v>
      </c>
      <c r="B829" t="s">
        <v>8475</v>
      </c>
    </row>
    <row r="830" spans="1:2" x14ac:dyDescent="0.25">
      <c r="A830" t="s">
        <v>8460</v>
      </c>
      <c r="B830" t="s">
        <v>8566</v>
      </c>
    </row>
    <row r="831" spans="1:2" x14ac:dyDescent="0.25">
      <c r="A831" t="s">
        <v>8346</v>
      </c>
      <c r="B831" t="s">
        <v>8475</v>
      </c>
    </row>
    <row r="832" spans="1:2" x14ac:dyDescent="0.25">
      <c r="A832" t="s">
        <v>8880</v>
      </c>
      <c r="B832" t="s">
        <v>8245</v>
      </c>
    </row>
    <row r="833" spans="1:2" x14ac:dyDescent="0.25">
      <c r="A833" t="s">
        <v>8797</v>
      </c>
      <c r="B833" t="s">
        <v>8245</v>
      </c>
    </row>
    <row r="834" spans="1:2" x14ac:dyDescent="0.25">
      <c r="A834" t="s">
        <v>8516</v>
      </c>
      <c r="B834" t="s">
        <v>8295</v>
      </c>
    </row>
    <row r="835" spans="1:2" x14ac:dyDescent="0.25">
      <c r="A835" t="s">
        <v>8767</v>
      </c>
      <c r="B835" t="s">
        <v>8245</v>
      </c>
    </row>
    <row r="836" spans="1:2" x14ac:dyDescent="0.25">
      <c r="A836" t="s">
        <v>8839</v>
      </c>
      <c r="B836" t="s">
        <v>8417</v>
      </c>
    </row>
    <row r="837" spans="1:2" x14ac:dyDescent="0.25">
      <c r="A837" t="s">
        <v>8353</v>
      </c>
      <c r="B837" t="s">
        <v>8475</v>
      </c>
    </row>
    <row r="838" spans="1:2" x14ac:dyDescent="0.25">
      <c r="A838" t="s">
        <v>8759</v>
      </c>
      <c r="B838" t="s">
        <v>8475</v>
      </c>
    </row>
    <row r="839" spans="1:2" x14ac:dyDescent="0.25">
      <c r="A839" t="s">
        <v>8861</v>
      </c>
      <c r="B839" t="s">
        <v>8566</v>
      </c>
    </row>
    <row r="840" spans="1:2" x14ac:dyDescent="0.25">
      <c r="A840" t="s">
        <v>8724</v>
      </c>
      <c r="B840" t="s">
        <v>8362</v>
      </c>
    </row>
    <row r="841" spans="1:2" x14ac:dyDescent="0.25">
      <c r="A841" t="s">
        <v>8809</v>
      </c>
      <c r="B841" t="s">
        <v>8245</v>
      </c>
    </row>
    <row r="842" spans="1:2" x14ac:dyDescent="0.25">
      <c r="A842" t="s">
        <v>8237</v>
      </c>
      <c r="B842" t="s">
        <v>8221</v>
      </c>
    </row>
    <row r="843" spans="1:2" x14ac:dyDescent="0.25">
      <c r="A843" t="s">
        <v>8735</v>
      </c>
      <c r="B843" t="s">
        <v>8670</v>
      </c>
    </row>
    <row r="844" spans="1:2" x14ac:dyDescent="0.25">
      <c r="A844" t="s">
        <v>8833</v>
      </c>
      <c r="B844" t="s">
        <v>8475</v>
      </c>
    </row>
    <row r="845" spans="1:2" x14ac:dyDescent="0.25">
      <c r="A845" t="s">
        <v>8512</v>
      </c>
      <c r="B845" t="s">
        <v>8475</v>
      </c>
    </row>
    <row r="846" spans="1:2" x14ac:dyDescent="0.25">
      <c r="A846" t="s">
        <v>8831</v>
      </c>
      <c r="B846" t="s">
        <v>8566</v>
      </c>
    </row>
    <row r="847" spans="1:2" x14ac:dyDescent="0.25">
      <c r="A847" t="s">
        <v>8682</v>
      </c>
      <c r="B847" t="s">
        <v>8475</v>
      </c>
    </row>
    <row r="848" spans="1:2" x14ac:dyDescent="0.25">
      <c r="A848" t="s">
        <v>8987</v>
      </c>
      <c r="B848" t="s">
        <v>8362</v>
      </c>
    </row>
    <row r="849" spans="1:2" x14ac:dyDescent="0.25">
      <c r="A849" t="s">
        <v>8632</v>
      </c>
      <c r="B849" t="s">
        <v>8245</v>
      </c>
    </row>
    <row r="850" spans="1:2" x14ac:dyDescent="0.25">
      <c r="A850" t="s">
        <v>8598</v>
      </c>
      <c r="B850" t="s">
        <v>8475</v>
      </c>
    </row>
    <row r="851" spans="1:2" x14ac:dyDescent="0.25">
      <c r="A851" t="s">
        <v>8859</v>
      </c>
      <c r="B851" t="s">
        <v>8217</v>
      </c>
    </row>
    <row r="852" spans="1:2" x14ac:dyDescent="0.25">
      <c r="A852" t="s">
        <v>8556</v>
      </c>
      <c r="B852" t="s">
        <v>8566</v>
      </c>
    </row>
    <row r="853" spans="1:2" x14ac:dyDescent="0.25">
      <c r="A853" t="s">
        <v>8363</v>
      </c>
      <c r="B853" t="s">
        <v>8566</v>
      </c>
    </row>
    <row r="854" spans="1:2" x14ac:dyDescent="0.25">
      <c r="A854" t="s">
        <v>8685</v>
      </c>
      <c r="B854" t="s">
        <v>8392</v>
      </c>
    </row>
    <row r="855" spans="1:2" x14ac:dyDescent="0.25">
      <c r="A855" t="s">
        <v>8699</v>
      </c>
      <c r="B855" t="s">
        <v>8670</v>
      </c>
    </row>
    <row r="856" spans="1:2" x14ac:dyDescent="0.25">
      <c r="A856" t="s">
        <v>8890</v>
      </c>
      <c r="B856" t="s">
        <v>8670</v>
      </c>
    </row>
    <row r="857" spans="1:2" x14ac:dyDescent="0.25">
      <c r="A857" t="s">
        <v>8694</v>
      </c>
      <c r="B857" t="s">
        <v>8362</v>
      </c>
    </row>
    <row r="858" spans="1:2" x14ac:dyDescent="0.25">
      <c r="A858" t="s">
        <v>8331</v>
      </c>
      <c r="B858" t="s">
        <v>8475</v>
      </c>
    </row>
    <row r="859" spans="1:2" x14ac:dyDescent="0.25">
      <c r="A859" t="s">
        <v>8284</v>
      </c>
      <c r="B859" t="s">
        <v>8348</v>
      </c>
    </row>
    <row r="860" spans="1:2" x14ac:dyDescent="0.25">
      <c r="A860" t="s">
        <v>8623</v>
      </c>
      <c r="B860" t="s">
        <v>8392</v>
      </c>
    </row>
    <row r="861" spans="1:2" x14ac:dyDescent="0.25">
      <c r="A861" t="s">
        <v>8730</v>
      </c>
      <c r="B861" t="s">
        <v>8245</v>
      </c>
    </row>
    <row r="862" spans="1:2" x14ac:dyDescent="0.25">
      <c r="A862" t="s">
        <v>8537</v>
      </c>
      <c r="B862" t="s">
        <v>8566</v>
      </c>
    </row>
    <row r="863" spans="1:2" x14ac:dyDescent="0.25">
      <c r="A863" t="s">
        <v>8755</v>
      </c>
      <c r="B863" t="s">
        <v>8566</v>
      </c>
    </row>
    <row r="864" spans="1:2" x14ac:dyDescent="0.25">
      <c r="A864" t="s">
        <v>8929</v>
      </c>
      <c r="B864" t="s">
        <v>8475</v>
      </c>
    </row>
    <row r="865" spans="1:2" x14ac:dyDescent="0.25">
      <c r="A865" t="s">
        <v>8225</v>
      </c>
      <c r="B865" t="s">
        <v>8670</v>
      </c>
    </row>
    <row r="866" spans="1:2" x14ac:dyDescent="0.25">
      <c r="A866" t="s">
        <v>8990</v>
      </c>
      <c r="B866" t="s">
        <v>8392</v>
      </c>
    </row>
    <row r="867" spans="1:2" x14ac:dyDescent="0.25">
      <c r="A867" t="s">
        <v>8546</v>
      </c>
      <c r="B867" t="s">
        <v>8250</v>
      </c>
    </row>
    <row r="868" spans="1:2" x14ac:dyDescent="0.25">
      <c r="A868" t="s">
        <v>8704</v>
      </c>
      <c r="B868" t="s">
        <v>8245</v>
      </c>
    </row>
    <row r="869" spans="1:2" x14ac:dyDescent="0.25">
      <c r="A869" t="s">
        <v>8838</v>
      </c>
      <c r="B869" t="s">
        <v>8245</v>
      </c>
    </row>
  </sheetData>
  <autoFilter ref="A1:B869" xr:uid="{D37C1899-ACFE-4A6E-BD5A-602F415EFE0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9B3E-979B-488F-BE92-9545B74155AB}">
  <dimension ref="A1:B569"/>
  <sheetViews>
    <sheetView workbookViewId="0">
      <selection activeCell="C3" sqref="C3"/>
    </sheetView>
  </sheetViews>
  <sheetFormatPr baseColWidth="10" defaultRowHeight="15" x14ac:dyDescent="0.25"/>
  <cols>
    <col min="1" max="1" width="15.42578125" bestFit="1" customWidth="1"/>
    <col min="2" max="2" width="16.85546875" bestFit="1" customWidth="1"/>
  </cols>
  <sheetData>
    <row r="1" spans="1:2" x14ac:dyDescent="0.25">
      <c r="A1" t="s">
        <v>9005</v>
      </c>
      <c r="B1" t="s">
        <v>11054</v>
      </c>
    </row>
    <row r="2" spans="1:2" x14ac:dyDescent="0.25">
      <c r="A2" t="s">
        <v>8527</v>
      </c>
      <c r="B2" t="s">
        <v>8217</v>
      </c>
    </row>
    <row r="3" spans="1:2" x14ac:dyDescent="0.25">
      <c r="A3" t="s">
        <v>8454</v>
      </c>
      <c r="B3" t="s">
        <v>8217</v>
      </c>
    </row>
    <row r="4" spans="1:2" x14ac:dyDescent="0.25">
      <c r="A4" t="s">
        <v>8380</v>
      </c>
      <c r="B4" t="s">
        <v>8566</v>
      </c>
    </row>
    <row r="5" spans="1:2" x14ac:dyDescent="0.25">
      <c r="A5" t="s">
        <v>8562</v>
      </c>
      <c r="B5" t="s">
        <v>8217</v>
      </c>
    </row>
    <row r="6" spans="1:2" x14ac:dyDescent="0.25">
      <c r="A6" t="s">
        <v>8468</v>
      </c>
      <c r="B6" t="s">
        <v>8221</v>
      </c>
    </row>
    <row r="7" spans="1:2" x14ac:dyDescent="0.25">
      <c r="A7" t="s">
        <v>8319</v>
      </c>
      <c r="B7" t="s">
        <v>8717</v>
      </c>
    </row>
    <row r="8" spans="1:2" x14ac:dyDescent="0.25">
      <c r="A8" t="s">
        <v>8341</v>
      </c>
      <c r="B8" t="s">
        <v>8717</v>
      </c>
    </row>
    <row r="9" spans="1:2" x14ac:dyDescent="0.25">
      <c r="A9" t="s">
        <v>8243</v>
      </c>
      <c r="B9" t="s">
        <v>8717</v>
      </c>
    </row>
    <row r="10" spans="1:2" x14ac:dyDescent="0.25">
      <c r="A10" t="s">
        <v>8691</v>
      </c>
      <c r="B10" t="s">
        <v>8221</v>
      </c>
    </row>
    <row r="11" spans="1:2" x14ac:dyDescent="0.25">
      <c r="A11" t="s">
        <v>8423</v>
      </c>
      <c r="B11" t="s">
        <v>8348</v>
      </c>
    </row>
    <row r="12" spans="1:2" x14ac:dyDescent="0.25">
      <c r="A12" t="s">
        <v>8432</v>
      </c>
      <c r="B12" t="s">
        <v>8475</v>
      </c>
    </row>
    <row r="13" spans="1:2" x14ac:dyDescent="0.25">
      <c r="A13" t="s">
        <v>8227</v>
      </c>
      <c r="B13" t="s">
        <v>8221</v>
      </c>
    </row>
    <row r="14" spans="1:2" x14ac:dyDescent="0.25">
      <c r="A14" t="s">
        <v>8289</v>
      </c>
      <c r="B14" t="s">
        <v>8475</v>
      </c>
    </row>
    <row r="15" spans="1:2" x14ac:dyDescent="0.25">
      <c r="A15" t="s">
        <v>8972</v>
      </c>
      <c r="B15" t="s">
        <v>8348</v>
      </c>
    </row>
    <row r="16" spans="1:2" x14ac:dyDescent="0.25">
      <c r="A16" t="s">
        <v>8359</v>
      </c>
      <c r="B16" t="s">
        <v>8217</v>
      </c>
    </row>
    <row r="17" spans="1:2" x14ac:dyDescent="0.25">
      <c r="A17" t="s">
        <v>8370</v>
      </c>
      <c r="B17" t="s">
        <v>8717</v>
      </c>
    </row>
    <row r="18" spans="1:2" x14ac:dyDescent="0.25">
      <c r="A18" t="s">
        <v>8320</v>
      </c>
      <c r="B18" t="s">
        <v>8221</v>
      </c>
    </row>
    <row r="19" spans="1:2" x14ac:dyDescent="0.25">
      <c r="A19" t="s">
        <v>8313</v>
      </c>
      <c r="B19" t="s">
        <v>8348</v>
      </c>
    </row>
    <row r="20" spans="1:2" x14ac:dyDescent="0.25">
      <c r="A20" t="s">
        <v>8386</v>
      </c>
      <c r="B20" t="s">
        <v>8362</v>
      </c>
    </row>
    <row r="21" spans="1:2" x14ac:dyDescent="0.25">
      <c r="A21" t="s">
        <v>8426</v>
      </c>
      <c r="B21" t="s">
        <v>8348</v>
      </c>
    </row>
    <row r="22" spans="1:2" x14ac:dyDescent="0.25">
      <c r="A22" t="s">
        <v>8283</v>
      </c>
      <c r="B22" t="s">
        <v>8717</v>
      </c>
    </row>
    <row r="23" spans="1:2" x14ac:dyDescent="0.25">
      <c r="A23" t="s">
        <v>8384</v>
      </c>
      <c r="B23" t="s">
        <v>8566</v>
      </c>
    </row>
    <row r="24" spans="1:2" x14ac:dyDescent="0.25">
      <c r="A24" t="s">
        <v>8377</v>
      </c>
      <c r="B24" t="s">
        <v>8475</v>
      </c>
    </row>
    <row r="25" spans="1:2" x14ac:dyDescent="0.25">
      <c r="A25" t="s">
        <v>8333</v>
      </c>
      <c r="B25" t="s">
        <v>8216</v>
      </c>
    </row>
    <row r="26" spans="1:2" x14ac:dyDescent="0.25">
      <c r="A26" t="s">
        <v>8232</v>
      </c>
      <c r="B26" t="s">
        <v>8221</v>
      </c>
    </row>
    <row r="27" spans="1:2" x14ac:dyDescent="0.25">
      <c r="A27" t="s">
        <v>8425</v>
      </c>
      <c r="B27" t="s">
        <v>8221</v>
      </c>
    </row>
    <row r="28" spans="1:2" x14ac:dyDescent="0.25">
      <c r="A28" t="s">
        <v>8251</v>
      </c>
      <c r="B28" t="s">
        <v>8216</v>
      </c>
    </row>
    <row r="29" spans="1:2" x14ac:dyDescent="0.25">
      <c r="A29" t="s">
        <v>8918</v>
      </c>
      <c r="B29" t="s">
        <v>8217</v>
      </c>
    </row>
    <row r="30" spans="1:2" x14ac:dyDescent="0.25">
      <c r="A30" t="s">
        <v>8291</v>
      </c>
      <c r="B30" t="s">
        <v>8348</v>
      </c>
    </row>
    <row r="31" spans="1:2" x14ac:dyDescent="0.25">
      <c r="A31" t="s">
        <v>8335</v>
      </c>
      <c r="B31" t="s">
        <v>8343</v>
      </c>
    </row>
    <row r="32" spans="1:2" x14ac:dyDescent="0.25">
      <c r="A32" t="s">
        <v>8276</v>
      </c>
      <c r="B32" t="s">
        <v>8295</v>
      </c>
    </row>
    <row r="33" spans="1:2" x14ac:dyDescent="0.25">
      <c r="A33" t="s">
        <v>8241</v>
      </c>
      <c r="B33" t="s">
        <v>8251</v>
      </c>
    </row>
    <row r="34" spans="1:2" x14ac:dyDescent="0.25">
      <c r="A34" t="s">
        <v>8591</v>
      </c>
      <c r="B34" t="s">
        <v>8238</v>
      </c>
    </row>
    <row r="35" spans="1:2" x14ac:dyDescent="0.25">
      <c r="A35" t="s">
        <v>8412</v>
      </c>
      <c r="B35" t="s">
        <v>8343</v>
      </c>
    </row>
    <row r="36" spans="1:2" x14ac:dyDescent="0.25">
      <c r="A36" t="s">
        <v>8338</v>
      </c>
      <c r="B36" t="s">
        <v>8221</v>
      </c>
    </row>
    <row r="37" spans="1:2" x14ac:dyDescent="0.25">
      <c r="A37" t="s">
        <v>8588</v>
      </c>
      <c r="B37" t="s">
        <v>8566</v>
      </c>
    </row>
    <row r="38" spans="1:2" x14ac:dyDescent="0.25">
      <c r="A38" t="s">
        <v>8495</v>
      </c>
      <c r="B38" t="s">
        <v>8475</v>
      </c>
    </row>
    <row r="39" spans="1:2" x14ac:dyDescent="0.25">
      <c r="A39" t="s">
        <v>8570</v>
      </c>
      <c r="B39" t="s">
        <v>8343</v>
      </c>
    </row>
    <row r="40" spans="1:2" x14ac:dyDescent="0.25">
      <c r="A40" t="s">
        <v>8487</v>
      </c>
      <c r="B40" t="s">
        <v>8475</v>
      </c>
    </row>
    <row r="41" spans="1:2" x14ac:dyDescent="0.25">
      <c r="A41" t="s">
        <v>8285</v>
      </c>
      <c r="B41" t="s">
        <v>8475</v>
      </c>
    </row>
    <row r="42" spans="1:2" x14ac:dyDescent="0.25">
      <c r="A42" t="s">
        <v>8635</v>
      </c>
      <c r="B42" t="s">
        <v>8343</v>
      </c>
    </row>
    <row r="43" spans="1:2" x14ac:dyDescent="0.25">
      <c r="A43" t="s">
        <v>8388</v>
      </c>
      <c r="B43" t="s">
        <v>8717</v>
      </c>
    </row>
    <row r="44" spans="1:2" x14ac:dyDescent="0.25">
      <c r="A44" t="s">
        <v>8429</v>
      </c>
      <c r="B44" t="s">
        <v>8348</v>
      </c>
    </row>
    <row r="45" spans="1:2" x14ac:dyDescent="0.25">
      <c r="A45" t="s">
        <v>8273</v>
      </c>
      <c r="B45" t="s">
        <v>8259</v>
      </c>
    </row>
    <row r="46" spans="1:2" x14ac:dyDescent="0.25">
      <c r="A46" t="s">
        <v>8321</v>
      </c>
      <c r="B46" t="s">
        <v>8238</v>
      </c>
    </row>
    <row r="47" spans="1:2" x14ac:dyDescent="0.25">
      <c r="A47" t="s">
        <v>8567</v>
      </c>
      <c r="B47" t="s">
        <v>8348</v>
      </c>
    </row>
    <row r="48" spans="1:2" x14ac:dyDescent="0.25">
      <c r="A48" t="s">
        <v>8430</v>
      </c>
      <c r="B48" t="s">
        <v>8295</v>
      </c>
    </row>
    <row r="49" spans="1:2" x14ac:dyDescent="0.25">
      <c r="A49" t="s">
        <v>8604</v>
      </c>
      <c r="B49" t="s">
        <v>8717</v>
      </c>
    </row>
    <row r="50" spans="1:2" x14ac:dyDescent="0.25">
      <c r="A50" t="s">
        <v>8246</v>
      </c>
      <c r="B50" t="s">
        <v>8295</v>
      </c>
    </row>
    <row r="51" spans="1:2" x14ac:dyDescent="0.25">
      <c r="A51" t="s">
        <v>8474</v>
      </c>
      <c r="B51" t="s">
        <v>8566</v>
      </c>
    </row>
    <row r="52" spans="1:2" x14ac:dyDescent="0.25">
      <c r="A52" t="s">
        <v>8450</v>
      </c>
      <c r="B52" t="s">
        <v>8717</v>
      </c>
    </row>
    <row r="53" spans="1:2" x14ac:dyDescent="0.25">
      <c r="A53" t="s">
        <v>8540</v>
      </c>
      <c r="B53" t="s">
        <v>8492</v>
      </c>
    </row>
    <row r="54" spans="1:2" x14ac:dyDescent="0.25">
      <c r="A54" t="s">
        <v>8393</v>
      </c>
      <c r="B54" t="s">
        <v>8498</v>
      </c>
    </row>
    <row r="55" spans="1:2" x14ac:dyDescent="0.25">
      <c r="A55" t="s">
        <v>8493</v>
      </c>
      <c r="B55" t="s">
        <v>8498</v>
      </c>
    </row>
    <row r="56" spans="1:2" x14ac:dyDescent="0.25">
      <c r="A56" t="s">
        <v>8324</v>
      </c>
      <c r="B56" t="s">
        <v>8566</v>
      </c>
    </row>
    <row r="57" spans="1:2" x14ac:dyDescent="0.25">
      <c r="A57" t="s">
        <v>8351</v>
      </c>
      <c r="B57" t="s">
        <v>8348</v>
      </c>
    </row>
    <row r="58" spans="1:2" x14ac:dyDescent="0.25">
      <c r="A58" t="s">
        <v>8290</v>
      </c>
      <c r="B58" t="s">
        <v>8217</v>
      </c>
    </row>
    <row r="59" spans="1:2" x14ac:dyDescent="0.25">
      <c r="A59" t="s">
        <v>8402</v>
      </c>
      <c r="B59" t="s">
        <v>8717</v>
      </c>
    </row>
    <row r="60" spans="1:2" x14ac:dyDescent="0.25">
      <c r="A60" t="s">
        <v>8985</v>
      </c>
      <c r="B60" t="s">
        <v>8217</v>
      </c>
    </row>
    <row r="61" spans="1:2" x14ac:dyDescent="0.25">
      <c r="A61" t="s">
        <v>8336</v>
      </c>
      <c r="B61" t="s">
        <v>8566</v>
      </c>
    </row>
    <row r="62" spans="1:2" x14ac:dyDescent="0.25">
      <c r="A62" t="s">
        <v>8477</v>
      </c>
      <c r="B62" t="s">
        <v>8295</v>
      </c>
    </row>
    <row r="63" spans="1:2" x14ac:dyDescent="0.25">
      <c r="A63" t="s">
        <v>8306</v>
      </c>
      <c r="B63" t="s">
        <v>8343</v>
      </c>
    </row>
    <row r="64" spans="1:2" x14ac:dyDescent="0.25">
      <c r="A64" t="s">
        <v>8715</v>
      </c>
      <c r="B64" t="s">
        <v>8259</v>
      </c>
    </row>
    <row r="65" spans="1:2" x14ac:dyDescent="0.25">
      <c r="A65" t="s">
        <v>8697</v>
      </c>
      <c r="B65" t="s">
        <v>8217</v>
      </c>
    </row>
    <row r="66" spans="1:2" x14ac:dyDescent="0.25">
      <c r="A66" t="s">
        <v>8462</v>
      </c>
      <c r="B66" t="s">
        <v>8566</v>
      </c>
    </row>
    <row r="67" spans="1:2" x14ac:dyDescent="0.25">
      <c r="A67" t="s">
        <v>8405</v>
      </c>
      <c r="B67" t="s">
        <v>8498</v>
      </c>
    </row>
    <row r="68" spans="1:2" x14ac:dyDescent="0.25">
      <c r="A68" t="s">
        <v>8344</v>
      </c>
      <c r="B68" t="s">
        <v>8217</v>
      </c>
    </row>
    <row r="69" spans="1:2" x14ac:dyDescent="0.25">
      <c r="A69" t="s">
        <v>8382</v>
      </c>
      <c r="B69" t="s">
        <v>8348</v>
      </c>
    </row>
    <row r="70" spans="1:2" x14ac:dyDescent="0.25">
      <c r="A70" t="s">
        <v>8446</v>
      </c>
      <c r="B70" t="s">
        <v>8566</v>
      </c>
    </row>
    <row r="71" spans="1:2" x14ac:dyDescent="0.25">
      <c r="A71" t="s">
        <v>8371</v>
      </c>
      <c r="B71" t="s">
        <v>8238</v>
      </c>
    </row>
    <row r="72" spans="1:2" x14ac:dyDescent="0.25">
      <c r="A72" t="s">
        <v>8373</v>
      </c>
      <c r="B72" t="s">
        <v>8566</v>
      </c>
    </row>
    <row r="73" spans="1:2" x14ac:dyDescent="0.25">
      <c r="A73" t="s">
        <v>8355</v>
      </c>
      <c r="B73" t="s">
        <v>8475</v>
      </c>
    </row>
    <row r="74" spans="1:2" x14ac:dyDescent="0.25">
      <c r="A74" t="s">
        <v>8701</v>
      </c>
      <c r="B74" t="s">
        <v>8475</v>
      </c>
    </row>
    <row r="75" spans="1:2" x14ac:dyDescent="0.25">
      <c r="A75" t="s">
        <v>8763</v>
      </c>
      <c r="B75" t="s">
        <v>8475</v>
      </c>
    </row>
    <row r="76" spans="1:2" x14ac:dyDescent="0.25">
      <c r="A76" t="s">
        <v>8764</v>
      </c>
      <c r="B76" t="s">
        <v>8475</v>
      </c>
    </row>
    <row r="77" spans="1:2" x14ac:dyDescent="0.25">
      <c r="A77" t="s">
        <v>8578</v>
      </c>
      <c r="B77" t="s">
        <v>8343</v>
      </c>
    </row>
    <row r="78" spans="1:2" x14ac:dyDescent="0.25">
      <c r="A78" t="s">
        <v>8207</v>
      </c>
      <c r="B78" t="s">
        <v>8343</v>
      </c>
    </row>
    <row r="79" spans="1:2" x14ac:dyDescent="0.25">
      <c r="A79" t="s">
        <v>8854</v>
      </c>
      <c r="B79" t="s">
        <v>8295</v>
      </c>
    </row>
    <row r="80" spans="1:2" x14ac:dyDescent="0.25">
      <c r="A80" t="s">
        <v>8459</v>
      </c>
      <c r="B80" t="s">
        <v>8566</v>
      </c>
    </row>
    <row r="81" spans="1:2" x14ac:dyDescent="0.25">
      <c r="A81" t="s">
        <v>8568</v>
      </c>
      <c r="B81" t="s">
        <v>8221</v>
      </c>
    </row>
    <row r="82" spans="1:2" x14ac:dyDescent="0.25">
      <c r="A82" t="s">
        <v>8719</v>
      </c>
      <c r="B82" t="s">
        <v>8295</v>
      </c>
    </row>
    <row r="83" spans="1:2" x14ac:dyDescent="0.25">
      <c r="A83" t="s">
        <v>8977</v>
      </c>
      <c r="B83" t="s">
        <v>8348</v>
      </c>
    </row>
    <row r="84" spans="1:2" x14ac:dyDescent="0.25">
      <c r="A84" t="s">
        <v>8736</v>
      </c>
      <c r="B84" t="s">
        <v>8343</v>
      </c>
    </row>
    <row r="85" spans="1:2" x14ac:dyDescent="0.25">
      <c r="A85" t="s">
        <v>8946</v>
      </c>
      <c r="B85" t="s">
        <v>8343</v>
      </c>
    </row>
    <row r="86" spans="1:2" x14ac:dyDescent="0.25">
      <c r="A86" t="s">
        <v>8595</v>
      </c>
      <c r="B86" t="s">
        <v>8348</v>
      </c>
    </row>
    <row r="87" spans="1:2" x14ac:dyDescent="0.25">
      <c r="A87" t="s">
        <v>8270</v>
      </c>
      <c r="B87" t="s">
        <v>8221</v>
      </c>
    </row>
    <row r="88" spans="1:2" x14ac:dyDescent="0.25">
      <c r="A88" t="s">
        <v>8905</v>
      </c>
      <c r="B88" t="s">
        <v>8299</v>
      </c>
    </row>
    <row r="89" spans="1:2" x14ac:dyDescent="0.25">
      <c r="A89" t="s">
        <v>8932</v>
      </c>
      <c r="B89" t="s">
        <v>8343</v>
      </c>
    </row>
    <row r="90" spans="1:2" x14ac:dyDescent="0.25">
      <c r="A90" t="s">
        <v>8773</v>
      </c>
      <c r="B90" t="s">
        <v>8348</v>
      </c>
    </row>
    <row r="91" spans="1:2" x14ac:dyDescent="0.25">
      <c r="A91" t="s">
        <v>8721</v>
      </c>
      <c r="B91" t="s">
        <v>8348</v>
      </c>
    </row>
    <row r="92" spans="1:2" x14ac:dyDescent="0.25">
      <c r="A92" t="s">
        <v>8376</v>
      </c>
      <c r="B92" t="s">
        <v>8566</v>
      </c>
    </row>
    <row r="93" spans="1:2" x14ac:dyDescent="0.25">
      <c r="A93" t="s">
        <v>8264</v>
      </c>
      <c r="B93" t="s">
        <v>8251</v>
      </c>
    </row>
    <row r="94" spans="1:2" x14ac:dyDescent="0.25">
      <c r="A94" t="s">
        <v>8775</v>
      </c>
      <c r="B94" t="s">
        <v>8348</v>
      </c>
    </row>
    <row r="95" spans="1:2" x14ac:dyDescent="0.25">
      <c r="A95" t="s">
        <v>8445</v>
      </c>
      <c r="B95" t="s">
        <v>8343</v>
      </c>
    </row>
    <row r="96" spans="1:2" x14ac:dyDescent="0.25">
      <c r="A96" t="s">
        <v>8877</v>
      </c>
      <c r="B96" t="s">
        <v>8295</v>
      </c>
    </row>
    <row r="97" spans="1:2" x14ac:dyDescent="0.25">
      <c r="A97" t="s">
        <v>8594</v>
      </c>
      <c r="B97" t="s">
        <v>8295</v>
      </c>
    </row>
    <row r="98" spans="1:2" x14ac:dyDescent="0.25">
      <c r="A98" t="s">
        <v>8561</v>
      </c>
      <c r="B98" t="s">
        <v>8251</v>
      </c>
    </row>
    <row r="99" spans="1:2" x14ac:dyDescent="0.25">
      <c r="A99" t="s">
        <v>8390</v>
      </c>
      <c r="B99" t="s">
        <v>8221</v>
      </c>
    </row>
    <row r="100" spans="1:2" x14ac:dyDescent="0.25">
      <c r="A100" t="s">
        <v>8829</v>
      </c>
      <c r="B100" t="s">
        <v>8295</v>
      </c>
    </row>
    <row r="101" spans="1:2" x14ac:dyDescent="0.25">
      <c r="A101" t="s">
        <v>8315</v>
      </c>
      <c r="B101" t="s">
        <v>8717</v>
      </c>
    </row>
    <row r="102" spans="1:2" x14ac:dyDescent="0.25">
      <c r="A102" t="s">
        <v>8922</v>
      </c>
      <c r="B102" t="s">
        <v>8498</v>
      </c>
    </row>
    <row r="103" spans="1:2" x14ac:dyDescent="0.25">
      <c r="A103" t="s">
        <v>8740</v>
      </c>
      <c r="B103" t="s">
        <v>8221</v>
      </c>
    </row>
    <row r="104" spans="1:2" x14ac:dyDescent="0.25">
      <c r="A104" t="s">
        <v>8703</v>
      </c>
      <c r="B104" t="s">
        <v>8498</v>
      </c>
    </row>
    <row r="105" spans="1:2" x14ac:dyDescent="0.25">
      <c r="A105" t="s">
        <v>8523</v>
      </c>
      <c r="B105" t="s">
        <v>8221</v>
      </c>
    </row>
    <row r="106" spans="1:2" x14ac:dyDescent="0.25">
      <c r="A106" t="s">
        <v>8949</v>
      </c>
      <c r="B106" t="s">
        <v>8566</v>
      </c>
    </row>
    <row r="107" spans="1:2" x14ac:dyDescent="0.25">
      <c r="A107" t="s">
        <v>8882</v>
      </c>
      <c r="B107" t="s">
        <v>8670</v>
      </c>
    </row>
    <row r="108" spans="1:2" x14ac:dyDescent="0.25">
      <c r="A108" t="s">
        <v>8689</v>
      </c>
      <c r="B108" t="s">
        <v>8670</v>
      </c>
    </row>
    <row r="109" spans="1:2" x14ac:dyDescent="0.25">
      <c r="A109" t="s">
        <v>8503</v>
      </c>
      <c r="B109" t="s">
        <v>8251</v>
      </c>
    </row>
    <row r="110" spans="1:2" x14ac:dyDescent="0.25">
      <c r="A110" t="s">
        <v>8984</v>
      </c>
      <c r="B110" t="s">
        <v>8295</v>
      </c>
    </row>
    <row r="111" spans="1:2" x14ac:dyDescent="0.25">
      <c r="A111" t="s">
        <v>8855</v>
      </c>
      <c r="B111" t="s">
        <v>8304</v>
      </c>
    </row>
    <row r="112" spans="1:2" x14ac:dyDescent="0.25">
      <c r="A112" t="s">
        <v>8973</v>
      </c>
      <c r="B112" t="s">
        <v>8251</v>
      </c>
    </row>
    <row r="113" spans="1:2" x14ac:dyDescent="0.25">
      <c r="A113" t="s">
        <v>8753</v>
      </c>
      <c r="B113" t="s">
        <v>8221</v>
      </c>
    </row>
    <row r="114" spans="1:2" x14ac:dyDescent="0.25">
      <c r="A114" t="s">
        <v>8514</v>
      </c>
      <c r="B114" t="s">
        <v>8348</v>
      </c>
    </row>
    <row r="115" spans="1:2" x14ac:dyDescent="0.25">
      <c r="A115" t="s">
        <v>8893</v>
      </c>
      <c r="B115" t="s">
        <v>8475</v>
      </c>
    </row>
    <row r="116" spans="1:2" x14ac:dyDescent="0.25">
      <c r="A116" t="s">
        <v>8476</v>
      </c>
      <c r="B116" t="s">
        <v>8475</v>
      </c>
    </row>
    <row r="117" spans="1:2" x14ac:dyDescent="0.25">
      <c r="A117" t="s">
        <v>8485</v>
      </c>
      <c r="B117" t="s">
        <v>8475</v>
      </c>
    </row>
    <row r="118" spans="1:2" x14ac:dyDescent="0.25">
      <c r="A118" t="s">
        <v>8916</v>
      </c>
      <c r="B118" t="s">
        <v>8295</v>
      </c>
    </row>
    <row r="119" spans="1:2" x14ac:dyDescent="0.25">
      <c r="A119" t="s">
        <v>8317</v>
      </c>
      <c r="B119" t="s">
        <v>8238</v>
      </c>
    </row>
    <row r="120" spans="1:2" x14ac:dyDescent="0.25">
      <c r="A120" t="s">
        <v>8501</v>
      </c>
      <c r="B120" t="s">
        <v>8343</v>
      </c>
    </row>
    <row r="121" spans="1:2" x14ac:dyDescent="0.25">
      <c r="A121" t="s">
        <v>8817</v>
      </c>
      <c r="B121" t="s">
        <v>8566</v>
      </c>
    </row>
    <row r="122" spans="1:2" x14ac:dyDescent="0.25">
      <c r="A122" t="s">
        <v>8636</v>
      </c>
      <c r="B122" t="s">
        <v>8348</v>
      </c>
    </row>
    <row r="123" spans="1:2" x14ac:dyDescent="0.25">
      <c r="A123" t="s">
        <v>8589</v>
      </c>
      <c r="B123" t="s">
        <v>8343</v>
      </c>
    </row>
    <row r="124" spans="1:2" x14ac:dyDescent="0.25">
      <c r="A124" t="s">
        <v>8645</v>
      </c>
      <c r="B124" t="s">
        <v>8295</v>
      </c>
    </row>
    <row r="125" spans="1:2" x14ac:dyDescent="0.25">
      <c r="A125" t="s">
        <v>8580</v>
      </c>
      <c r="B125" t="s">
        <v>8221</v>
      </c>
    </row>
    <row r="126" spans="1:2" x14ac:dyDescent="0.25">
      <c r="A126" t="s">
        <v>8437</v>
      </c>
      <c r="B126" t="s">
        <v>8475</v>
      </c>
    </row>
    <row r="127" spans="1:2" x14ac:dyDescent="0.25">
      <c r="A127" t="s">
        <v>8698</v>
      </c>
      <c r="B127" t="s">
        <v>8475</v>
      </c>
    </row>
    <row r="128" spans="1:2" x14ac:dyDescent="0.25">
      <c r="A128" t="s">
        <v>8552</v>
      </c>
      <c r="B128" t="s">
        <v>8475</v>
      </c>
    </row>
    <row r="129" spans="1:2" x14ac:dyDescent="0.25">
      <c r="A129" t="s">
        <v>8898</v>
      </c>
      <c r="B129" t="s">
        <v>8217</v>
      </c>
    </row>
    <row r="130" spans="1:2" x14ac:dyDescent="0.25">
      <c r="A130" t="s">
        <v>8541</v>
      </c>
      <c r="B130" t="s">
        <v>8238</v>
      </c>
    </row>
    <row r="131" spans="1:2" x14ac:dyDescent="0.25">
      <c r="A131" t="s">
        <v>8778</v>
      </c>
      <c r="B131" t="s">
        <v>8221</v>
      </c>
    </row>
    <row r="132" spans="1:2" x14ac:dyDescent="0.25">
      <c r="A132" t="s">
        <v>8646</v>
      </c>
      <c r="B132" t="s">
        <v>8238</v>
      </c>
    </row>
    <row r="133" spans="1:2" x14ac:dyDescent="0.25">
      <c r="A133" t="s">
        <v>8394</v>
      </c>
      <c r="B133" t="s">
        <v>8566</v>
      </c>
    </row>
    <row r="134" spans="1:2" x14ac:dyDescent="0.25">
      <c r="A134" t="s">
        <v>8312</v>
      </c>
      <c r="B134" t="s">
        <v>8348</v>
      </c>
    </row>
    <row r="135" spans="1:2" x14ac:dyDescent="0.25">
      <c r="A135" t="s">
        <v>8664</v>
      </c>
      <c r="B135" t="s">
        <v>8238</v>
      </c>
    </row>
    <row r="136" spans="1:2" x14ac:dyDescent="0.25">
      <c r="A136" t="s">
        <v>8642</v>
      </c>
      <c r="B136" t="s">
        <v>8348</v>
      </c>
    </row>
    <row r="137" spans="1:2" x14ac:dyDescent="0.25">
      <c r="A137" t="s">
        <v>8818</v>
      </c>
      <c r="B137" t="s">
        <v>8217</v>
      </c>
    </row>
    <row r="138" spans="1:2" x14ac:dyDescent="0.25">
      <c r="A138" t="s">
        <v>8316</v>
      </c>
      <c r="B138" t="s">
        <v>8259</v>
      </c>
    </row>
    <row r="139" spans="1:2" x14ac:dyDescent="0.25">
      <c r="A139" t="s">
        <v>8253</v>
      </c>
      <c r="B139" t="s">
        <v>8217</v>
      </c>
    </row>
    <row r="140" spans="1:2" x14ac:dyDescent="0.25">
      <c r="A140" t="s">
        <v>8923</v>
      </c>
      <c r="B140" t="s">
        <v>8566</v>
      </c>
    </row>
    <row r="141" spans="1:2" x14ac:dyDescent="0.25">
      <c r="A141" t="s">
        <v>8400</v>
      </c>
      <c r="B141" t="s">
        <v>8498</v>
      </c>
    </row>
    <row r="142" spans="1:2" x14ac:dyDescent="0.25">
      <c r="A142" t="s">
        <v>8205</v>
      </c>
      <c r="B142" t="s">
        <v>8245</v>
      </c>
    </row>
    <row r="143" spans="1:2" x14ac:dyDescent="0.25">
      <c r="A143" t="s">
        <v>8248</v>
      </c>
      <c r="B143" t="s">
        <v>8670</v>
      </c>
    </row>
    <row r="144" spans="1:2" x14ac:dyDescent="0.25">
      <c r="A144" t="s">
        <v>8287</v>
      </c>
      <c r="B144" t="s">
        <v>8392</v>
      </c>
    </row>
    <row r="145" spans="1:2" x14ac:dyDescent="0.25">
      <c r="A145" t="s">
        <v>8236</v>
      </c>
      <c r="B145" t="s">
        <v>8475</v>
      </c>
    </row>
    <row r="146" spans="1:2" x14ac:dyDescent="0.25">
      <c r="A146" t="s">
        <v>8367</v>
      </c>
      <c r="B146" t="s">
        <v>8295</v>
      </c>
    </row>
    <row r="147" spans="1:2" x14ac:dyDescent="0.25">
      <c r="A147" t="s">
        <v>8772</v>
      </c>
      <c r="B147" t="s">
        <v>8348</v>
      </c>
    </row>
    <row r="148" spans="1:2" x14ac:dyDescent="0.25">
      <c r="A148" t="s">
        <v>8810</v>
      </c>
      <c r="B148" t="s">
        <v>8251</v>
      </c>
    </row>
    <row r="149" spans="1:2" x14ac:dyDescent="0.25">
      <c r="A149" t="s">
        <v>8881</v>
      </c>
      <c r="B149" t="s">
        <v>8348</v>
      </c>
    </row>
    <row r="150" spans="1:2" x14ac:dyDescent="0.25">
      <c r="A150" t="s">
        <v>8974</v>
      </c>
      <c r="B150" t="s">
        <v>8348</v>
      </c>
    </row>
    <row r="151" spans="1:2" x14ac:dyDescent="0.25">
      <c r="A151" t="s">
        <v>8900</v>
      </c>
      <c r="B151" t="s">
        <v>8217</v>
      </c>
    </row>
    <row r="152" spans="1:2" x14ac:dyDescent="0.25">
      <c r="A152" t="s">
        <v>8849</v>
      </c>
      <c r="B152" t="s">
        <v>8348</v>
      </c>
    </row>
    <row r="153" spans="1:2" x14ac:dyDescent="0.25">
      <c r="A153" t="s">
        <v>8960</v>
      </c>
      <c r="B153" t="s">
        <v>8348</v>
      </c>
    </row>
    <row r="154" spans="1:2" x14ac:dyDescent="0.25">
      <c r="A154" t="s">
        <v>8823</v>
      </c>
      <c r="B154" t="s">
        <v>8348</v>
      </c>
    </row>
    <row r="155" spans="1:2" x14ac:dyDescent="0.25">
      <c r="A155" t="s">
        <v>8769</v>
      </c>
      <c r="B155" t="s">
        <v>8498</v>
      </c>
    </row>
    <row r="156" spans="1:2" x14ac:dyDescent="0.25">
      <c r="A156" t="s">
        <v>8775</v>
      </c>
      <c r="B156" t="s">
        <v>8348</v>
      </c>
    </row>
    <row r="157" spans="1:2" x14ac:dyDescent="0.25">
      <c r="A157" t="s">
        <v>8375</v>
      </c>
      <c r="B157" t="s">
        <v>8343</v>
      </c>
    </row>
    <row r="158" spans="1:2" x14ac:dyDescent="0.25">
      <c r="A158" t="s">
        <v>8288</v>
      </c>
      <c r="B158" t="s">
        <v>8475</v>
      </c>
    </row>
    <row r="159" spans="1:2" x14ac:dyDescent="0.25">
      <c r="A159" t="s">
        <v>8239</v>
      </c>
      <c r="B159" t="s">
        <v>8348</v>
      </c>
    </row>
    <row r="160" spans="1:2" x14ac:dyDescent="0.25">
      <c r="A160" t="s">
        <v>8437</v>
      </c>
      <c r="B160" t="s">
        <v>8566</v>
      </c>
    </row>
    <row r="161" spans="1:2" x14ac:dyDescent="0.25">
      <c r="A161" t="s">
        <v>8469</v>
      </c>
      <c r="B161" t="s">
        <v>8566</v>
      </c>
    </row>
    <row r="162" spans="1:2" x14ac:dyDescent="0.25">
      <c r="A162" t="s">
        <v>8841</v>
      </c>
      <c r="B162" t="s">
        <v>8295</v>
      </c>
    </row>
    <row r="163" spans="1:2" x14ac:dyDescent="0.25">
      <c r="A163" t="s">
        <v>8527</v>
      </c>
      <c r="B163" t="s">
        <v>8221</v>
      </c>
    </row>
    <row r="164" spans="1:2" x14ac:dyDescent="0.25">
      <c r="A164" t="s">
        <v>8665</v>
      </c>
      <c r="B164" t="s">
        <v>8475</v>
      </c>
    </row>
    <row r="165" spans="1:2" x14ac:dyDescent="0.25">
      <c r="A165" t="s">
        <v>8491</v>
      </c>
      <c r="B165" t="s">
        <v>8475</v>
      </c>
    </row>
    <row r="166" spans="1:2" x14ac:dyDescent="0.25">
      <c r="A166" t="s">
        <v>8214</v>
      </c>
      <c r="B166" t="s">
        <v>8238</v>
      </c>
    </row>
    <row r="167" spans="1:2" x14ac:dyDescent="0.25">
      <c r="A167" t="s">
        <v>8891</v>
      </c>
      <c r="B167" t="s">
        <v>8475</v>
      </c>
    </row>
    <row r="168" spans="1:2" x14ac:dyDescent="0.25">
      <c r="A168" t="s">
        <v>8347</v>
      </c>
      <c r="B168" t="s">
        <v>8348</v>
      </c>
    </row>
    <row r="169" spans="1:2" x14ac:dyDescent="0.25">
      <c r="A169" t="s">
        <v>8491</v>
      </c>
      <c r="B169" t="s">
        <v>8475</v>
      </c>
    </row>
    <row r="170" spans="1:2" x14ac:dyDescent="0.25">
      <c r="A170" t="s">
        <v>8905</v>
      </c>
      <c r="B170" t="s">
        <v>8299</v>
      </c>
    </row>
    <row r="171" spans="1:2" x14ac:dyDescent="0.25">
      <c r="A171" t="s">
        <v>8257</v>
      </c>
      <c r="B171" t="s">
        <v>8475</v>
      </c>
    </row>
    <row r="172" spans="1:2" x14ac:dyDescent="0.25">
      <c r="A172" t="s">
        <v>8214</v>
      </c>
      <c r="B172" t="s">
        <v>8238</v>
      </c>
    </row>
    <row r="173" spans="1:2" x14ac:dyDescent="0.25">
      <c r="A173" t="s">
        <v>8891</v>
      </c>
      <c r="B173" t="s">
        <v>8295</v>
      </c>
    </row>
    <row r="174" spans="1:2" x14ac:dyDescent="0.25">
      <c r="A174" t="s">
        <v>8715</v>
      </c>
      <c r="B174" t="s">
        <v>8259</v>
      </c>
    </row>
    <row r="175" spans="1:2" x14ac:dyDescent="0.25">
      <c r="A175" t="s">
        <v>8591</v>
      </c>
      <c r="B175" t="s">
        <v>8238</v>
      </c>
    </row>
    <row r="176" spans="1:2" x14ac:dyDescent="0.25">
      <c r="A176" t="s">
        <v>8383</v>
      </c>
      <c r="B176" t="s">
        <v>8348</v>
      </c>
    </row>
    <row r="177" spans="1:2" x14ac:dyDescent="0.25">
      <c r="A177" t="s">
        <v>8947</v>
      </c>
      <c r="B177" t="s">
        <v>8475</v>
      </c>
    </row>
    <row r="178" spans="1:2" x14ac:dyDescent="0.25">
      <c r="A178" t="s">
        <v>8415</v>
      </c>
      <c r="B178" t="s">
        <v>8475</v>
      </c>
    </row>
    <row r="179" spans="1:2" x14ac:dyDescent="0.25">
      <c r="A179" t="s">
        <v>8507</v>
      </c>
      <c r="B179" t="s">
        <v>8221</v>
      </c>
    </row>
    <row r="180" spans="1:2" x14ac:dyDescent="0.25">
      <c r="A180" t="s">
        <v>8481</v>
      </c>
      <c r="B180" t="s">
        <v>8295</v>
      </c>
    </row>
    <row r="181" spans="1:2" x14ac:dyDescent="0.25">
      <c r="A181" t="s">
        <v>8399</v>
      </c>
      <c r="B181" t="s">
        <v>8348</v>
      </c>
    </row>
    <row r="182" spans="1:2" x14ac:dyDescent="0.25">
      <c r="A182" t="s">
        <v>8747</v>
      </c>
      <c r="B182" t="s">
        <v>8566</v>
      </c>
    </row>
    <row r="183" spans="1:2" x14ac:dyDescent="0.25">
      <c r="A183" t="s">
        <v>8242</v>
      </c>
      <c r="B183" t="s">
        <v>8343</v>
      </c>
    </row>
    <row r="184" spans="1:2" x14ac:dyDescent="0.25">
      <c r="A184" t="s">
        <v>8813</v>
      </c>
      <c r="B184" t="s">
        <v>8566</v>
      </c>
    </row>
    <row r="185" spans="1:2" x14ac:dyDescent="0.25">
      <c r="A185" t="s">
        <v>8746</v>
      </c>
      <c r="B185" t="s">
        <v>8343</v>
      </c>
    </row>
    <row r="186" spans="1:2" x14ac:dyDescent="0.25">
      <c r="A186" t="s">
        <v>8264</v>
      </c>
      <c r="B186" t="s">
        <v>8343</v>
      </c>
    </row>
    <row r="187" spans="1:2" x14ac:dyDescent="0.25">
      <c r="A187" t="s">
        <v>8911</v>
      </c>
      <c r="B187" t="s">
        <v>8498</v>
      </c>
    </row>
    <row r="188" spans="1:2" x14ac:dyDescent="0.25">
      <c r="A188" t="s">
        <v>8529</v>
      </c>
      <c r="B188" t="s">
        <v>8475</v>
      </c>
    </row>
    <row r="189" spans="1:2" x14ac:dyDescent="0.25">
      <c r="A189" t="s">
        <v>8834</v>
      </c>
      <c r="B189" t="s">
        <v>8348</v>
      </c>
    </row>
    <row r="190" spans="1:2" x14ac:dyDescent="0.25">
      <c r="A190" t="s">
        <v>8958</v>
      </c>
      <c r="B190" t="s">
        <v>8392</v>
      </c>
    </row>
    <row r="191" spans="1:2" x14ac:dyDescent="0.25">
      <c r="A191" t="s">
        <v>8777</v>
      </c>
      <c r="B191" t="s">
        <v>8348</v>
      </c>
    </row>
    <row r="192" spans="1:2" x14ac:dyDescent="0.25">
      <c r="A192" t="s">
        <v>8354</v>
      </c>
      <c r="B192" t="s">
        <v>8475</v>
      </c>
    </row>
    <row r="193" spans="1:2" x14ac:dyDescent="0.25">
      <c r="A193" t="s">
        <v>8593</v>
      </c>
      <c r="B193" t="s">
        <v>8238</v>
      </c>
    </row>
    <row r="194" spans="1:2" x14ac:dyDescent="0.25">
      <c r="A194" t="s">
        <v>8664</v>
      </c>
      <c r="B194" t="s">
        <v>8304</v>
      </c>
    </row>
    <row r="195" spans="1:2" x14ac:dyDescent="0.25">
      <c r="A195" t="s">
        <v>8327</v>
      </c>
      <c r="B195" t="s">
        <v>8295</v>
      </c>
    </row>
    <row r="196" spans="1:2" x14ac:dyDescent="0.25">
      <c r="A196" t="s">
        <v>8444</v>
      </c>
      <c r="B196" t="s">
        <v>8304</v>
      </c>
    </row>
    <row r="197" spans="1:2" x14ac:dyDescent="0.25">
      <c r="A197" t="s">
        <v>8622</v>
      </c>
      <c r="B197" t="s">
        <v>8238</v>
      </c>
    </row>
    <row r="198" spans="1:2" x14ac:dyDescent="0.25">
      <c r="A198" t="s">
        <v>8932</v>
      </c>
      <c r="B198" t="s">
        <v>8717</v>
      </c>
    </row>
    <row r="199" spans="1:2" x14ac:dyDescent="0.25">
      <c r="A199" t="s">
        <v>8662</v>
      </c>
      <c r="B199" t="s">
        <v>8295</v>
      </c>
    </row>
    <row r="200" spans="1:2" x14ac:dyDescent="0.25">
      <c r="A200" t="s">
        <v>8539</v>
      </c>
      <c r="B200" t="s">
        <v>8343</v>
      </c>
    </row>
    <row r="201" spans="1:2" x14ac:dyDescent="0.25">
      <c r="A201" t="s">
        <v>8208</v>
      </c>
      <c r="B201" t="s">
        <v>8392</v>
      </c>
    </row>
    <row r="202" spans="1:2" x14ac:dyDescent="0.25">
      <c r="A202" t="s">
        <v>8626</v>
      </c>
      <c r="B202" t="s">
        <v>8221</v>
      </c>
    </row>
    <row r="203" spans="1:2" x14ac:dyDescent="0.25">
      <c r="A203" t="s">
        <v>8218</v>
      </c>
      <c r="B203" t="s">
        <v>8566</v>
      </c>
    </row>
    <row r="204" spans="1:2" x14ac:dyDescent="0.25">
      <c r="A204" t="s">
        <v>8235</v>
      </c>
      <c r="B204" t="s">
        <v>8566</v>
      </c>
    </row>
    <row r="205" spans="1:2" x14ac:dyDescent="0.25">
      <c r="A205" t="s">
        <v>8463</v>
      </c>
      <c r="B205" t="s">
        <v>8348</v>
      </c>
    </row>
    <row r="206" spans="1:2" x14ac:dyDescent="0.25">
      <c r="A206" t="s">
        <v>8653</v>
      </c>
      <c r="B206" t="s">
        <v>8498</v>
      </c>
    </row>
    <row r="207" spans="1:2" x14ac:dyDescent="0.25">
      <c r="A207" t="s">
        <v>8310</v>
      </c>
      <c r="B207" t="s">
        <v>8475</v>
      </c>
    </row>
    <row r="208" spans="1:2" x14ac:dyDescent="0.25">
      <c r="A208" t="s">
        <v>8706</v>
      </c>
      <c r="B208" t="s">
        <v>8475</v>
      </c>
    </row>
    <row r="209" spans="1:2" x14ac:dyDescent="0.25">
      <c r="A209" t="s">
        <v>8599</v>
      </c>
      <c r="B209" t="s">
        <v>8475</v>
      </c>
    </row>
    <row r="210" spans="1:2" x14ac:dyDescent="0.25">
      <c r="A210" t="s">
        <v>8574</v>
      </c>
      <c r="B210" t="s">
        <v>8221</v>
      </c>
    </row>
    <row r="211" spans="1:2" x14ac:dyDescent="0.25">
      <c r="A211" t="s">
        <v>8506</v>
      </c>
      <c r="B211" t="s">
        <v>8221</v>
      </c>
    </row>
    <row r="212" spans="1:2" x14ac:dyDescent="0.25">
      <c r="A212" t="s">
        <v>8442</v>
      </c>
      <c r="B212" t="s">
        <v>8348</v>
      </c>
    </row>
    <row r="213" spans="1:2" x14ac:dyDescent="0.25">
      <c r="A213" t="s">
        <v>8331</v>
      </c>
      <c r="B213" t="s">
        <v>8295</v>
      </c>
    </row>
    <row r="214" spans="1:2" x14ac:dyDescent="0.25">
      <c r="A214" t="s">
        <v>8309</v>
      </c>
      <c r="B214" t="s">
        <v>8295</v>
      </c>
    </row>
    <row r="215" spans="1:2" x14ac:dyDescent="0.25">
      <c r="A215" t="s">
        <v>8471</v>
      </c>
      <c r="B215" t="s">
        <v>8566</v>
      </c>
    </row>
    <row r="216" spans="1:2" x14ac:dyDescent="0.25">
      <c r="A216" t="s">
        <v>8443</v>
      </c>
      <c r="B216" t="s">
        <v>8348</v>
      </c>
    </row>
    <row r="217" spans="1:2" x14ac:dyDescent="0.25">
      <c r="A217" t="s">
        <v>8366</v>
      </c>
      <c r="B217" t="s">
        <v>8348</v>
      </c>
    </row>
    <row r="218" spans="1:2" x14ac:dyDescent="0.25">
      <c r="A218" t="s">
        <v>8479</v>
      </c>
      <c r="B218" t="s">
        <v>8475</v>
      </c>
    </row>
    <row r="219" spans="1:2" x14ac:dyDescent="0.25">
      <c r="A219" t="s">
        <v>8603</v>
      </c>
      <c r="B219" t="s">
        <v>8475</v>
      </c>
    </row>
    <row r="220" spans="1:2" x14ac:dyDescent="0.25">
      <c r="A220" t="s">
        <v>8935</v>
      </c>
      <c r="B220" t="s">
        <v>8295</v>
      </c>
    </row>
    <row r="221" spans="1:2" x14ac:dyDescent="0.25">
      <c r="A221" t="s">
        <v>8887</v>
      </c>
      <c r="B221" t="s">
        <v>8348</v>
      </c>
    </row>
    <row r="222" spans="1:2" x14ac:dyDescent="0.25">
      <c r="A222" t="s">
        <v>8641</v>
      </c>
      <c r="B222" t="s">
        <v>8348</v>
      </c>
    </row>
    <row r="223" spans="1:2" x14ac:dyDescent="0.25">
      <c r="A223" t="s">
        <v>8962</v>
      </c>
      <c r="B223" t="s">
        <v>8328</v>
      </c>
    </row>
    <row r="224" spans="1:2" x14ac:dyDescent="0.25">
      <c r="A224" t="s">
        <v>8266</v>
      </c>
      <c r="B224" t="s">
        <v>8343</v>
      </c>
    </row>
    <row r="225" spans="1:2" x14ac:dyDescent="0.25">
      <c r="A225" t="s">
        <v>8747</v>
      </c>
      <c r="B225" t="s">
        <v>8566</v>
      </c>
    </row>
    <row r="226" spans="1:2" x14ac:dyDescent="0.25">
      <c r="A226" t="s">
        <v>8420</v>
      </c>
      <c r="B226" t="s">
        <v>8221</v>
      </c>
    </row>
    <row r="227" spans="1:2" x14ac:dyDescent="0.25">
      <c r="A227" t="s">
        <v>8231</v>
      </c>
      <c r="B227" t="s">
        <v>8295</v>
      </c>
    </row>
    <row r="228" spans="1:2" x14ac:dyDescent="0.25">
      <c r="A228" t="s">
        <v>8602</v>
      </c>
      <c r="B228" t="s">
        <v>8295</v>
      </c>
    </row>
    <row r="229" spans="1:2" x14ac:dyDescent="0.25">
      <c r="A229" t="s">
        <v>8979</v>
      </c>
      <c r="B229" t="s">
        <v>8343</v>
      </c>
    </row>
    <row r="230" spans="1:2" x14ac:dyDescent="0.25">
      <c r="A230" t="s">
        <v>8683</v>
      </c>
      <c r="B230" t="s">
        <v>8670</v>
      </c>
    </row>
    <row r="231" spans="1:2" x14ac:dyDescent="0.25">
      <c r="A231" t="s">
        <v>8976</v>
      </c>
      <c r="B231" t="s">
        <v>8221</v>
      </c>
    </row>
    <row r="232" spans="1:2" x14ac:dyDescent="0.25">
      <c r="A232" t="s">
        <v>8958</v>
      </c>
      <c r="B232" t="s">
        <v>8392</v>
      </c>
    </row>
    <row r="233" spans="1:2" x14ac:dyDescent="0.25">
      <c r="A233" t="s">
        <v>8521</v>
      </c>
      <c r="B233" t="s">
        <v>8259</v>
      </c>
    </row>
    <row r="234" spans="1:2" x14ac:dyDescent="0.25">
      <c r="A234" t="s">
        <v>8211</v>
      </c>
      <c r="B234" t="s">
        <v>8348</v>
      </c>
    </row>
    <row r="235" spans="1:2" x14ac:dyDescent="0.25">
      <c r="A235" t="s">
        <v>8728</v>
      </c>
      <c r="B235" t="s">
        <v>8295</v>
      </c>
    </row>
    <row r="236" spans="1:2" x14ac:dyDescent="0.25">
      <c r="A236" t="s">
        <v>8579</v>
      </c>
      <c r="B236" t="s">
        <v>8566</v>
      </c>
    </row>
    <row r="237" spans="1:2" x14ac:dyDescent="0.25">
      <c r="A237" t="s">
        <v>8457</v>
      </c>
      <c r="B237" t="s">
        <v>8566</v>
      </c>
    </row>
    <row r="238" spans="1:2" x14ac:dyDescent="0.25">
      <c r="A238" t="s">
        <v>8522</v>
      </c>
      <c r="B238" t="s">
        <v>8343</v>
      </c>
    </row>
    <row r="239" spans="1:2" x14ac:dyDescent="0.25">
      <c r="A239" t="s">
        <v>8208</v>
      </c>
      <c r="B239" t="s">
        <v>8392</v>
      </c>
    </row>
    <row r="240" spans="1:2" x14ac:dyDescent="0.25">
      <c r="A240" t="s">
        <v>8610</v>
      </c>
      <c r="B240" t="s">
        <v>8221</v>
      </c>
    </row>
    <row r="241" spans="1:2" x14ac:dyDescent="0.25">
      <c r="A241" t="s">
        <v>8606</v>
      </c>
      <c r="B241" t="s">
        <v>8217</v>
      </c>
    </row>
    <row r="242" spans="1:2" x14ac:dyDescent="0.25">
      <c r="A242" t="s">
        <v>8965</v>
      </c>
      <c r="B242" t="s">
        <v>8295</v>
      </c>
    </row>
    <row r="243" spans="1:2" x14ac:dyDescent="0.25">
      <c r="A243" t="s">
        <v>8894</v>
      </c>
      <c r="B243" t="s">
        <v>8566</v>
      </c>
    </row>
    <row r="244" spans="1:2" x14ac:dyDescent="0.25">
      <c r="A244" t="s">
        <v>8933</v>
      </c>
      <c r="B244" t="s">
        <v>8566</v>
      </c>
    </row>
    <row r="245" spans="1:2" x14ac:dyDescent="0.25">
      <c r="A245" t="s">
        <v>8269</v>
      </c>
      <c r="B245" t="s">
        <v>8566</v>
      </c>
    </row>
    <row r="246" spans="1:2" x14ac:dyDescent="0.25">
      <c r="A246" t="s">
        <v>8523</v>
      </c>
      <c r="B246" t="s">
        <v>8221</v>
      </c>
    </row>
    <row r="247" spans="1:2" x14ac:dyDescent="0.25">
      <c r="A247" t="s">
        <v>8968</v>
      </c>
      <c r="B247" t="s">
        <v>8392</v>
      </c>
    </row>
    <row r="248" spans="1:2" x14ac:dyDescent="0.25">
      <c r="A248" t="s">
        <v>8445</v>
      </c>
      <c r="B248" t="s">
        <v>8566</v>
      </c>
    </row>
    <row r="249" spans="1:2" x14ac:dyDescent="0.25">
      <c r="A249" t="s">
        <v>8840</v>
      </c>
      <c r="B249" t="s">
        <v>8343</v>
      </c>
    </row>
    <row r="250" spans="1:2" x14ac:dyDescent="0.25">
      <c r="A250" t="s">
        <v>8908</v>
      </c>
      <c r="B250" t="s">
        <v>8328</v>
      </c>
    </row>
    <row r="251" spans="1:2" x14ac:dyDescent="0.25">
      <c r="A251" t="s">
        <v>8643</v>
      </c>
      <c r="B251" t="s">
        <v>8392</v>
      </c>
    </row>
    <row r="252" spans="1:2" x14ac:dyDescent="0.25">
      <c r="A252" t="s">
        <v>8207</v>
      </c>
      <c r="B252" t="s">
        <v>8475</v>
      </c>
    </row>
    <row r="253" spans="1:2" x14ac:dyDescent="0.25">
      <c r="A253" t="s">
        <v>8592</v>
      </c>
      <c r="B253" t="s">
        <v>8566</v>
      </c>
    </row>
    <row r="254" spans="1:2" x14ac:dyDescent="0.25">
      <c r="A254" t="s">
        <v>8518</v>
      </c>
      <c r="B254" t="s">
        <v>8566</v>
      </c>
    </row>
    <row r="255" spans="1:2" x14ac:dyDescent="0.25">
      <c r="A255" t="s">
        <v>8676</v>
      </c>
      <c r="B255" t="s">
        <v>8221</v>
      </c>
    </row>
    <row r="256" spans="1:2" x14ac:dyDescent="0.25">
      <c r="A256" t="s">
        <v>8323</v>
      </c>
      <c r="B256" t="s">
        <v>8348</v>
      </c>
    </row>
    <row r="257" spans="1:2" x14ac:dyDescent="0.25">
      <c r="A257" t="s">
        <v>8714</v>
      </c>
      <c r="B257" t="s">
        <v>8348</v>
      </c>
    </row>
    <row r="258" spans="1:2" x14ac:dyDescent="0.25">
      <c r="A258" t="s">
        <v>8465</v>
      </c>
      <c r="B258" t="s">
        <v>8295</v>
      </c>
    </row>
    <row r="259" spans="1:2" x14ac:dyDescent="0.25">
      <c r="A259" t="s">
        <v>8760</v>
      </c>
      <c r="B259" t="s">
        <v>8343</v>
      </c>
    </row>
    <row r="260" spans="1:2" x14ac:dyDescent="0.25">
      <c r="A260" t="s">
        <v>8612</v>
      </c>
      <c r="B260" t="s">
        <v>8566</v>
      </c>
    </row>
    <row r="261" spans="1:2" x14ac:dyDescent="0.25">
      <c r="A261" t="s">
        <v>8981</v>
      </c>
      <c r="B261" t="s">
        <v>8295</v>
      </c>
    </row>
    <row r="262" spans="1:2" x14ac:dyDescent="0.25">
      <c r="A262" t="s">
        <v>8551</v>
      </c>
      <c r="B262" t="s">
        <v>8295</v>
      </c>
    </row>
    <row r="263" spans="1:2" x14ac:dyDescent="0.25">
      <c r="A263" t="s">
        <v>8952</v>
      </c>
      <c r="B263" t="s">
        <v>8348</v>
      </c>
    </row>
    <row r="264" spans="1:2" x14ac:dyDescent="0.25">
      <c r="A264" t="s">
        <v>8378</v>
      </c>
      <c r="B264" t="s">
        <v>8566</v>
      </c>
    </row>
    <row r="265" spans="1:2" x14ac:dyDescent="0.25">
      <c r="A265" t="s">
        <v>8946</v>
      </c>
      <c r="B265" t="s">
        <v>8566</v>
      </c>
    </row>
    <row r="266" spans="1:2" x14ac:dyDescent="0.25">
      <c r="A266" t="s">
        <v>8369</v>
      </c>
      <c r="B266" t="s">
        <v>8717</v>
      </c>
    </row>
    <row r="267" spans="1:2" x14ac:dyDescent="0.25">
      <c r="A267" t="s">
        <v>8497</v>
      </c>
      <c r="B267" t="s">
        <v>8566</v>
      </c>
    </row>
    <row r="268" spans="1:2" x14ac:dyDescent="0.25">
      <c r="A268" t="s">
        <v>8275</v>
      </c>
      <c r="B268" t="s">
        <v>8566</v>
      </c>
    </row>
    <row r="269" spans="1:2" x14ac:dyDescent="0.25">
      <c r="A269" t="s">
        <v>8239</v>
      </c>
      <c r="B269" t="s">
        <v>8566</v>
      </c>
    </row>
    <row r="270" spans="1:2" x14ac:dyDescent="0.25">
      <c r="A270" t="s">
        <v>8582</v>
      </c>
      <c r="B270" t="s">
        <v>8566</v>
      </c>
    </row>
    <row r="271" spans="1:2" x14ac:dyDescent="0.25">
      <c r="A271" t="s">
        <v>8538</v>
      </c>
      <c r="B271" t="s">
        <v>8343</v>
      </c>
    </row>
    <row r="272" spans="1:2" x14ac:dyDescent="0.25">
      <c r="A272" t="s">
        <v>8782</v>
      </c>
      <c r="B272" t="s">
        <v>8566</v>
      </c>
    </row>
    <row r="273" spans="1:2" x14ac:dyDescent="0.25">
      <c r="A273" t="s">
        <v>8648</v>
      </c>
      <c r="B273" t="s">
        <v>8492</v>
      </c>
    </row>
    <row r="274" spans="1:2" x14ac:dyDescent="0.25">
      <c r="A274" t="s">
        <v>8784</v>
      </c>
      <c r="B274" t="s">
        <v>8566</v>
      </c>
    </row>
    <row r="275" spans="1:2" x14ac:dyDescent="0.25">
      <c r="A275" t="s">
        <v>8856</v>
      </c>
      <c r="B275" t="s">
        <v>8259</v>
      </c>
    </row>
    <row r="276" spans="1:2" x14ac:dyDescent="0.25">
      <c r="A276" t="s">
        <v>8628</v>
      </c>
      <c r="B276" t="s">
        <v>8348</v>
      </c>
    </row>
    <row r="277" spans="1:2" x14ac:dyDescent="0.25">
      <c r="A277" t="s">
        <v>8334</v>
      </c>
      <c r="B277" t="s">
        <v>8295</v>
      </c>
    </row>
    <row r="278" spans="1:2" x14ac:dyDescent="0.25">
      <c r="A278" t="s">
        <v>8821</v>
      </c>
      <c r="B278" t="s">
        <v>8462</v>
      </c>
    </row>
    <row r="279" spans="1:2" x14ac:dyDescent="0.25">
      <c r="A279" t="s">
        <v>8452</v>
      </c>
      <c r="B279" t="s">
        <v>8566</v>
      </c>
    </row>
    <row r="280" spans="1:2" x14ac:dyDescent="0.25">
      <c r="A280" t="s">
        <v>8577</v>
      </c>
      <c r="B280" t="s">
        <v>8221</v>
      </c>
    </row>
    <row r="281" spans="1:2" x14ac:dyDescent="0.25">
      <c r="A281" t="s">
        <v>8500</v>
      </c>
      <c r="B281" t="s">
        <v>8566</v>
      </c>
    </row>
    <row r="282" spans="1:2" x14ac:dyDescent="0.25">
      <c r="A282" t="s">
        <v>8400</v>
      </c>
      <c r="B282" t="s">
        <v>8462</v>
      </c>
    </row>
    <row r="283" spans="1:2" x14ac:dyDescent="0.25">
      <c r="A283" t="s">
        <v>8544</v>
      </c>
      <c r="B283" t="s">
        <v>8259</v>
      </c>
    </row>
    <row r="284" spans="1:2" x14ac:dyDescent="0.25">
      <c r="A284" t="s">
        <v>8719</v>
      </c>
      <c r="B284" t="s">
        <v>8475</v>
      </c>
    </row>
    <row r="285" spans="1:2" x14ac:dyDescent="0.25">
      <c r="A285" t="s">
        <v>8501</v>
      </c>
      <c r="B285" t="s">
        <v>8343</v>
      </c>
    </row>
    <row r="286" spans="1:2" x14ac:dyDescent="0.25">
      <c r="A286" t="s">
        <v>8453</v>
      </c>
      <c r="B286" t="s">
        <v>8348</v>
      </c>
    </row>
    <row r="287" spans="1:2" x14ac:dyDescent="0.25">
      <c r="A287" t="s">
        <v>8405</v>
      </c>
      <c r="B287" t="s">
        <v>8343</v>
      </c>
    </row>
    <row r="288" spans="1:2" x14ac:dyDescent="0.25">
      <c r="A288" t="s">
        <v>8279</v>
      </c>
      <c r="B288" t="s">
        <v>8566</v>
      </c>
    </row>
    <row r="289" spans="1:2" x14ac:dyDescent="0.25">
      <c r="A289" t="s">
        <v>8600</v>
      </c>
      <c r="B289" t="s">
        <v>8221</v>
      </c>
    </row>
    <row r="290" spans="1:2" x14ac:dyDescent="0.25">
      <c r="A290" t="s">
        <v>8674</v>
      </c>
      <c r="B290" t="s">
        <v>8343</v>
      </c>
    </row>
    <row r="291" spans="1:2" x14ac:dyDescent="0.25">
      <c r="A291" t="s">
        <v>8496</v>
      </c>
      <c r="B291" t="s">
        <v>8348</v>
      </c>
    </row>
    <row r="292" spans="1:2" x14ac:dyDescent="0.25">
      <c r="A292" t="s">
        <v>8991</v>
      </c>
      <c r="B292" t="s">
        <v>8392</v>
      </c>
    </row>
    <row r="293" spans="1:2" x14ac:dyDescent="0.25">
      <c r="A293" t="s">
        <v>8916</v>
      </c>
      <c r="B293" t="s">
        <v>8217</v>
      </c>
    </row>
    <row r="294" spans="1:2" x14ac:dyDescent="0.25">
      <c r="A294" t="s">
        <v>8805</v>
      </c>
      <c r="B294" t="s">
        <v>8717</v>
      </c>
    </row>
    <row r="295" spans="1:2" x14ac:dyDescent="0.25">
      <c r="A295" t="s">
        <v>8976</v>
      </c>
      <c r="B295" t="s">
        <v>8221</v>
      </c>
    </row>
    <row r="296" spans="1:2" x14ac:dyDescent="0.25">
      <c r="A296" t="s">
        <v>8368</v>
      </c>
      <c r="B296" t="s">
        <v>8717</v>
      </c>
    </row>
    <row r="297" spans="1:2" x14ac:dyDescent="0.25">
      <c r="A297" t="s">
        <v>8825</v>
      </c>
      <c r="B297" t="s">
        <v>8217</v>
      </c>
    </row>
    <row r="298" spans="1:2" x14ac:dyDescent="0.25">
      <c r="A298" t="s">
        <v>8332</v>
      </c>
      <c r="B298" t="s">
        <v>8566</v>
      </c>
    </row>
    <row r="299" spans="1:2" x14ac:dyDescent="0.25">
      <c r="A299" t="s">
        <v>8418</v>
      </c>
      <c r="B299" t="s">
        <v>8245</v>
      </c>
    </row>
    <row r="300" spans="1:2" x14ac:dyDescent="0.25">
      <c r="A300" t="s">
        <v>8922</v>
      </c>
      <c r="B300" t="s">
        <v>8295</v>
      </c>
    </row>
    <row r="301" spans="1:2" x14ac:dyDescent="0.25">
      <c r="A301" t="s">
        <v>8774</v>
      </c>
      <c r="B301" t="s">
        <v>8392</v>
      </c>
    </row>
    <row r="302" spans="1:2" x14ac:dyDescent="0.25">
      <c r="A302" t="s">
        <v>8655</v>
      </c>
      <c r="B302" t="s">
        <v>8343</v>
      </c>
    </row>
    <row r="303" spans="1:2" x14ac:dyDescent="0.25">
      <c r="A303" t="s">
        <v>8263</v>
      </c>
      <c r="B303" t="s">
        <v>8343</v>
      </c>
    </row>
    <row r="304" spans="1:2" x14ac:dyDescent="0.25">
      <c r="A304" t="s">
        <v>8230</v>
      </c>
      <c r="B304" t="s">
        <v>8259</v>
      </c>
    </row>
    <row r="305" spans="1:2" x14ac:dyDescent="0.25">
      <c r="A305" t="s">
        <v>8520</v>
      </c>
      <c r="B305" t="s">
        <v>8392</v>
      </c>
    </row>
    <row r="306" spans="1:2" x14ac:dyDescent="0.25">
      <c r="A306" t="s">
        <v>8502</v>
      </c>
      <c r="B306" t="s">
        <v>8250</v>
      </c>
    </row>
    <row r="307" spans="1:2" x14ac:dyDescent="0.25">
      <c r="A307" t="s">
        <v>8609</v>
      </c>
      <c r="B307" t="s">
        <v>8295</v>
      </c>
    </row>
    <row r="308" spans="1:2" x14ac:dyDescent="0.25">
      <c r="A308" t="s">
        <v>8770</v>
      </c>
      <c r="B308" t="s">
        <v>8566</v>
      </c>
    </row>
    <row r="309" spans="1:2" x14ac:dyDescent="0.25">
      <c r="A309" t="s">
        <v>8733</v>
      </c>
      <c r="B309" t="s">
        <v>8297</v>
      </c>
    </row>
    <row r="310" spans="1:2" x14ac:dyDescent="0.25">
      <c r="A310" t="s">
        <v>8804</v>
      </c>
      <c r="B310" t="s">
        <v>8215</v>
      </c>
    </row>
    <row r="311" spans="1:2" x14ac:dyDescent="0.25">
      <c r="A311" t="s">
        <v>8569</v>
      </c>
      <c r="B311" t="s">
        <v>8417</v>
      </c>
    </row>
    <row r="312" spans="1:2" x14ac:dyDescent="0.25">
      <c r="A312" t="s">
        <v>8732</v>
      </c>
      <c r="B312" t="s">
        <v>8259</v>
      </c>
    </row>
    <row r="313" spans="1:2" x14ac:dyDescent="0.25">
      <c r="A313" t="s">
        <v>8680</v>
      </c>
      <c r="B313" t="s">
        <v>8245</v>
      </c>
    </row>
    <row r="314" spans="1:2" x14ac:dyDescent="0.25">
      <c r="A314" t="s">
        <v>8372</v>
      </c>
      <c r="B314" t="s">
        <v>8566</v>
      </c>
    </row>
    <row r="315" spans="1:2" x14ac:dyDescent="0.25">
      <c r="A315" t="s">
        <v>8298</v>
      </c>
      <c r="B315" t="s">
        <v>8717</v>
      </c>
    </row>
    <row r="316" spans="1:2" x14ac:dyDescent="0.25">
      <c r="A316" t="s">
        <v>8800</v>
      </c>
      <c r="B316" t="s">
        <v>8566</v>
      </c>
    </row>
    <row r="317" spans="1:2" x14ac:dyDescent="0.25">
      <c r="A317" t="s">
        <v>8286</v>
      </c>
      <c r="B317" t="s">
        <v>8566</v>
      </c>
    </row>
    <row r="318" spans="1:2" x14ac:dyDescent="0.25">
      <c r="A318" t="s">
        <v>8581</v>
      </c>
      <c r="B318" t="s">
        <v>8670</v>
      </c>
    </row>
    <row r="319" spans="1:2" x14ac:dyDescent="0.25">
      <c r="A319" t="s">
        <v>8307</v>
      </c>
      <c r="B319" t="s">
        <v>8221</v>
      </c>
    </row>
    <row r="320" spans="1:2" x14ac:dyDescent="0.25">
      <c r="A320" t="s">
        <v>8424</v>
      </c>
      <c r="B320" t="s">
        <v>8297</v>
      </c>
    </row>
    <row r="321" spans="1:2" x14ac:dyDescent="0.25">
      <c r="A321" t="s">
        <v>8801</v>
      </c>
      <c r="B321" t="s">
        <v>8221</v>
      </c>
    </row>
    <row r="322" spans="1:2" x14ac:dyDescent="0.25">
      <c r="A322" t="s">
        <v>8821</v>
      </c>
      <c r="B322" t="s">
        <v>8343</v>
      </c>
    </row>
    <row r="323" spans="1:2" x14ac:dyDescent="0.25">
      <c r="A323" t="s">
        <v>8625</v>
      </c>
      <c r="B323" t="s">
        <v>8295</v>
      </c>
    </row>
    <row r="324" spans="1:2" x14ac:dyDescent="0.25">
      <c r="A324" t="s">
        <v>8400</v>
      </c>
      <c r="B324" t="s">
        <v>8462</v>
      </c>
    </row>
    <row r="325" spans="1:2" x14ac:dyDescent="0.25">
      <c r="A325" t="s">
        <v>8654</v>
      </c>
      <c r="B325" t="s">
        <v>8217</v>
      </c>
    </row>
    <row r="326" spans="1:2" x14ac:dyDescent="0.25">
      <c r="A326" t="s">
        <v>8627</v>
      </c>
      <c r="B326" t="s">
        <v>8566</v>
      </c>
    </row>
    <row r="327" spans="1:2" x14ac:dyDescent="0.25">
      <c r="A327" t="s">
        <v>8756</v>
      </c>
      <c r="B327" t="s">
        <v>8304</v>
      </c>
    </row>
    <row r="328" spans="1:2" x14ac:dyDescent="0.25">
      <c r="A328" t="s">
        <v>8678</v>
      </c>
      <c r="B328" t="s">
        <v>8304</v>
      </c>
    </row>
    <row r="329" spans="1:2" x14ac:dyDescent="0.25">
      <c r="A329" t="s">
        <v>8410</v>
      </c>
      <c r="B329" t="s">
        <v>8348</v>
      </c>
    </row>
    <row r="330" spans="1:2" x14ac:dyDescent="0.25">
      <c r="A330" t="s">
        <v>8945</v>
      </c>
      <c r="B330" t="s">
        <v>8392</v>
      </c>
    </row>
    <row r="331" spans="1:2" x14ac:dyDescent="0.25">
      <c r="A331" t="s">
        <v>8296</v>
      </c>
      <c r="B331" t="s">
        <v>8475</v>
      </c>
    </row>
    <row r="332" spans="1:2" x14ac:dyDescent="0.25">
      <c r="A332" t="s">
        <v>8754</v>
      </c>
      <c r="B332" t="s">
        <v>8475</v>
      </c>
    </row>
    <row r="333" spans="1:2" x14ac:dyDescent="0.25">
      <c r="A333" t="s">
        <v>8301</v>
      </c>
      <c r="B333" t="s">
        <v>8566</v>
      </c>
    </row>
    <row r="334" spans="1:2" x14ac:dyDescent="0.25">
      <c r="A334" t="s">
        <v>8389</v>
      </c>
      <c r="B334" t="s">
        <v>8566</v>
      </c>
    </row>
    <row r="335" spans="1:2" x14ac:dyDescent="0.25">
      <c r="A335" t="s">
        <v>8671</v>
      </c>
      <c r="B335" t="s">
        <v>8259</v>
      </c>
    </row>
    <row r="336" spans="1:2" x14ac:dyDescent="0.25">
      <c r="A336" t="s">
        <v>8452</v>
      </c>
      <c r="B336" t="s">
        <v>8217</v>
      </c>
    </row>
    <row r="337" spans="1:2" x14ac:dyDescent="0.25">
      <c r="A337" t="s">
        <v>8847</v>
      </c>
      <c r="B337" t="s">
        <v>8475</v>
      </c>
    </row>
    <row r="338" spans="1:2" x14ac:dyDescent="0.25">
      <c r="A338" t="s">
        <v>8930</v>
      </c>
      <c r="B338" t="s">
        <v>8566</v>
      </c>
    </row>
    <row r="339" spans="1:2" x14ac:dyDescent="0.25">
      <c r="A339" t="s">
        <v>8708</v>
      </c>
      <c r="B339" t="s">
        <v>8475</v>
      </c>
    </row>
    <row r="340" spans="1:2" x14ac:dyDescent="0.25">
      <c r="A340" t="s">
        <v>8481</v>
      </c>
      <c r="B340" t="s">
        <v>8348</v>
      </c>
    </row>
    <row r="341" spans="1:2" x14ac:dyDescent="0.25">
      <c r="A341" t="s">
        <v>8322</v>
      </c>
      <c r="B341" t="s">
        <v>8566</v>
      </c>
    </row>
    <row r="342" spans="1:2" x14ac:dyDescent="0.25">
      <c r="A342" t="s">
        <v>8969</v>
      </c>
      <c r="B342" t="s">
        <v>8295</v>
      </c>
    </row>
    <row r="343" spans="1:2" x14ac:dyDescent="0.25">
      <c r="A343" t="s">
        <v>8326</v>
      </c>
      <c r="B343" t="s">
        <v>8717</v>
      </c>
    </row>
    <row r="344" spans="1:2" x14ac:dyDescent="0.25">
      <c r="A344" t="s">
        <v>8499</v>
      </c>
      <c r="B344" t="s">
        <v>8348</v>
      </c>
    </row>
    <row r="345" spans="1:2" x14ac:dyDescent="0.25">
      <c r="A345" t="s">
        <v>8846</v>
      </c>
      <c r="B345" t="s">
        <v>8475</v>
      </c>
    </row>
    <row r="346" spans="1:2" x14ac:dyDescent="0.25">
      <c r="A346" t="s">
        <v>8262</v>
      </c>
      <c r="B346" t="s">
        <v>8217</v>
      </c>
    </row>
    <row r="347" spans="1:2" x14ac:dyDescent="0.25">
      <c r="A347" t="s">
        <v>8397</v>
      </c>
      <c r="B347" t="s">
        <v>8221</v>
      </c>
    </row>
    <row r="348" spans="1:2" x14ac:dyDescent="0.25">
      <c r="A348" t="s">
        <v>8909</v>
      </c>
      <c r="B348" t="s">
        <v>8566</v>
      </c>
    </row>
    <row r="349" spans="1:2" x14ac:dyDescent="0.25">
      <c r="A349" t="s">
        <v>8428</v>
      </c>
      <c r="B349" t="s">
        <v>8245</v>
      </c>
    </row>
    <row r="350" spans="1:2" x14ac:dyDescent="0.25">
      <c r="A350" t="s">
        <v>8615</v>
      </c>
      <c r="B350" t="s">
        <v>8221</v>
      </c>
    </row>
    <row r="351" spans="1:2" x14ac:dyDescent="0.25">
      <c r="A351" t="s">
        <v>8815</v>
      </c>
      <c r="B351" t="s">
        <v>8343</v>
      </c>
    </row>
    <row r="352" spans="1:2" x14ac:dyDescent="0.25">
      <c r="A352" t="s">
        <v>8928</v>
      </c>
      <c r="B352" t="s">
        <v>8217</v>
      </c>
    </row>
    <row r="353" spans="1:2" x14ac:dyDescent="0.25">
      <c r="A353" t="s">
        <v>8630</v>
      </c>
      <c r="B353" t="s">
        <v>8348</v>
      </c>
    </row>
    <row r="354" spans="1:2" x14ac:dyDescent="0.25">
      <c r="A354" t="s">
        <v>8381</v>
      </c>
      <c r="B354" t="s">
        <v>8566</v>
      </c>
    </row>
    <row r="355" spans="1:2" x14ac:dyDescent="0.25">
      <c r="A355" t="s">
        <v>8396</v>
      </c>
      <c r="B355" t="s">
        <v>8566</v>
      </c>
    </row>
    <row r="356" spans="1:2" x14ac:dyDescent="0.25">
      <c r="A356" t="s">
        <v>8406</v>
      </c>
      <c r="B356" t="s">
        <v>8217</v>
      </c>
    </row>
    <row r="357" spans="1:2" x14ac:dyDescent="0.25">
      <c r="A357" t="s">
        <v>8725</v>
      </c>
      <c r="B357" t="s">
        <v>8217</v>
      </c>
    </row>
    <row r="358" spans="1:2" x14ac:dyDescent="0.25">
      <c r="A358" t="s">
        <v>8620</v>
      </c>
      <c r="B358" t="s">
        <v>8566</v>
      </c>
    </row>
    <row r="359" spans="1:2" x14ac:dyDescent="0.25">
      <c r="A359" t="s">
        <v>8689</v>
      </c>
      <c r="B359" t="s">
        <v>8717</v>
      </c>
    </row>
    <row r="360" spans="1:2" x14ac:dyDescent="0.25">
      <c r="A360" t="s">
        <v>8469</v>
      </c>
      <c r="B360" t="s">
        <v>8221</v>
      </c>
    </row>
    <row r="361" spans="1:2" x14ac:dyDescent="0.25">
      <c r="A361" t="s">
        <v>8274</v>
      </c>
      <c r="B361" t="s">
        <v>8348</v>
      </c>
    </row>
    <row r="362" spans="1:2" x14ac:dyDescent="0.25">
      <c r="A362" t="s">
        <v>8930</v>
      </c>
      <c r="B362" t="s">
        <v>8217</v>
      </c>
    </row>
    <row r="363" spans="1:2" x14ac:dyDescent="0.25">
      <c r="A363" t="s">
        <v>8758</v>
      </c>
      <c r="B363" t="s">
        <v>8217</v>
      </c>
    </row>
    <row r="364" spans="1:2" x14ac:dyDescent="0.25">
      <c r="A364" t="s">
        <v>8294</v>
      </c>
      <c r="B364" t="s">
        <v>8404</v>
      </c>
    </row>
    <row r="365" spans="1:2" x14ac:dyDescent="0.25">
      <c r="A365" t="s">
        <v>8651</v>
      </c>
      <c r="B365" t="s">
        <v>8221</v>
      </c>
    </row>
    <row r="366" spans="1:2" x14ac:dyDescent="0.25">
      <c r="A366" t="s">
        <v>8752</v>
      </c>
      <c r="B366" t="s">
        <v>8217</v>
      </c>
    </row>
    <row r="367" spans="1:2" x14ac:dyDescent="0.25">
      <c r="A367" t="s">
        <v>8937</v>
      </c>
      <c r="B367" t="s">
        <v>8566</v>
      </c>
    </row>
    <row r="368" spans="1:2" x14ac:dyDescent="0.25">
      <c r="A368" t="s">
        <v>8787</v>
      </c>
      <c r="B368" t="s">
        <v>8340</v>
      </c>
    </row>
    <row r="369" spans="1:2" x14ac:dyDescent="0.25">
      <c r="A369" t="s">
        <v>8709</v>
      </c>
      <c r="B369" t="s">
        <v>8498</v>
      </c>
    </row>
    <row r="370" spans="1:2" x14ac:dyDescent="0.25">
      <c r="A370" t="s">
        <v>8842</v>
      </c>
      <c r="B370" t="s">
        <v>8717</v>
      </c>
    </row>
    <row r="371" spans="1:2" x14ac:dyDescent="0.25">
      <c r="A371" t="s">
        <v>8517</v>
      </c>
      <c r="B371" t="s">
        <v>8670</v>
      </c>
    </row>
    <row r="372" spans="1:2" x14ac:dyDescent="0.25">
      <c r="A372" t="s">
        <v>8436</v>
      </c>
      <c r="B372" t="s">
        <v>8566</v>
      </c>
    </row>
    <row r="373" spans="1:2" x14ac:dyDescent="0.25">
      <c r="A373" t="s">
        <v>8597</v>
      </c>
      <c r="B373" t="s">
        <v>8670</v>
      </c>
    </row>
    <row r="374" spans="1:2" x14ac:dyDescent="0.25">
      <c r="A374" t="s">
        <v>8586</v>
      </c>
      <c r="B374" t="s">
        <v>8221</v>
      </c>
    </row>
    <row r="375" spans="1:2" x14ac:dyDescent="0.25">
      <c r="A375" t="s">
        <v>8513</v>
      </c>
      <c r="B375" t="s">
        <v>8566</v>
      </c>
    </row>
    <row r="376" spans="1:2" x14ac:dyDescent="0.25">
      <c r="A376" t="s">
        <v>8960</v>
      </c>
      <c r="B376" t="s">
        <v>8348</v>
      </c>
    </row>
    <row r="377" spans="1:2" x14ac:dyDescent="0.25">
      <c r="A377" t="s">
        <v>8652</v>
      </c>
      <c r="B377" t="s">
        <v>8566</v>
      </c>
    </row>
    <row r="378" spans="1:2" x14ac:dyDescent="0.25">
      <c r="A378" t="s">
        <v>8233</v>
      </c>
      <c r="B378" t="s">
        <v>8238</v>
      </c>
    </row>
    <row r="379" spans="1:2" x14ac:dyDescent="0.25">
      <c r="A379" t="s">
        <v>8914</v>
      </c>
      <c r="B379" t="s">
        <v>8348</v>
      </c>
    </row>
    <row r="380" spans="1:2" x14ac:dyDescent="0.25">
      <c r="A380" t="s">
        <v>8940</v>
      </c>
      <c r="B380" t="s">
        <v>8348</v>
      </c>
    </row>
    <row r="381" spans="1:2" x14ac:dyDescent="0.25">
      <c r="A381" t="s">
        <v>8413</v>
      </c>
      <c r="B381" t="s">
        <v>8475</v>
      </c>
    </row>
    <row r="382" spans="1:2" x14ac:dyDescent="0.25">
      <c r="A382" t="s">
        <v>8638</v>
      </c>
      <c r="B382" t="s">
        <v>8348</v>
      </c>
    </row>
    <row r="383" spans="1:2" x14ac:dyDescent="0.25">
      <c r="A383" t="s">
        <v>8788</v>
      </c>
      <c r="B383" t="s">
        <v>8670</v>
      </c>
    </row>
    <row r="384" spans="1:2" x14ac:dyDescent="0.25">
      <c r="A384" t="s">
        <v>8334</v>
      </c>
      <c r="B384" t="s">
        <v>8566</v>
      </c>
    </row>
    <row r="385" spans="1:2" x14ac:dyDescent="0.25">
      <c r="A385" t="s">
        <v>8812</v>
      </c>
      <c r="B385" t="s">
        <v>8417</v>
      </c>
    </row>
    <row r="386" spans="1:2" x14ac:dyDescent="0.25">
      <c r="A386" t="s">
        <v>8870</v>
      </c>
      <c r="B386" t="s">
        <v>8343</v>
      </c>
    </row>
    <row r="387" spans="1:2" x14ac:dyDescent="0.25">
      <c r="A387" t="s">
        <v>8771</v>
      </c>
      <c r="B387" t="s">
        <v>8217</v>
      </c>
    </row>
    <row r="388" spans="1:2" x14ac:dyDescent="0.25">
      <c r="A388" t="s">
        <v>8314</v>
      </c>
      <c r="B388" t="s">
        <v>8348</v>
      </c>
    </row>
    <row r="389" spans="1:2" x14ac:dyDescent="0.25">
      <c r="A389" t="s">
        <v>8903</v>
      </c>
      <c r="B389" t="s">
        <v>8566</v>
      </c>
    </row>
    <row r="390" spans="1:2" x14ac:dyDescent="0.25">
      <c r="A390" t="s">
        <v>8617</v>
      </c>
      <c r="B390" t="s">
        <v>8304</v>
      </c>
    </row>
    <row r="391" spans="1:2" x14ac:dyDescent="0.25">
      <c r="A391" t="s">
        <v>8400</v>
      </c>
      <c r="B391" t="s">
        <v>8462</v>
      </c>
    </row>
    <row r="392" spans="1:2" x14ac:dyDescent="0.25">
      <c r="A392" t="s">
        <v>8888</v>
      </c>
      <c r="B392" t="s">
        <v>8304</v>
      </c>
    </row>
    <row r="393" spans="1:2" x14ac:dyDescent="0.25">
      <c r="A393" t="s">
        <v>8629</v>
      </c>
      <c r="B393" t="s">
        <v>8259</v>
      </c>
    </row>
    <row r="394" spans="1:2" x14ac:dyDescent="0.25">
      <c r="A394" t="s">
        <v>8310</v>
      </c>
      <c r="B394" t="s">
        <v>8348</v>
      </c>
    </row>
    <row r="395" spans="1:2" x14ac:dyDescent="0.25">
      <c r="A395" t="s">
        <v>8288</v>
      </c>
      <c r="B395" t="s">
        <v>8348</v>
      </c>
    </row>
    <row r="396" spans="1:2" x14ac:dyDescent="0.25">
      <c r="A396" t="s">
        <v>8860</v>
      </c>
      <c r="B396" t="s">
        <v>8259</v>
      </c>
    </row>
    <row r="397" spans="1:2" x14ac:dyDescent="0.25">
      <c r="A397" t="s">
        <v>8897</v>
      </c>
      <c r="B397" t="s">
        <v>8348</v>
      </c>
    </row>
    <row r="398" spans="1:2" x14ac:dyDescent="0.25">
      <c r="A398" t="s">
        <v>8599</v>
      </c>
      <c r="B398" t="s">
        <v>8217</v>
      </c>
    </row>
    <row r="399" spans="1:2" x14ac:dyDescent="0.25">
      <c r="A399" t="s">
        <v>8409</v>
      </c>
      <c r="B399" t="s">
        <v>8221</v>
      </c>
    </row>
    <row r="400" spans="1:2" x14ac:dyDescent="0.25">
      <c r="A400" t="s">
        <v>8814</v>
      </c>
      <c r="B400" t="s">
        <v>8259</v>
      </c>
    </row>
    <row r="401" spans="1:2" x14ac:dyDescent="0.25">
      <c r="A401" t="s">
        <v>8845</v>
      </c>
      <c r="B401" t="s">
        <v>8462</v>
      </c>
    </row>
    <row r="402" spans="1:2" x14ac:dyDescent="0.25">
      <c r="A402" t="s">
        <v>8558</v>
      </c>
      <c r="B402" t="s">
        <v>8566</v>
      </c>
    </row>
    <row r="403" spans="1:2" x14ac:dyDescent="0.25">
      <c r="A403" t="s">
        <v>8414</v>
      </c>
      <c r="B403" t="s">
        <v>8221</v>
      </c>
    </row>
    <row r="404" spans="1:2" x14ac:dyDescent="0.25">
      <c r="A404" t="s">
        <v>8254</v>
      </c>
      <c r="B404" t="s">
        <v>8717</v>
      </c>
    </row>
    <row r="405" spans="1:2" x14ac:dyDescent="0.25">
      <c r="A405" t="s">
        <v>8750</v>
      </c>
      <c r="B405" t="s">
        <v>8343</v>
      </c>
    </row>
    <row r="406" spans="1:2" x14ac:dyDescent="0.25">
      <c r="A406" t="s">
        <v>8944</v>
      </c>
      <c r="B406" t="s">
        <v>8348</v>
      </c>
    </row>
    <row r="407" spans="1:2" x14ac:dyDescent="0.25">
      <c r="A407" t="s">
        <v>8296</v>
      </c>
      <c r="B407" t="s">
        <v>8348</v>
      </c>
    </row>
    <row r="408" spans="1:2" x14ac:dyDescent="0.25">
      <c r="A408" t="s">
        <v>8754</v>
      </c>
      <c r="B408" t="s">
        <v>8348</v>
      </c>
    </row>
    <row r="409" spans="1:2" x14ac:dyDescent="0.25">
      <c r="A409" t="s">
        <v>8846</v>
      </c>
      <c r="B409" t="s">
        <v>8475</v>
      </c>
    </row>
    <row r="410" spans="1:2" x14ac:dyDescent="0.25">
      <c r="A410" t="s">
        <v>8360</v>
      </c>
      <c r="B410" t="s">
        <v>8392</v>
      </c>
    </row>
    <row r="411" spans="1:2" x14ac:dyDescent="0.25">
      <c r="A411" t="s">
        <v>8667</v>
      </c>
      <c r="B411" t="s">
        <v>8304</v>
      </c>
    </row>
    <row r="412" spans="1:2" x14ac:dyDescent="0.25">
      <c r="A412" t="s">
        <v>8509</v>
      </c>
      <c r="B412" t="s">
        <v>8717</v>
      </c>
    </row>
    <row r="413" spans="1:2" x14ac:dyDescent="0.25">
      <c r="A413" t="s">
        <v>8358</v>
      </c>
      <c r="B413" t="s">
        <v>8217</v>
      </c>
    </row>
    <row r="414" spans="1:2" x14ac:dyDescent="0.25">
      <c r="A414" t="s">
        <v>8210</v>
      </c>
      <c r="B414" t="s">
        <v>8566</v>
      </c>
    </row>
    <row r="415" spans="1:2" x14ac:dyDescent="0.25">
      <c r="A415" t="s">
        <v>8393</v>
      </c>
      <c r="B415" t="s">
        <v>8221</v>
      </c>
    </row>
    <row r="416" spans="1:2" x14ac:dyDescent="0.25">
      <c r="A416" t="s">
        <v>8895</v>
      </c>
      <c r="B416" t="s">
        <v>8475</v>
      </c>
    </row>
    <row r="417" spans="1:2" x14ac:dyDescent="0.25">
      <c r="A417" t="s">
        <v>8936</v>
      </c>
      <c r="B417" t="s">
        <v>8498</v>
      </c>
    </row>
    <row r="418" spans="1:2" x14ac:dyDescent="0.25">
      <c r="A418" t="s">
        <v>8347</v>
      </c>
      <c r="B418" t="s">
        <v>8348</v>
      </c>
    </row>
    <row r="419" spans="1:2" x14ac:dyDescent="0.25">
      <c r="A419" t="s">
        <v>8470</v>
      </c>
      <c r="B419" t="s">
        <v>8475</v>
      </c>
    </row>
    <row r="420" spans="1:2" x14ac:dyDescent="0.25">
      <c r="A420" t="s">
        <v>8948</v>
      </c>
      <c r="B420" t="s">
        <v>8717</v>
      </c>
    </row>
    <row r="421" spans="1:2" x14ac:dyDescent="0.25">
      <c r="A421" t="s">
        <v>8252</v>
      </c>
      <c r="B421" t="s">
        <v>8348</v>
      </c>
    </row>
    <row r="422" spans="1:2" x14ac:dyDescent="0.25">
      <c r="A422" t="s">
        <v>8212</v>
      </c>
      <c r="B422" t="s">
        <v>8348</v>
      </c>
    </row>
    <row r="423" spans="1:2" x14ac:dyDescent="0.25">
      <c r="A423" t="s">
        <v>8517</v>
      </c>
      <c r="B423" t="s">
        <v>8304</v>
      </c>
    </row>
    <row r="424" spans="1:2" x14ac:dyDescent="0.25">
      <c r="A424" t="s">
        <v>8702</v>
      </c>
      <c r="B424" t="s">
        <v>8566</v>
      </c>
    </row>
    <row r="425" spans="1:2" x14ac:dyDescent="0.25">
      <c r="A425" t="s">
        <v>8213</v>
      </c>
      <c r="B425" t="s">
        <v>8348</v>
      </c>
    </row>
    <row r="426" spans="1:2" x14ac:dyDescent="0.25">
      <c r="A426" t="s">
        <v>8542</v>
      </c>
      <c r="B426" t="s">
        <v>8475</v>
      </c>
    </row>
    <row r="427" spans="1:2" x14ac:dyDescent="0.25">
      <c r="A427" t="s">
        <v>8910</v>
      </c>
      <c r="B427" t="s">
        <v>8217</v>
      </c>
    </row>
    <row r="428" spans="1:2" x14ac:dyDescent="0.25">
      <c r="A428" t="s">
        <v>8667</v>
      </c>
      <c r="B428" t="s">
        <v>8348</v>
      </c>
    </row>
    <row r="429" spans="1:2" x14ac:dyDescent="0.25">
      <c r="A429" t="s">
        <v>8336</v>
      </c>
      <c r="B429" t="s">
        <v>8221</v>
      </c>
    </row>
    <row r="430" spans="1:2" x14ac:dyDescent="0.25">
      <c r="A430" t="s">
        <v>8660</v>
      </c>
      <c r="B430" t="s">
        <v>8217</v>
      </c>
    </row>
    <row r="431" spans="1:2" x14ac:dyDescent="0.25">
      <c r="A431" t="s">
        <v>8992</v>
      </c>
      <c r="B431" t="s">
        <v>8221</v>
      </c>
    </row>
    <row r="432" spans="1:2" x14ac:dyDescent="0.25">
      <c r="A432" t="s">
        <v>8447</v>
      </c>
      <c r="B432" t="s">
        <v>8221</v>
      </c>
    </row>
    <row r="433" spans="1:2" x14ac:dyDescent="0.25">
      <c r="A433" t="s">
        <v>8951</v>
      </c>
      <c r="B433" t="s">
        <v>8238</v>
      </c>
    </row>
    <row r="434" spans="1:2" x14ac:dyDescent="0.25">
      <c r="A434" t="s">
        <v>8879</v>
      </c>
      <c r="B434" t="s">
        <v>8566</v>
      </c>
    </row>
    <row r="435" spans="1:2" x14ac:dyDescent="0.25">
      <c r="A435" t="s">
        <v>8282</v>
      </c>
      <c r="B435" t="s">
        <v>8717</v>
      </c>
    </row>
    <row r="436" spans="1:2" x14ac:dyDescent="0.25">
      <c r="A436" t="s">
        <v>8478</v>
      </c>
      <c r="B436" t="s">
        <v>8717</v>
      </c>
    </row>
    <row r="437" spans="1:2" x14ac:dyDescent="0.25">
      <c r="A437" t="s">
        <v>8357</v>
      </c>
      <c r="B437" t="s">
        <v>8217</v>
      </c>
    </row>
    <row r="438" spans="1:2" x14ac:dyDescent="0.25">
      <c r="A438" t="s">
        <v>8318</v>
      </c>
      <c r="B438" t="s">
        <v>8217</v>
      </c>
    </row>
    <row r="439" spans="1:2" x14ac:dyDescent="0.25">
      <c r="A439" t="s">
        <v>8470</v>
      </c>
      <c r="B439" t="s">
        <v>8348</v>
      </c>
    </row>
    <row r="440" spans="1:2" x14ac:dyDescent="0.25">
      <c r="A440" t="s">
        <v>8787</v>
      </c>
      <c r="B440" t="s">
        <v>8245</v>
      </c>
    </row>
    <row r="441" spans="1:2" x14ac:dyDescent="0.25">
      <c r="A441" t="s">
        <v>8393</v>
      </c>
      <c r="B441" t="s">
        <v>8217</v>
      </c>
    </row>
    <row r="442" spans="1:2" x14ac:dyDescent="0.25">
      <c r="A442" t="s">
        <v>8631</v>
      </c>
      <c r="B442" t="s">
        <v>8259</v>
      </c>
    </row>
    <row r="443" spans="1:2" x14ac:dyDescent="0.25">
      <c r="A443" t="s">
        <v>8380</v>
      </c>
      <c r="B443" t="s">
        <v>8217</v>
      </c>
    </row>
    <row r="444" spans="1:2" x14ac:dyDescent="0.25">
      <c r="A444" t="s">
        <v>8805</v>
      </c>
      <c r="B444" t="s">
        <v>8343</v>
      </c>
    </row>
    <row r="445" spans="1:2" x14ac:dyDescent="0.25">
      <c r="A445" t="s">
        <v>8549</v>
      </c>
      <c r="B445" t="s">
        <v>8217</v>
      </c>
    </row>
    <row r="446" spans="1:2" x14ac:dyDescent="0.25">
      <c r="A446" t="s">
        <v>8737</v>
      </c>
      <c r="B446" t="s">
        <v>8717</v>
      </c>
    </row>
    <row r="447" spans="1:2" x14ac:dyDescent="0.25">
      <c r="A447" t="s">
        <v>8650</v>
      </c>
      <c r="B447" t="s">
        <v>8217</v>
      </c>
    </row>
    <row r="448" spans="1:2" x14ac:dyDescent="0.25">
      <c r="A448" t="s">
        <v>8652</v>
      </c>
      <c r="B448" t="s">
        <v>8217</v>
      </c>
    </row>
    <row r="449" spans="1:2" x14ac:dyDescent="0.25">
      <c r="A449" t="s">
        <v>8353</v>
      </c>
      <c r="B449" t="s">
        <v>8348</v>
      </c>
    </row>
    <row r="450" spans="1:2" x14ac:dyDescent="0.25">
      <c r="A450" t="s">
        <v>8560</v>
      </c>
      <c r="B450" t="s">
        <v>8348</v>
      </c>
    </row>
    <row r="451" spans="1:2" x14ac:dyDescent="0.25">
      <c r="A451" t="s">
        <v>8471</v>
      </c>
      <c r="B451" t="s">
        <v>8348</v>
      </c>
    </row>
    <row r="452" spans="1:2" x14ac:dyDescent="0.25">
      <c r="A452" t="s">
        <v>8796</v>
      </c>
      <c r="B452" t="s">
        <v>8475</v>
      </c>
    </row>
    <row r="453" spans="1:2" x14ac:dyDescent="0.25">
      <c r="A453" t="s">
        <v>8413</v>
      </c>
      <c r="B453" t="s">
        <v>8348</v>
      </c>
    </row>
    <row r="454" spans="1:2" x14ac:dyDescent="0.25">
      <c r="A454" t="s">
        <v>8292</v>
      </c>
      <c r="B454" t="s">
        <v>8221</v>
      </c>
    </row>
    <row r="455" spans="1:2" x14ac:dyDescent="0.25">
      <c r="A455" t="s">
        <v>8286</v>
      </c>
      <c r="B455" t="s">
        <v>8717</v>
      </c>
    </row>
    <row r="456" spans="1:2" x14ac:dyDescent="0.25">
      <c r="A456" t="s">
        <v>8223</v>
      </c>
      <c r="B456" t="s">
        <v>8217</v>
      </c>
    </row>
    <row r="457" spans="1:2" x14ac:dyDescent="0.25">
      <c r="A457" t="s">
        <v>8325</v>
      </c>
      <c r="B457" t="s">
        <v>8717</v>
      </c>
    </row>
    <row r="458" spans="1:2" x14ac:dyDescent="0.25">
      <c r="A458" t="s">
        <v>8640</v>
      </c>
      <c r="B458" t="s">
        <v>8348</v>
      </c>
    </row>
    <row r="459" spans="1:2" x14ac:dyDescent="0.25">
      <c r="A459" t="s">
        <v>8887</v>
      </c>
      <c r="B459" t="s">
        <v>8348</v>
      </c>
    </row>
    <row r="460" spans="1:2" x14ac:dyDescent="0.25">
      <c r="A460" t="s">
        <v>8759</v>
      </c>
      <c r="B460" t="s">
        <v>8348</v>
      </c>
    </row>
    <row r="461" spans="1:2" x14ac:dyDescent="0.25">
      <c r="A461" t="s">
        <v>8535</v>
      </c>
      <c r="B461" t="s">
        <v>8348</v>
      </c>
    </row>
    <row r="462" spans="1:2" x14ac:dyDescent="0.25">
      <c r="A462" t="s">
        <v>8815</v>
      </c>
      <c r="B462" t="s">
        <v>8717</v>
      </c>
    </row>
    <row r="463" spans="1:2" x14ac:dyDescent="0.25">
      <c r="A463" t="s">
        <v>8224</v>
      </c>
      <c r="B463" t="s">
        <v>8217</v>
      </c>
    </row>
    <row r="464" spans="1:2" x14ac:dyDescent="0.25">
      <c r="A464" t="s">
        <v>8250</v>
      </c>
      <c r="B464" t="s">
        <v>8216</v>
      </c>
    </row>
    <row r="465" spans="1:2" x14ac:dyDescent="0.25">
      <c r="A465" t="s">
        <v>8666</v>
      </c>
      <c r="B465" t="s">
        <v>8348</v>
      </c>
    </row>
    <row r="466" spans="1:2" x14ac:dyDescent="0.25">
      <c r="A466" t="s">
        <v>8295</v>
      </c>
      <c r="B466" t="s">
        <v>8216</v>
      </c>
    </row>
    <row r="467" spans="1:2" x14ac:dyDescent="0.25">
      <c r="A467" t="s">
        <v>8400</v>
      </c>
      <c r="B467" t="s">
        <v>8498</v>
      </c>
    </row>
    <row r="468" spans="1:2" x14ac:dyDescent="0.25">
      <c r="A468" t="s">
        <v>8566</v>
      </c>
      <c r="B468" t="s">
        <v>8216</v>
      </c>
    </row>
    <row r="469" spans="1:2" x14ac:dyDescent="0.25">
      <c r="A469" t="s">
        <v>8744</v>
      </c>
      <c r="B469" t="s">
        <v>8348</v>
      </c>
    </row>
    <row r="470" spans="1:2" x14ac:dyDescent="0.25">
      <c r="A470" t="s">
        <v>8455</v>
      </c>
      <c r="B470" t="s">
        <v>8717</v>
      </c>
    </row>
    <row r="471" spans="1:2" x14ac:dyDescent="0.25">
      <c r="A471" t="s">
        <v>8311</v>
      </c>
      <c r="B471" t="s">
        <v>8348</v>
      </c>
    </row>
    <row r="472" spans="1:2" x14ac:dyDescent="0.25">
      <c r="A472" t="s">
        <v>8883</v>
      </c>
      <c r="B472" t="s">
        <v>8348</v>
      </c>
    </row>
    <row r="473" spans="1:2" x14ac:dyDescent="0.25">
      <c r="A473" t="s">
        <v>8838</v>
      </c>
      <c r="B473" t="s">
        <v>8259</v>
      </c>
    </row>
    <row r="474" spans="1:2" x14ac:dyDescent="0.25">
      <c r="A474" t="s">
        <v>8475</v>
      </c>
      <c r="B474" t="s">
        <v>8216</v>
      </c>
    </row>
    <row r="475" spans="1:2" x14ac:dyDescent="0.25">
      <c r="A475" t="s">
        <v>8757</v>
      </c>
      <c r="B475" t="s">
        <v>8348</v>
      </c>
    </row>
    <row r="476" spans="1:2" x14ac:dyDescent="0.25">
      <c r="A476" t="s">
        <v>8440</v>
      </c>
      <c r="B476" t="s">
        <v>8343</v>
      </c>
    </row>
    <row r="477" spans="1:2" x14ac:dyDescent="0.25">
      <c r="A477" t="s">
        <v>8940</v>
      </c>
      <c r="B477" t="s">
        <v>8348</v>
      </c>
    </row>
    <row r="478" spans="1:2" x14ac:dyDescent="0.25">
      <c r="A478" t="s">
        <v>8633</v>
      </c>
      <c r="B478" t="s">
        <v>8348</v>
      </c>
    </row>
    <row r="479" spans="1:2" x14ac:dyDescent="0.25">
      <c r="A479" t="s">
        <v>8484</v>
      </c>
      <c r="B479" t="s">
        <v>8348</v>
      </c>
    </row>
    <row r="480" spans="1:2" x14ac:dyDescent="0.25">
      <c r="A480" t="s">
        <v>8464</v>
      </c>
      <c r="B480" t="s">
        <v>8348</v>
      </c>
    </row>
    <row r="481" spans="1:2" x14ac:dyDescent="0.25">
      <c r="A481" t="s">
        <v>8748</v>
      </c>
      <c r="B481" t="s">
        <v>8348</v>
      </c>
    </row>
    <row r="482" spans="1:2" x14ac:dyDescent="0.25">
      <c r="A482" t="s">
        <v>8757</v>
      </c>
      <c r="B482" t="s">
        <v>8348</v>
      </c>
    </row>
    <row r="483" spans="1:2" x14ac:dyDescent="0.25">
      <c r="A483" t="s">
        <v>8780</v>
      </c>
      <c r="B483" t="s">
        <v>8259</v>
      </c>
    </row>
    <row r="484" spans="1:2" x14ac:dyDescent="0.25">
      <c r="A484" t="s">
        <v>8644</v>
      </c>
      <c r="B484" t="s">
        <v>8717</v>
      </c>
    </row>
    <row r="485" spans="1:2" x14ac:dyDescent="0.25">
      <c r="A485" t="s">
        <v>8624</v>
      </c>
      <c r="B485" t="s">
        <v>8348</v>
      </c>
    </row>
    <row r="486" spans="1:2" x14ac:dyDescent="0.25">
      <c r="A486" t="s">
        <v>8727</v>
      </c>
      <c r="B486" t="s">
        <v>8217</v>
      </c>
    </row>
    <row r="487" spans="1:2" x14ac:dyDescent="0.25">
      <c r="A487" t="s">
        <v>8616</v>
      </c>
      <c r="B487" t="s">
        <v>8217</v>
      </c>
    </row>
    <row r="488" spans="1:2" x14ac:dyDescent="0.25">
      <c r="A488" t="s">
        <v>8514</v>
      </c>
      <c r="B488" t="s">
        <v>8348</v>
      </c>
    </row>
    <row r="489" spans="1:2" x14ac:dyDescent="0.25">
      <c r="A489" t="s">
        <v>8851</v>
      </c>
      <c r="B489" t="s">
        <v>8348</v>
      </c>
    </row>
    <row r="490" spans="1:2" x14ac:dyDescent="0.25">
      <c r="A490" t="s">
        <v>8741</v>
      </c>
      <c r="B490" t="s">
        <v>8348</v>
      </c>
    </row>
    <row r="491" spans="1:2" x14ac:dyDescent="0.25">
      <c r="A491" t="s">
        <v>8901</v>
      </c>
      <c r="B491" t="s">
        <v>8348</v>
      </c>
    </row>
    <row r="492" spans="1:2" x14ac:dyDescent="0.25">
      <c r="A492" t="s">
        <v>8955</v>
      </c>
      <c r="B492" t="s">
        <v>8348</v>
      </c>
    </row>
    <row r="493" spans="1:2" x14ac:dyDescent="0.25">
      <c r="A493" t="s">
        <v>8302</v>
      </c>
      <c r="B493" t="s">
        <v>8348</v>
      </c>
    </row>
    <row r="494" spans="1:2" x14ac:dyDescent="0.25">
      <c r="A494" t="s">
        <v>8400</v>
      </c>
      <c r="B494" t="s">
        <v>8343</v>
      </c>
    </row>
    <row r="495" spans="1:2" x14ac:dyDescent="0.25">
      <c r="A495" t="s">
        <v>8709</v>
      </c>
      <c r="B495" t="s">
        <v>8343</v>
      </c>
    </row>
    <row r="496" spans="1:2" x14ac:dyDescent="0.25">
      <c r="A496" t="s">
        <v>8914</v>
      </c>
      <c r="B496" t="s">
        <v>8343</v>
      </c>
    </row>
    <row r="497" spans="1:2" x14ac:dyDescent="0.25">
      <c r="A497" t="s">
        <v>8360</v>
      </c>
      <c r="B497" t="s">
        <v>8392</v>
      </c>
    </row>
    <row r="498" spans="1:2" x14ac:dyDescent="0.25">
      <c r="A498" t="s">
        <v>8638</v>
      </c>
      <c r="B498" t="s">
        <v>8343</v>
      </c>
    </row>
    <row r="499" spans="1:2" x14ac:dyDescent="0.25">
      <c r="A499" t="s">
        <v>8788</v>
      </c>
      <c r="B499" t="s">
        <v>8343</v>
      </c>
    </row>
    <row r="500" spans="1:2" x14ac:dyDescent="0.25">
      <c r="A500" t="s">
        <v>8242</v>
      </c>
      <c r="B500" t="s">
        <v>8717</v>
      </c>
    </row>
    <row r="501" spans="1:2" x14ac:dyDescent="0.25">
      <c r="A501" t="s">
        <v>8669</v>
      </c>
      <c r="B501" t="s">
        <v>8245</v>
      </c>
    </row>
    <row r="502" spans="1:2" x14ac:dyDescent="0.25">
      <c r="A502" t="s">
        <v>8565</v>
      </c>
      <c r="B502" t="s">
        <v>8348</v>
      </c>
    </row>
    <row r="503" spans="1:2" x14ac:dyDescent="0.25">
      <c r="A503" t="s">
        <v>8416</v>
      </c>
      <c r="B503" t="s">
        <v>8217</v>
      </c>
    </row>
    <row r="504" spans="1:2" x14ac:dyDescent="0.25">
      <c r="A504" t="s">
        <v>8813</v>
      </c>
      <c r="B504" t="s">
        <v>8221</v>
      </c>
    </row>
    <row r="505" spans="1:2" x14ac:dyDescent="0.25">
      <c r="A505" t="s">
        <v>8873</v>
      </c>
      <c r="B505" t="s">
        <v>8348</v>
      </c>
    </row>
    <row r="506" spans="1:2" x14ac:dyDescent="0.25">
      <c r="A506" t="s">
        <v>8705</v>
      </c>
      <c r="B506" t="s">
        <v>8717</v>
      </c>
    </row>
    <row r="507" spans="1:2" x14ac:dyDescent="0.25">
      <c r="A507" t="s">
        <v>8674</v>
      </c>
      <c r="B507" t="s">
        <v>8717</v>
      </c>
    </row>
    <row r="508" spans="1:2" x14ac:dyDescent="0.25">
      <c r="A508" t="s">
        <v>8302</v>
      </c>
      <c r="B508" t="s">
        <v>8348</v>
      </c>
    </row>
    <row r="509" spans="1:2" x14ac:dyDescent="0.25">
      <c r="A509" t="s">
        <v>8345</v>
      </c>
      <c r="B509" t="s">
        <v>8221</v>
      </c>
    </row>
    <row r="510" spans="1:2" x14ac:dyDescent="0.25">
      <c r="A510" t="s">
        <v>8215</v>
      </c>
      <c r="B510" t="s">
        <v>8217</v>
      </c>
    </row>
    <row r="511" spans="1:2" x14ac:dyDescent="0.25">
      <c r="A511" t="s">
        <v>8557</v>
      </c>
      <c r="B511" t="s">
        <v>8217</v>
      </c>
    </row>
    <row r="512" spans="1:2" x14ac:dyDescent="0.25">
      <c r="A512" t="s">
        <v>8365</v>
      </c>
      <c r="B512" t="s">
        <v>8348</v>
      </c>
    </row>
    <row r="513" spans="1:2" x14ac:dyDescent="0.25">
      <c r="A513" t="s">
        <v>8811</v>
      </c>
      <c r="B513" t="s">
        <v>8221</v>
      </c>
    </row>
    <row r="514" spans="1:2" x14ac:dyDescent="0.25">
      <c r="A514" t="s">
        <v>8277</v>
      </c>
      <c r="B514" t="s">
        <v>8217</v>
      </c>
    </row>
    <row r="515" spans="1:2" x14ac:dyDescent="0.25">
      <c r="A515" t="s">
        <v>8989</v>
      </c>
      <c r="B515" t="s">
        <v>8348</v>
      </c>
    </row>
    <row r="516" spans="1:2" x14ac:dyDescent="0.25">
      <c r="A516" t="s">
        <v>8467</v>
      </c>
      <c r="B516" t="s">
        <v>8348</v>
      </c>
    </row>
    <row r="517" spans="1:2" x14ac:dyDescent="0.25">
      <c r="A517" t="s">
        <v>8256</v>
      </c>
      <c r="B517" t="s">
        <v>8348</v>
      </c>
    </row>
    <row r="518" spans="1:2" x14ac:dyDescent="0.25">
      <c r="A518" t="s">
        <v>8876</v>
      </c>
      <c r="B518" t="s">
        <v>8348</v>
      </c>
    </row>
    <row r="519" spans="1:2" x14ac:dyDescent="0.25">
      <c r="A519" t="s">
        <v>8601</v>
      </c>
      <c r="B519" t="s">
        <v>8348</v>
      </c>
    </row>
    <row r="520" spans="1:2" x14ac:dyDescent="0.25">
      <c r="A520" t="s">
        <v>8590</v>
      </c>
      <c r="B520" t="s">
        <v>8217</v>
      </c>
    </row>
    <row r="521" spans="1:2" x14ac:dyDescent="0.25">
      <c r="A521" t="s">
        <v>8462</v>
      </c>
      <c r="B521" t="s">
        <v>8217</v>
      </c>
    </row>
    <row r="522" spans="1:2" x14ac:dyDescent="0.25">
      <c r="A522" t="s">
        <v>8798</v>
      </c>
      <c r="B522" t="s">
        <v>8717</v>
      </c>
    </row>
    <row r="523" spans="1:2" x14ac:dyDescent="0.25">
      <c r="A523">
        <v>0</v>
      </c>
      <c r="B523" t="s">
        <v>8343</v>
      </c>
    </row>
    <row r="524" spans="1:2" x14ac:dyDescent="0.25">
      <c r="A524" t="s">
        <v>8761</v>
      </c>
      <c r="B524" t="s">
        <v>8717</v>
      </c>
    </row>
    <row r="525" spans="1:2" x14ac:dyDescent="0.25">
      <c r="A525" t="s">
        <v>8802</v>
      </c>
      <c r="B525" t="s">
        <v>8221</v>
      </c>
    </row>
    <row r="526" spans="1:2" x14ac:dyDescent="0.25">
      <c r="A526" t="s">
        <v>8572</v>
      </c>
      <c r="B526" t="s">
        <v>8717</v>
      </c>
    </row>
    <row r="527" spans="1:2" x14ac:dyDescent="0.25">
      <c r="A527" t="s">
        <v>8816</v>
      </c>
      <c r="B527" t="s">
        <v>8217</v>
      </c>
    </row>
    <row r="528" spans="1:2" x14ac:dyDescent="0.25">
      <c r="A528" t="s">
        <v>8555</v>
      </c>
      <c r="B528" t="s">
        <v>8217</v>
      </c>
    </row>
    <row r="529" spans="1:2" x14ac:dyDescent="0.25">
      <c r="A529" t="s">
        <v>8435</v>
      </c>
      <c r="B529" t="s">
        <v>8566</v>
      </c>
    </row>
    <row r="530" spans="1:2" x14ac:dyDescent="0.25">
      <c r="A530" t="s">
        <v>8824</v>
      </c>
      <c r="B530" t="s">
        <v>8362</v>
      </c>
    </row>
    <row r="531" spans="1:2" x14ac:dyDescent="0.25">
      <c r="A531" t="s">
        <v>8504</v>
      </c>
      <c r="B531" t="s">
        <v>8221</v>
      </c>
    </row>
    <row r="532" spans="1:2" x14ac:dyDescent="0.25">
      <c r="A532" t="s">
        <v>8667</v>
      </c>
      <c r="B532" t="s">
        <v>8348</v>
      </c>
    </row>
    <row r="533" spans="1:2" x14ac:dyDescent="0.25">
      <c r="A533" t="s">
        <v>8966</v>
      </c>
      <c r="B533" t="s">
        <v>8221</v>
      </c>
    </row>
    <row r="534" spans="1:2" x14ac:dyDescent="0.25">
      <c r="A534" t="s">
        <v>8647</v>
      </c>
      <c r="B534" t="s">
        <v>8221</v>
      </c>
    </row>
    <row r="535" spans="1:2" x14ac:dyDescent="0.25">
      <c r="A535" t="s">
        <v>8395</v>
      </c>
      <c r="B535" t="s">
        <v>8221</v>
      </c>
    </row>
    <row r="536" spans="1:2" x14ac:dyDescent="0.25">
      <c r="A536" t="s">
        <v>8707</v>
      </c>
      <c r="B536" t="s">
        <v>8717</v>
      </c>
    </row>
    <row r="537" spans="1:2" x14ac:dyDescent="0.25">
      <c r="A537" t="s">
        <v>8668</v>
      </c>
      <c r="B537" t="s">
        <v>8221</v>
      </c>
    </row>
    <row r="538" spans="1:2" x14ac:dyDescent="0.25">
      <c r="A538" t="s">
        <v>8261</v>
      </c>
      <c r="B538" t="s">
        <v>8217</v>
      </c>
    </row>
    <row r="539" spans="1:2" x14ac:dyDescent="0.25">
      <c r="A539" t="s">
        <v>8525</v>
      </c>
      <c r="B539" t="s">
        <v>8221</v>
      </c>
    </row>
    <row r="540" spans="1:2" x14ac:dyDescent="0.25">
      <c r="A540" t="s">
        <v>8494</v>
      </c>
      <c r="B540" t="s">
        <v>8221</v>
      </c>
    </row>
    <row r="541" spans="1:2" x14ac:dyDescent="0.25">
      <c r="A541" t="s">
        <v>8460</v>
      </c>
      <c r="B541" t="s">
        <v>8221</v>
      </c>
    </row>
    <row r="542" spans="1:2" x14ac:dyDescent="0.25">
      <c r="A542" t="s">
        <v>8346</v>
      </c>
      <c r="B542" t="s">
        <v>8221</v>
      </c>
    </row>
    <row r="543" spans="1:2" x14ac:dyDescent="0.25">
      <c r="A543" t="s">
        <v>8516</v>
      </c>
      <c r="B543" t="s">
        <v>8221</v>
      </c>
    </row>
    <row r="544" spans="1:2" x14ac:dyDescent="0.25">
      <c r="A544" t="s">
        <v>8839</v>
      </c>
      <c r="B544" t="s">
        <v>8362</v>
      </c>
    </row>
    <row r="545" spans="1:2" x14ac:dyDescent="0.25">
      <c r="A545" t="s">
        <v>8353</v>
      </c>
      <c r="B545" t="s">
        <v>8348</v>
      </c>
    </row>
    <row r="546" spans="1:2" x14ac:dyDescent="0.25">
      <c r="A546" t="s">
        <v>8759</v>
      </c>
      <c r="B546" t="s">
        <v>8348</v>
      </c>
    </row>
    <row r="547" spans="1:2" x14ac:dyDescent="0.25">
      <c r="A547" t="s">
        <v>8861</v>
      </c>
      <c r="B547" t="s">
        <v>8221</v>
      </c>
    </row>
    <row r="548" spans="1:2" x14ac:dyDescent="0.25">
      <c r="A548" t="s">
        <v>8237</v>
      </c>
      <c r="B548" t="s">
        <v>8217</v>
      </c>
    </row>
    <row r="549" spans="1:2" x14ac:dyDescent="0.25">
      <c r="A549" t="s">
        <v>8735</v>
      </c>
      <c r="B549" t="s">
        <v>8362</v>
      </c>
    </row>
    <row r="550" spans="1:2" x14ac:dyDescent="0.25">
      <c r="A550" t="s">
        <v>8833</v>
      </c>
      <c r="B550" t="s">
        <v>8221</v>
      </c>
    </row>
    <row r="551" spans="1:2" x14ac:dyDescent="0.25">
      <c r="A551" t="s">
        <v>8512</v>
      </c>
      <c r="B551" t="s">
        <v>8348</v>
      </c>
    </row>
    <row r="552" spans="1:2" x14ac:dyDescent="0.25">
      <c r="A552" t="s">
        <v>8831</v>
      </c>
      <c r="B552" t="s">
        <v>8221</v>
      </c>
    </row>
    <row r="553" spans="1:2" x14ac:dyDescent="0.25">
      <c r="A553" t="s">
        <v>8682</v>
      </c>
      <c r="B553" t="s">
        <v>8221</v>
      </c>
    </row>
    <row r="554" spans="1:2" x14ac:dyDescent="0.25">
      <c r="A554" t="s">
        <v>8598</v>
      </c>
      <c r="B554" t="s">
        <v>8221</v>
      </c>
    </row>
    <row r="555" spans="1:2" x14ac:dyDescent="0.25">
      <c r="A555" t="s">
        <v>8859</v>
      </c>
      <c r="B555" t="s">
        <v>8343</v>
      </c>
    </row>
    <row r="556" spans="1:2" x14ac:dyDescent="0.25">
      <c r="A556" t="s">
        <v>8556</v>
      </c>
      <c r="B556" t="s">
        <v>8221</v>
      </c>
    </row>
    <row r="557" spans="1:2" x14ac:dyDescent="0.25">
      <c r="A557" t="s">
        <v>8363</v>
      </c>
      <c r="B557" t="s">
        <v>8221</v>
      </c>
    </row>
    <row r="558" spans="1:2" x14ac:dyDescent="0.25">
      <c r="A558" t="s">
        <v>8685</v>
      </c>
      <c r="B558" t="s">
        <v>8259</v>
      </c>
    </row>
    <row r="559" spans="1:2" x14ac:dyDescent="0.25">
      <c r="A559" t="s">
        <v>8699</v>
      </c>
      <c r="B559" t="s">
        <v>8362</v>
      </c>
    </row>
    <row r="560" spans="1:2" x14ac:dyDescent="0.25">
      <c r="A560" t="s">
        <v>8890</v>
      </c>
      <c r="B560" t="s">
        <v>8362</v>
      </c>
    </row>
    <row r="561" spans="1:2" x14ac:dyDescent="0.25">
      <c r="A561" t="s">
        <v>8331</v>
      </c>
      <c r="B561" t="s">
        <v>8348</v>
      </c>
    </row>
    <row r="562" spans="1:2" x14ac:dyDescent="0.25">
      <c r="A562" t="s">
        <v>8284</v>
      </c>
      <c r="B562" t="s">
        <v>8217</v>
      </c>
    </row>
    <row r="563" spans="1:2" x14ac:dyDescent="0.25">
      <c r="A563" t="s">
        <v>8623</v>
      </c>
      <c r="B563" t="s">
        <v>8259</v>
      </c>
    </row>
    <row r="564" spans="1:2" x14ac:dyDescent="0.25">
      <c r="A564" t="s">
        <v>8537</v>
      </c>
      <c r="B564" t="s">
        <v>8221</v>
      </c>
    </row>
    <row r="565" spans="1:2" x14ac:dyDescent="0.25">
      <c r="A565" t="s">
        <v>8755</v>
      </c>
      <c r="B565" t="s">
        <v>8221</v>
      </c>
    </row>
    <row r="566" spans="1:2" x14ac:dyDescent="0.25">
      <c r="A566" t="s">
        <v>8929</v>
      </c>
      <c r="B566" t="s">
        <v>8221</v>
      </c>
    </row>
    <row r="567" spans="1:2" x14ac:dyDescent="0.25">
      <c r="A567" t="s">
        <v>8225</v>
      </c>
      <c r="B567" t="s">
        <v>8362</v>
      </c>
    </row>
    <row r="568" spans="1:2" x14ac:dyDescent="0.25">
      <c r="A568" t="s">
        <v>8990</v>
      </c>
      <c r="B568" t="s">
        <v>8259</v>
      </c>
    </row>
    <row r="569" spans="1:2" x14ac:dyDescent="0.25">
      <c r="A569" t="s">
        <v>8546</v>
      </c>
      <c r="B569" t="s">
        <v>8221</v>
      </c>
    </row>
  </sheetData>
  <autoFilter ref="A1:B569" xr:uid="{3B1C9B3E-979B-488F-BE92-9545B74155AB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F97-B370-4E29-B3E2-70E2DA4995F8}">
  <sheetPr filterMode="1"/>
  <dimension ref="A1:B260"/>
  <sheetViews>
    <sheetView workbookViewId="0">
      <selection activeCell="B86" sqref="B86"/>
    </sheetView>
  </sheetViews>
  <sheetFormatPr baseColWidth="10" defaultRowHeight="15" x14ac:dyDescent="0.25"/>
  <cols>
    <col min="2" max="2" width="43.28515625" bestFit="1" customWidth="1"/>
    <col min="3" max="3" width="35.85546875" bestFit="1" customWidth="1"/>
  </cols>
  <sheetData>
    <row r="1" spans="1:2" x14ac:dyDescent="0.25">
      <c r="A1" t="s">
        <v>0</v>
      </c>
      <c r="B1" t="s">
        <v>1560</v>
      </c>
    </row>
    <row r="2" spans="1:2" hidden="1" x14ac:dyDescent="0.25">
      <c r="A2" t="s">
        <v>399</v>
      </c>
      <c r="B2" t="s">
        <v>5045</v>
      </c>
    </row>
    <row r="3" spans="1:2" hidden="1" x14ac:dyDescent="0.25">
      <c r="A3" t="s">
        <v>1101</v>
      </c>
      <c r="B3" t="s">
        <v>5144</v>
      </c>
    </row>
    <row r="4" spans="1:2" hidden="1" x14ac:dyDescent="0.25">
      <c r="A4" t="s">
        <v>1392</v>
      </c>
      <c r="B4" t="s">
        <v>5193</v>
      </c>
    </row>
    <row r="5" spans="1:2" hidden="1" x14ac:dyDescent="0.25">
      <c r="A5" t="s">
        <v>2</v>
      </c>
      <c r="B5" t="s">
        <v>4974</v>
      </c>
    </row>
    <row r="6" spans="1:2" hidden="1" x14ac:dyDescent="0.25">
      <c r="A6" t="s">
        <v>1386</v>
      </c>
      <c r="B6" t="s">
        <v>5191</v>
      </c>
    </row>
    <row r="7" spans="1:2" hidden="1" x14ac:dyDescent="0.25">
      <c r="A7" t="s">
        <v>1195</v>
      </c>
      <c r="B7" t="s">
        <v>5165</v>
      </c>
    </row>
    <row r="8" spans="1:2" hidden="1" x14ac:dyDescent="0.25">
      <c r="A8" t="s">
        <v>782</v>
      </c>
      <c r="B8" t="s">
        <v>5093</v>
      </c>
    </row>
    <row r="9" spans="1:2" hidden="1" x14ac:dyDescent="0.25">
      <c r="A9" t="s">
        <v>964</v>
      </c>
      <c r="B9" t="s">
        <v>5118</v>
      </c>
    </row>
    <row r="10" spans="1:2" hidden="1" x14ac:dyDescent="0.25">
      <c r="A10" t="s">
        <v>1508</v>
      </c>
      <c r="B10" t="s">
        <v>5206</v>
      </c>
    </row>
    <row r="11" spans="1:2" hidden="1" x14ac:dyDescent="0.25">
      <c r="A11" t="s">
        <v>160</v>
      </c>
      <c r="B11" t="s">
        <v>5021</v>
      </c>
    </row>
    <row r="12" spans="1:2" hidden="1" x14ac:dyDescent="0.25">
      <c r="A12" t="s">
        <v>1201</v>
      </c>
      <c r="B12" t="s">
        <v>5146</v>
      </c>
    </row>
    <row r="13" spans="1:2" hidden="1" x14ac:dyDescent="0.25">
      <c r="A13" t="s">
        <v>34</v>
      </c>
      <c r="B13" t="s">
        <v>4988</v>
      </c>
    </row>
    <row r="14" spans="1:2" hidden="1" x14ac:dyDescent="0.25">
      <c r="A14" t="s">
        <v>4</v>
      </c>
      <c r="B14" t="s">
        <v>4975</v>
      </c>
    </row>
    <row r="15" spans="1:2" hidden="1" x14ac:dyDescent="0.25">
      <c r="A15" t="s">
        <v>104</v>
      </c>
      <c r="B15" t="s">
        <v>5010</v>
      </c>
    </row>
    <row r="16" spans="1:2" hidden="1" x14ac:dyDescent="0.25">
      <c r="A16" t="s">
        <v>8</v>
      </c>
      <c r="B16" t="s">
        <v>4977</v>
      </c>
    </row>
    <row r="17" spans="1:2" hidden="1" x14ac:dyDescent="0.25">
      <c r="A17" t="s">
        <v>1227</v>
      </c>
      <c r="B17" t="s">
        <v>5170</v>
      </c>
    </row>
    <row r="18" spans="1:2" hidden="1" x14ac:dyDescent="0.25">
      <c r="A18" t="s">
        <v>216</v>
      </c>
      <c r="B18" t="s">
        <v>5031</v>
      </c>
    </row>
    <row r="19" spans="1:2" hidden="1" x14ac:dyDescent="0.25">
      <c r="A19" t="s">
        <v>136</v>
      </c>
      <c r="B19" t="s">
        <v>5015</v>
      </c>
    </row>
    <row r="20" spans="1:2" hidden="1" x14ac:dyDescent="0.25">
      <c r="A20" t="s">
        <v>48</v>
      </c>
      <c r="B20" t="s">
        <v>4993</v>
      </c>
    </row>
    <row r="21" spans="1:2" hidden="1" x14ac:dyDescent="0.25">
      <c r="A21" t="s">
        <v>1396</v>
      </c>
      <c r="B21" t="s">
        <v>5195</v>
      </c>
    </row>
    <row r="22" spans="1:2" hidden="1" x14ac:dyDescent="0.25">
      <c r="A22" t="s">
        <v>273</v>
      </c>
      <c r="B22" t="s">
        <v>5034</v>
      </c>
    </row>
    <row r="23" spans="1:2" hidden="1" x14ac:dyDescent="0.25">
      <c r="A23" t="s">
        <v>1241</v>
      </c>
      <c r="B23" t="s">
        <v>5175</v>
      </c>
    </row>
    <row r="24" spans="1:2" hidden="1" x14ac:dyDescent="0.25">
      <c r="A24" t="s">
        <v>982</v>
      </c>
      <c r="B24" t="s">
        <v>5119</v>
      </c>
    </row>
    <row r="25" spans="1:2" hidden="1" x14ac:dyDescent="0.25">
      <c r="A25" t="s">
        <v>1412</v>
      </c>
      <c r="B25" t="s">
        <v>5196</v>
      </c>
    </row>
    <row r="26" spans="1:2" hidden="1" x14ac:dyDescent="0.25">
      <c r="A26" t="s">
        <v>6</v>
      </c>
      <c r="B26" t="s">
        <v>4976</v>
      </c>
    </row>
    <row r="27" spans="1:2" hidden="1" x14ac:dyDescent="0.25">
      <c r="A27" t="s">
        <v>1540</v>
      </c>
      <c r="B27" t="s">
        <v>5210</v>
      </c>
    </row>
    <row r="28" spans="1:2" hidden="1" x14ac:dyDescent="0.25">
      <c r="A28" t="s">
        <v>52</v>
      </c>
      <c r="B28" t="s">
        <v>4994</v>
      </c>
    </row>
    <row r="29" spans="1:2" hidden="1" x14ac:dyDescent="0.25">
      <c r="A29" t="s">
        <v>192</v>
      </c>
      <c r="B29" t="s">
        <v>5026</v>
      </c>
    </row>
    <row r="30" spans="1:2" hidden="1" x14ac:dyDescent="0.25">
      <c r="A30" t="s">
        <v>1189</v>
      </c>
      <c r="B30" t="s">
        <v>5164</v>
      </c>
    </row>
    <row r="31" spans="1:2" hidden="1" x14ac:dyDescent="0.25">
      <c r="A31" t="s">
        <v>1233</v>
      </c>
      <c r="B31" t="s">
        <v>10114</v>
      </c>
    </row>
    <row r="32" spans="1:2" hidden="1" x14ac:dyDescent="0.25">
      <c r="A32" t="s">
        <v>28</v>
      </c>
      <c r="B32" t="s">
        <v>4985</v>
      </c>
    </row>
    <row r="33" spans="1:2" hidden="1" x14ac:dyDescent="0.25">
      <c r="A33" t="s">
        <v>44</v>
      </c>
      <c r="B33" t="s">
        <v>4992</v>
      </c>
    </row>
    <row r="34" spans="1:2" hidden="1" x14ac:dyDescent="0.25">
      <c r="A34" t="s">
        <v>1269</v>
      </c>
      <c r="B34" t="s">
        <v>5178</v>
      </c>
    </row>
    <row r="35" spans="1:2" hidden="1" x14ac:dyDescent="0.25">
      <c r="A35" t="s">
        <v>94</v>
      </c>
      <c r="B35" t="s">
        <v>5006</v>
      </c>
    </row>
    <row r="36" spans="1:2" hidden="1" x14ac:dyDescent="0.25">
      <c r="A36" t="s">
        <v>1203</v>
      </c>
      <c r="B36" t="s">
        <v>5166</v>
      </c>
    </row>
    <row r="37" spans="1:2" hidden="1" x14ac:dyDescent="0.25">
      <c r="A37" t="s">
        <v>30</v>
      </c>
      <c r="B37" t="s">
        <v>4986</v>
      </c>
    </row>
    <row r="38" spans="1:2" hidden="1" x14ac:dyDescent="0.25">
      <c r="A38" t="s">
        <v>62</v>
      </c>
      <c r="B38" t="s">
        <v>4998</v>
      </c>
    </row>
    <row r="39" spans="1:2" hidden="1" x14ac:dyDescent="0.25">
      <c r="A39" t="s">
        <v>877</v>
      </c>
      <c r="B39" t="s">
        <v>5106</v>
      </c>
    </row>
    <row r="40" spans="1:2" hidden="1" x14ac:dyDescent="0.25">
      <c r="A40" t="s">
        <v>112</v>
      </c>
      <c r="B40" t="s">
        <v>5012</v>
      </c>
    </row>
    <row r="41" spans="1:2" hidden="1" x14ac:dyDescent="0.25">
      <c r="A41" t="s">
        <v>100</v>
      </c>
      <c r="B41" t="s">
        <v>5008</v>
      </c>
    </row>
    <row r="42" spans="1:2" hidden="1" x14ac:dyDescent="0.25">
      <c r="A42" t="s">
        <v>124</v>
      </c>
      <c r="B42" t="s">
        <v>5014</v>
      </c>
    </row>
    <row r="43" spans="1:2" hidden="1" x14ac:dyDescent="0.25">
      <c r="A43" t="s">
        <v>154</v>
      </c>
      <c r="B43" t="s">
        <v>5019</v>
      </c>
    </row>
    <row r="44" spans="1:2" hidden="1" x14ac:dyDescent="0.25">
      <c r="A44" t="s">
        <v>32</v>
      </c>
      <c r="B44" t="s">
        <v>4987</v>
      </c>
    </row>
    <row r="45" spans="1:2" hidden="1" x14ac:dyDescent="0.25">
      <c r="A45" t="s">
        <v>24</v>
      </c>
      <c r="B45" t="s">
        <v>4983</v>
      </c>
    </row>
    <row r="46" spans="1:2" hidden="1" x14ac:dyDescent="0.25">
      <c r="A46" t="s">
        <v>22</v>
      </c>
      <c r="B46" t="s">
        <v>4982</v>
      </c>
    </row>
    <row r="47" spans="1:2" hidden="1" x14ac:dyDescent="0.25">
      <c r="A47" t="s">
        <v>608</v>
      </c>
      <c r="B47" t="s">
        <v>5066</v>
      </c>
    </row>
    <row r="48" spans="1:2" hidden="1" x14ac:dyDescent="0.25">
      <c r="A48" t="s">
        <v>181</v>
      </c>
      <c r="B48" t="s">
        <v>5024</v>
      </c>
    </row>
    <row r="49" spans="1:2" hidden="1" x14ac:dyDescent="0.25">
      <c r="A49" t="s">
        <v>76</v>
      </c>
      <c r="B49" t="s">
        <v>5001</v>
      </c>
    </row>
    <row r="50" spans="1:2" hidden="1" x14ac:dyDescent="0.25">
      <c r="A50" t="s">
        <v>1151</v>
      </c>
      <c r="B50" t="s">
        <v>5153</v>
      </c>
    </row>
    <row r="51" spans="1:2" hidden="1" x14ac:dyDescent="0.25">
      <c r="A51" t="s">
        <v>58</v>
      </c>
      <c r="B51" t="s">
        <v>4996</v>
      </c>
    </row>
    <row r="52" spans="1:2" hidden="1" x14ac:dyDescent="0.25">
      <c r="A52" t="s">
        <v>82</v>
      </c>
      <c r="B52" t="s">
        <v>5003</v>
      </c>
    </row>
    <row r="53" spans="1:2" hidden="1" x14ac:dyDescent="0.25">
      <c r="A53" t="s">
        <v>42</v>
      </c>
      <c r="B53" t="s">
        <v>4991</v>
      </c>
    </row>
    <row r="54" spans="1:2" hidden="1" x14ac:dyDescent="0.25">
      <c r="A54" t="s">
        <v>122</v>
      </c>
      <c r="B54" t="s">
        <v>5013</v>
      </c>
    </row>
    <row r="55" spans="1:2" hidden="1" x14ac:dyDescent="0.25">
      <c r="A55" t="s">
        <v>760</v>
      </c>
      <c r="B55" t="s">
        <v>5088</v>
      </c>
    </row>
    <row r="56" spans="1:2" hidden="1" x14ac:dyDescent="0.25">
      <c r="A56" t="s">
        <v>60</v>
      </c>
      <c r="B56" t="s">
        <v>4997</v>
      </c>
    </row>
    <row r="57" spans="1:2" hidden="1" x14ac:dyDescent="0.25">
      <c r="A57" t="s">
        <v>86</v>
      </c>
      <c r="B57" t="s">
        <v>5005</v>
      </c>
    </row>
    <row r="58" spans="1:2" hidden="1" x14ac:dyDescent="0.25">
      <c r="A58" t="s">
        <v>474</v>
      </c>
      <c r="B58" t="s">
        <v>5050</v>
      </c>
    </row>
    <row r="59" spans="1:2" hidden="1" x14ac:dyDescent="0.25">
      <c r="A59" t="s">
        <v>72</v>
      </c>
      <c r="B59" t="s">
        <v>4999</v>
      </c>
    </row>
    <row r="60" spans="1:2" hidden="1" x14ac:dyDescent="0.25">
      <c r="A60" t="s">
        <v>1229</v>
      </c>
      <c r="B60" t="s">
        <v>5171</v>
      </c>
    </row>
    <row r="61" spans="1:2" hidden="1" x14ac:dyDescent="0.25">
      <c r="A61" t="s">
        <v>158</v>
      </c>
      <c r="B61" t="s">
        <v>5020</v>
      </c>
    </row>
    <row r="62" spans="1:2" hidden="1" x14ac:dyDescent="0.25">
      <c r="A62" t="s">
        <v>381</v>
      </c>
      <c r="B62" t="s">
        <v>5167</v>
      </c>
    </row>
    <row r="63" spans="1:2" hidden="1" x14ac:dyDescent="0.25">
      <c r="A63" t="s">
        <v>14</v>
      </c>
      <c r="B63" t="s">
        <v>4980</v>
      </c>
    </row>
    <row r="64" spans="1:2" hidden="1" x14ac:dyDescent="0.25">
      <c r="A64" t="s">
        <v>263</v>
      </c>
      <c r="B64" t="s">
        <v>5033</v>
      </c>
    </row>
    <row r="65" spans="1:2" hidden="1" x14ac:dyDescent="0.25">
      <c r="A65" t="s">
        <v>532</v>
      </c>
      <c r="B65" t="s">
        <v>5056</v>
      </c>
    </row>
    <row r="66" spans="1:2" hidden="1" x14ac:dyDescent="0.25">
      <c r="A66" t="s">
        <v>845</v>
      </c>
      <c r="B66" t="s">
        <v>5102</v>
      </c>
    </row>
    <row r="67" spans="1:2" hidden="1" x14ac:dyDescent="0.25">
      <c r="A67" t="s">
        <v>849</v>
      </c>
      <c r="B67" t="s">
        <v>5103</v>
      </c>
    </row>
    <row r="68" spans="1:2" hidden="1" x14ac:dyDescent="0.25">
      <c r="A68" t="s">
        <v>1038</v>
      </c>
      <c r="B68" t="s">
        <v>5131</v>
      </c>
    </row>
    <row r="69" spans="1:2" hidden="1" x14ac:dyDescent="0.25">
      <c r="A69" t="s">
        <v>1354</v>
      </c>
      <c r="B69" t="s">
        <v>5187</v>
      </c>
    </row>
    <row r="70" spans="1:2" hidden="1" x14ac:dyDescent="0.25">
      <c r="A70" t="s">
        <v>84</v>
      </c>
      <c r="B70" t="s">
        <v>5004</v>
      </c>
    </row>
    <row r="71" spans="1:2" hidden="1" x14ac:dyDescent="0.25">
      <c r="A71" t="s">
        <v>770</v>
      </c>
      <c r="B71" t="s">
        <v>5090</v>
      </c>
    </row>
    <row r="72" spans="1:2" hidden="1" x14ac:dyDescent="0.25">
      <c r="A72" t="s">
        <v>934</v>
      </c>
      <c r="B72" t="s">
        <v>5114</v>
      </c>
    </row>
    <row r="73" spans="1:2" hidden="1" x14ac:dyDescent="0.25">
      <c r="A73" t="s">
        <v>144</v>
      </c>
      <c r="B73" t="s">
        <v>5017</v>
      </c>
    </row>
    <row r="74" spans="1:2" hidden="1" x14ac:dyDescent="0.25">
      <c r="A74" t="s">
        <v>40</v>
      </c>
      <c r="B74" t="s">
        <v>4990</v>
      </c>
    </row>
    <row r="75" spans="1:2" hidden="1" x14ac:dyDescent="0.25">
      <c r="A75" t="s">
        <v>102</v>
      </c>
      <c r="B75" t="s">
        <v>5009</v>
      </c>
    </row>
    <row r="76" spans="1:2" hidden="1" x14ac:dyDescent="0.25">
      <c r="A76" t="s">
        <v>898</v>
      </c>
      <c r="B76" t="s">
        <v>5109</v>
      </c>
    </row>
    <row r="77" spans="1:2" hidden="1" x14ac:dyDescent="0.25">
      <c r="A77" t="s">
        <v>736</v>
      </c>
      <c r="B77" t="s">
        <v>5084</v>
      </c>
    </row>
    <row r="78" spans="1:2" hidden="1" x14ac:dyDescent="0.25">
      <c r="A78" t="s">
        <v>370</v>
      </c>
      <c r="B78" t="s">
        <v>5043</v>
      </c>
    </row>
    <row r="79" spans="1:2" hidden="1" x14ac:dyDescent="0.25">
      <c r="A79" t="s">
        <v>1081</v>
      </c>
      <c r="B79" t="s">
        <v>5138</v>
      </c>
    </row>
    <row r="80" spans="1:2" hidden="1" x14ac:dyDescent="0.25">
      <c r="A80" t="s">
        <v>1097</v>
      </c>
      <c r="B80" t="s">
        <v>5142</v>
      </c>
    </row>
    <row r="81" spans="1:2" hidden="1" x14ac:dyDescent="0.25">
      <c r="A81" t="s">
        <v>173</v>
      </c>
      <c r="B81" t="s">
        <v>5022</v>
      </c>
    </row>
    <row r="82" spans="1:2" hidden="1" x14ac:dyDescent="0.25">
      <c r="A82" t="s">
        <v>723</v>
      </c>
      <c r="B82" t="s">
        <v>5082</v>
      </c>
    </row>
    <row r="83" spans="1:2" hidden="1" x14ac:dyDescent="0.25">
      <c r="A83" t="s">
        <v>12</v>
      </c>
      <c r="B83" t="s">
        <v>4979</v>
      </c>
    </row>
    <row r="84" spans="1:2" hidden="1" x14ac:dyDescent="0.25">
      <c r="A84" t="s">
        <v>148</v>
      </c>
      <c r="B84" t="s">
        <v>5018</v>
      </c>
    </row>
    <row r="85" spans="1:2" hidden="1" x14ac:dyDescent="0.25">
      <c r="A85" t="s">
        <v>1046</v>
      </c>
      <c r="B85" t="s">
        <v>5133</v>
      </c>
    </row>
    <row r="86" spans="1:2" x14ac:dyDescent="0.25">
      <c r="A86" t="s">
        <v>214</v>
      </c>
      <c r="B86" t="s">
        <v>5030</v>
      </c>
    </row>
    <row r="87" spans="1:2" hidden="1" x14ac:dyDescent="0.25">
      <c r="A87" t="s">
        <v>548</v>
      </c>
      <c r="B87" t="s">
        <v>5058</v>
      </c>
    </row>
    <row r="88" spans="1:2" hidden="1" x14ac:dyDescent="0.25">
      <c r="A88" t="s">
        <v>26</v>
      </c>
      <c r="B88" t="s">
        <v>4984</v>
      </c>
    </row>
    <row r="89" spans="1:2" hidden="1" x14ac:dyDescent="0.25">
      <c r="A89" t="s">
        <v>449</v>
      </c>
      <c r="B89" t="s">
        <v>5049</v>
      </c>
    </row>
    <row r="90" spans="1:2" hidden="1" x14ac:dyDescent="0.25">
      <c r="A90" t="s">
        <v>1263</v>
      </c>
      <c r="B90" t="s">
        <v>5177</v>
      </c>
    </row>
    <row r="91" spans="1:2" hidden="1" x14ac:dyDescent="0.25">
      <c r="A91" t="s">
        <v>96</v>
      </c>
      <c r="B91" t="s">
        <v>5007</v>
      </c>
    </row>
    <row r="92" spans="1:2" hidden="1" x14ac:dyDescent="0.25">
      <c r="A92" t="s">
        <v>74</v>
      </c>
      <c r="B92" t="s">
        <v>5000</v>
      </c>
    </row>
    <row r="93" spans="1:2" hidden="1" x14ac:dyDescent="0.25">
      <c r="A93" t="s">
        <v>885</v>
      </c>
      <c r="B93" t="s">
        <v>5107</v>
      </c>
    </row>
    <row r="94" spans="1:2" hidden="1" x14ac:dyDescent="0.25">
      <c r="A94" t="s">
        <v>288</v>
      </c>
      <c r="B94" t="s">
        <v>5036</v>
      </c>
    </row>
    <row r="95" spans="1:2" hidden="1" x14ac:dyDescent="0.25">
      <c r="A95" t="s">
        <v>350</v>
      </c>
      <c r="B95" t="s">
        <v>5042</v>
      </c>
    </row>
    <row r="96" spans="1:2" hidden="1" x14ac:dyDescent="0.25">
      <c r="A96" t="s">
        <v>566</v>
      </c>
      <c r="B96" t="s">
        <v>5061</v>
      </c>
    </row>
    <row r="97" spans="1:2" hidden="1" x14ac:dyDescent="0.25">
      <c r="A97" t="s">
        <v>1054</v>
      </c>
      <c r="B97" t="s">
        <v>5136</v>
      </c>
    </row>
    <row r="98" spans="1:2" hidden="1" x14ac:dyDescent="0.25">
      <c r="A98" t="s">
        <v>1141</v>
      </c>
      <c r="B98" t="s">
        <v>5152</v>
      </c>
    </row>
    <row r="99" spans="1:2" hidden="1" x14ac:dyDescent="0.25">
      <c r="A99" t="s">
        <v>996</v>
      </c>
      <c r="B99" t="s">
        <v>5123</v>
      </c>
    </row>
    <row r="100" spans="1:2" hidden="1" x14ac:dyDescent="0.25">
      <c r="A100" t="s">
        <v>946</v>
      </c>
      <c r="B100" t="s">
        <v>5146</v>
      </c>
    </row>
    <row r="101" spans="1:2" hidden="1" x14ac:dyDescent="0.25">
      <c r="A101" t="s">
        <v>616</v>
      </c>
      <c r="B101" t="s">
        <v>5077</v>
      </c>
    </row>
    <row r="102" spans="1:2" hidden="1" x14ac:dyDescent="0.25">
      <c r="A102" t="s">
        <v>316</v>
      </c>
      <c r="B102" t="s">
        <v>5072</v>
      </c>
    </row>
    <row r="103" spans="1:2" hidden="1" x14ac:dyDescent="0.25">
      <c r="A103" t="s">
        <v>204</v>
      </c>
      <c r="B103" t="s">
        <v>5028</v>
      </c>
    </row>
    <row r="104" spans="1:2" hidden="1" x14ac:dyDescent="0.25">
      <c r="A104" t="s">
        <v>10</v>
      </c>
      <c r="B104" t="s">
        <v>4978</v>
      </c>
    </row>
    <row r="105" spans="1:2" hidden="1" x14ac:dyDescent="0.25">
      <c r="A105" t="s">
        <v>538</v>
      </c>
      <c r="B105" t="s">
        <v>5160</v>
      </c>
    </row>
    <row r="106" spans="1:2" hidden="1" x14ac:dyDescent="0.25">
      <c r="A106" t="s">
        <v>175</v>
      </c>
      <c r="B106" t="s">
        <v>5023</v>
      </c>
    </row>
    <row r="107" spans="1:2" hidden="1" x14ac:dyDescent="0.25">
      <c r="A107" t="s">
        <v>1167</v>
      </c>
      <c r="B107" t="s">
        <v>5159</v>
      </c>
    </row>
    <row r="108" spans="1:2" hidden="1" x14ac:dyDescent="0.25">
      <c r="A108" t="s">
        <v>920</v>
      </c>
      <c r="B108" t="s">
        <v>5113</v>
      </c>
    </row>
    <row r="109" spans="1:2" hidden="1" x14ac:dyDescent="0.25">
      <c r="A109" t="s">
        <v>1458</v>
      </c>
      <c r="B109" t="s">
        <v>5202</v>
      </c>
    </row>
    <row r="110" spans="1:2" hidden="1" x14ac:dyDescent="0.25">
      <c r="A110" t="s">
        <v>1394</v>
      </c>
      <c r="B110" t="s">
        <v>5194</v>
      </c>
    </row>
    <row r="111" spans="1:2" hidden="1" x14ac:dyDescent="0.25">
      <c r="A111" t="s">
        <v>281</v>
      </c>
      <c r="B111" t="s">
        <v>5035</v>
      </c>
    </row>
    <row r="112" spans="1:2" hidden="1" x14ac:dyDescent="0.25">
      <c r="A112" t="s">
        <v>20</v>
      </c>
      <c r="B112" t="s">
        <v>4981</v>
      </c>
    </row>
    <row r="113" spans="1:2" hidden="1" x14ac:dyDescent="0.25">
      <c r="A113" t="s">
        <v>610</v>
      </c>
      <c r="B113" t="s">
        <v>5067</v>
      </c>
    </row>
    <row r="114" spans="1:2" hidden="1" x14ac:dyDescent="0.25">
      <c r="A114" t="s">
        <v>1219</v>
      </c>
      <c r="B114" t="s">
        <v>5169</v>
      </c>
    </row>
    <row r="115" spans="1:2" hidden="1" x14ac:dyDescent="0.25">
      <c r="A115" t="s">
        <v>1235</v>
      </c>
      <c r="B115" t="s">
        <v>5174</v>
      </c>
    </row>
    <row r="116" spans="1:2" hidden="1" x14ac:dyDescent="0.25">
      <c r="A116" t="s">
        <v>1171</v>
      </c>
      <c r="B116" t="s">
        <v>5161</v>
      </c>
    </row>
    <row r="117" spans="1:2" hidden="1" x14ac:dyDescent="0.25">
      <c r="A117" t="s">
        <v>1454</v>
      </c>
      <c r="B117" t="s">
        <v>5200</v>
      </c>
    </row>
    <row r="118" spans="1:2" hidden="1" x14ac:dyDescent="0.25">
      <c r="A118" t="s">
        <v>986</v>
      </c>
      <c r="B118" t="s">
        <v>5121</v>
      </c>
    </row>
    <row r="119" spans="1:2" hidden="1" x14ac:dyDescent="0.25">
      <c r="A119" t="s">
        <v>729</v>
      </c>
      <c r="B119" t="s">
        <v>5132</v>
      </c>
    </row>
    <row r="120" spans="1:2" hidden="1" x14ac:dyDescent="0.25">
      <c r="A120" t="s">
        <v>817</v>
      </c>
      <c r="B120" t="s">
        <v>5088</v>
      </c>
    </row>
    <row r="121" spans="1:2" hidden="1" x14ac:dyDescent="0.25">
      <c r="A121" t="s">
        <v>445</v>
      </c>
      <c r="B121" t="s">
        <v>5100</v>
      </c>
    </row>
    <row r="122" spans="1:2" hidden="1" x14ac:dyDescent="0.25">
      <c r="A122" t="s">
        <v>1436</v>
      </c>
      <c r="B122" t="s">
        <v>5197</v>
      </c>
    </row>
    <row r="123" spans="1:2" hidden="1" x14ac:dyDescent="0.25">
      <c r="A123" t="s">
        <v>564</v>
      </c>
      <c r="B123" t="s">
        <v>5185</v>
      </c>
    </row>
    <row r="124" spans="1:2" hidden="1" x14ac:dyDescent="0.25">
      <c r="A124" t="s">
        <v>952</v>
      </c>
      <c r="B124" t="s">
        <v>5150</v>
      </c>
    </row>
    <row r="125" spans="1:2" hidden="1" x14ac:dyDescent="0.25">
      <c r="A125" t="s">
        <v>558</v>
      </c>
      <c r="B125" t="s">
        <v>5128</v>
      </c>
    </row>
    <row r="126" spans="1:2" hidden="1" x14ac:dyDescent="0.25">
      <c r="A126" t="s">
        <v>640</v>
      </c>
      <c r="B126" t="s">
        <v>5069</v>
      </c>
    </row>
    <row r="127" spans="1:2" hidden="1" x14ac:dyDescent="0.25">
      <c r="A127" t="s">
        <v>892</v>
      </c>
      <c r="B127" t="s">
        <v>5108</v>
      </c>
    </row>
    <row r="128" spans="1:2" hidden="1" x14ac:dyDescent="0.25">
      <c r="A128" t="s">
        <v>1111</v>
      </c>
      <c r="B128" t="s">
        <v>5148</v>
      </c>
    </row>
    <row r="129" spans="1:2" hidden="1" x14ac:dyDescent="0.25">
      <c r="A129" t="s">
        <v>772</v>
      </c>
      <c r="B129" t="s">
        <v>5091</v>
      </c>
    </row>
    <row r="130" spans="1:2" hidden="1" x14ac:dyDescent="0.25">
      <c r="A130" t="s">
        <v>900</v>
      </c>
      <c r="B130" t="s">
        <v>5110</v>
      </c>
    </row>
    <row r="131" spans="1:2" hidden="1" x14ac:dyDescent="0.25">
      <c r="A131" t="s">
        <v>1157</v>
      </c>
      <c r="B131" t="s">
        <v>5154</v>
      </c>
    </row>
    <row r="132" spans="1:2" hidden="1" x14ac:dyDescent="0.25">
      <c r="A132" t="s">
        <v>1440</v>
      </c>
      <c r="B132" t="s">
        <v>5198</v>
      </c>
    </row>
    <row r="133" spans="1:2" hidden="1" x14ac:dyDescent="0.25">
      <c r="A133" t="s">
        <v>837</v>
      </c>
      <c r="B133" t="s">
        <v>5099</v>
      </c>
    </row>
    <row r="134" spans="1:2" hidden="1" x14ac:dyDescent="0.25">
      <c r="A134" t="s">
        <v>715</v>
      </c>
      <c r="B134" t="s">
        <v>5081</v>
      </c>
    </row>
    <row r="135" spans="1:2" hidden="1" x14ac:dyDescent="0.25">
      <c r="A135" t="s">
        <v>1159</v>
      </c>
      <c r="B135" t="s">
        <v>5155</v>
      </c>
    </row>
    <row r="136" spans="1:2" hidden="1" x14ac:dyDescent="0.25">
      <c r="A136" t="s">
        <v>863</v>
      </c>
      <c r="B136" t="s">
        <v>5104</v>
      </c>
    </row>
    <row r="137" spans="1:2" hidden="1" x14ac:dyDescent="0.25">
      <c r="A137" t="s">
        <v>138</v>
      </c>
      <c r="B137" t="s">
        <v>5016</v>
      </c>
    </row>
    <row r="138" spans="1:2" hidden="1" x14ac:dyDescent="0.25">
      <c r="A138" t="s">
        <v>482</v>
      </c>
      <c r="B138" t="s">
        <v>5051</v>
      </c>
    </row>
    <row r="139" spans="1:2" hidden="1" x14ac:dyDescent="0.25">
      <c r="A139" t="s">
        <v>1048</v>
      </c>
      <c r="B139" t="s">
        <v>5134</v>
      </c>
    </row>
    <row r="140" spans="1:2" hidden="1" x14ac:dyDescent="0.25">
      <c r="A140" t="s">
        <v>709</v>
      </c>
      <c r="B140" t="s">
        <v>5079</v>
      </c>
    </row>
    <row r="141" spans="1:2" hidden="1" x14ac:dyDescent="0.25">
      <c r="A141" t="s">
        <v>831</v>
      </c>
      <c r="B141" t="s">
        <v>5098</v>
      </c>
    </row>
    <row r="142" spans="1:2" hidden="1" x14ac:dyDescent="0.25">
      <c r="A142" t="s">
        <v>776</v>
      </c>
      <c r="B142" t="s">
        <v>5092</v>
      </c>
    </row>
    <row r="143" spans="1:2" hidden="1" x14ac:dyDescent="0.25">
      <c r="A143" t="s">
        <v>1231</v>
      </c>
      <c r="B143" t="s">
        <v>5172</v>
      </c>
    </row>
    <row r="144" spans="1:2" hidden="1" x14ac:dyDescent="0.25">
      <c r="A144" t="s">
        <v>1052</v>
      </c>
      <c r="B144" t="s">
        <v>5135</v>
      </c>
    </row>
    <row r="145" spans="1:2" hidden="1" x14ac:dyDescent="0.25">
      <c r="A145" t="s">
        <v>1344</v>
      </c>
      <c r="B145" t="s">
        <v>5186</v>
      </c>
    </row>
    <row r="146" spans="1:2" hidden="1" x14ac:dyDescent="0.25">
      <c r="A146" t="s">
        <v>423</v>
      </c>
      <c r="B146" t="s">
        <v>5047</v>
      </c>
    </row>
    <row r="147" spans="1:2" hidden="1" x14ac:dyDescent="0.25">
      <c r="A147" t="s">
        <v>654</v>
      </c>
      <c r="B147" t="s">
        <v>5073</v>
      </c>
    </row>
    <row r="148" spans="1:2" hidden="1" x14ac:dyDescent="0.25">
      <c r="A148" t="s">
        <v>666</v>
      </c>
      <c r="B148" t="s">
        <v>5074</v>
      </c>
    </row>
    <row r="149" spans="1:2" hidden="1" x14ac:dyDescent="0.25">
      <c r="A149" t="s">
        <v>841</v>
      </c>
      <c r="B149" t="s">
        <v>5101</v>
      </c>
    </row>
    <row r="150" spans="1:2" hidden="1" x14ac:dyDescent="0.25">
      <c r="A150" t="s">
        <v>803</v>
      </c>
      <c r="B150" t="s">
        <v>5095</v>
      </c>
    </row>
    <row r="151" spans="1:2" hidden="1" x14ac:dyDescent="0.25">
      <c r="A151" t="s">
        <v>522</v>
      </c>
      <c r="B151" t="s">
        <v>5055</v>
      </c>
    </row>
    <row r="152" spans="1:2" hidden="1" x14ac:dyDescent="0.25">
      <c r="A152" t="s">
        <v>1532</v>
      </c>
      <c r="B152" t="s">
        <v>5209</v>
      </c>
    </row>
    <row r="153" spans="1:2" hidden="1" x14ac:dyDescent="0.25">
      <c r="A153" t="s">
        <v>344</v>
      </c>
      <c r="B153" t="s">
        <v>5041</v>
      </c>
    </row>
    <row r="154" spans="1:2" hidden="1" x14ac:dyDescent="0.25">
      <c r="A154" t="s">
        <v>1099</v>
      </c>
      <c r="B154" t="s">
        <v>5143</v>
      </c>
    </row>
    <row r="155" spans="1:2" hidden="1" x14ac:dyDescent="0.25">
      <c r="A155" t="s">
        <v>327</v>
      </c>
      <c r="B155" t="s">
        <v>5040</v>
      </c>
    </row>
    <row r="156" spans="1:2" hidden="1" x14ac:dyDescent="0.25">
      <c r="A156" t="s">
        <v>36</v>
      </c>
      <c r="B156" t="s">
        <v>4989</v>
      </c>
    </row>
    <row r="157" spans="1:2" hidden="1" x14ac:dyDescent="0.25">
      <c r="A157" t="s">
        <v>807</v>
      </c>
      <c r="B157" t="s">
        <v>5096</v>
      </c>
    </row>
    <row r="158" spans="1:2" hidden="1" x14ac:dyDescent="0.25">
      <c r="A158" t="s">
        <v>1004</v>
      </c>
      <c r="B158" t="s">
        <v>5124</v>
      </c>
    </row>
    <row r="159" spans="1:2" hidden="1" x14ac:dyDescent="0.25">
      <c r="A159" t="s">
        <v>212</v>
      </c>
      <c r="B159" t="s">
        <v>5029</v>
      </c>
    </row>
    <row r="160" spans="1:2" hidden="1" x14ac:dyDescent="0.25">
      <c r="A160" t="s">
        <v>1093</v>
      </c>
      <c r="B160" t="s">
        <v>5141</v>
      </c>
    </row>
    <row r="161" spans="1:2" hidden="1" x14ac:dyDescent="0.25">
      <c r="A161" t="s">
        <v>1105</v>
      </c>
      <c r="B161" t="s">
        <v>5147</v>
      </c>
    </row>
    <row r="162" spans="1:2" hidden="1" x14ac:dyDescent="0.25">
      <c r="A162" t="s">
        <v>1558</v>
      </c>
      <c r="B162" t="s">
        <v>5211</v>
      </c>
    </row>
    <row r="163" spans="1:2" hidden="1" x14ac:dyDescent="0.25">
      <c r="A163" t="s">
        <v>942</v>
      </c>
      <c r="B163" t="s">
        <v>5117</v>
      </c>
    </row>
    <row r="164" spans="1:2" hidden="1" x14ac:dyDescent="0.25">
      <c r="A164" t="s">
        <v>488</v>
      </c>
      <c r="B164" t="s">
        <v>5052</v>
      </c>
    </row>
    <row r="165" spans="1:2" hidden="1" x14ac:dyDescent="0.25">
      <c r="A165" t="s">
        <v>1034</v>
      </c>
      <c r="B165" t="s">
        <v>5129</v>
      </c>
    </row>
    <row r="166" spans="1:2" hidden="1" x14ac:dyDescent="0.25">
      <c r="A166" t="s">
        <v>80</v>
      </c>
      <c r="B166" t="s">
        <v>5002</v>
      </c>
    </row>
    <row r="167" spans="1:2" hidden="1" x14ac:dyDescent="0.25">
      <c r="A167" t="s">
        <v>425</v>
      </c>
      <c r="B167" t="s">
        <v>5048</v>
      </c>
    </row>
    <row r="168" spans="1:2" hidden="1" x14ac:dyDescent="0.25">
      <c r="A168" t="s">
        <v>916</v>
      </c>
      <c r="B168" t="s">
        <v>5112</v>
      </c>
    </row>
    <row r="169" spans="1:2" hidden="1" x14ac:dyDescent="0.25">
      <c r="A169" t="s">
        <v>1305</v>
      </c>
      <c r="B169" t="s">
        <v>5182</v>
      </c>
    </row>
    <row r="170" spans="1:2" hidden="1" x14ac:dyDescent="0.25">
      <c r="A170" t="s">
        <v>1006</v>
      </c>
      <c r="B170" t="s">
        <v>5125</v>
      </c>
    </row>
    <row r="171" spans="1:2" hidden="1" x14ac:dyDescent="0.25">
      <c r="A171" t="s">
        <v>738</v>
      </c>
      <c r="B171" t="s">
        <v>5085</v>
      </c>
    </row>
    <row r="172" spans="1:2" hidden="1" x14ac:dyDescent="0.25">
      <c r="A172" t="s">
        <v>1273</v>
      </c>
      <c r="B172" t="s">
        <v>5179</v>
      </c>
    </row>
    <row r="173" spans="1:2" hidden="1" x14ac:dyDescent="0.25">
      <c r="A173" t="s">
        <v>492</v>
      </c>
      <c r="B173" t="s">
        <v>5060</v>
      </c>
    </row>
    <row r="174" spans="1:2" hidden="1" x14ac:dyDescent="0.25">
      <c r="A174" t="s">
        <v>1498</v>
      </c>
      <c r="B174" t="s">
        <v>5204</v>
      </c>
    </row>
    <row r="175" spans="1:2" hidden="1" x14ac:dyDescent="0.25">
      <c r="A175" t="s">
        <v>990</v>
      </c>
      <c r="B175" t="s">
        <v>5122</v>
      </c>
    </row>
    <row r="176" spans="1:2" hidden="1" x14ac:dyDescent="0.25">
      <c r="A176" t="s">
        <v>520</v>
      </c>
      <c r="B176" t="s">
        <v>5054</v>
      </c>
    </row>
    <row r="177" spans="1:2" hidden="1" x14ac:dyDescent="0.25">
      <c r="A177" t="s">
        <v>1299</v>
      </c>
      <c r="B177" t="s">
        <v>5181</v>
      </c>
    </row>
    <row r="178" spans="1:2" hidden="1" x14ac:dyDescent="0.25">
      <c r="A178" t="s">
        <v>618</v>
      </c>
      <c r="B178" t="s">
        <v>5068</v>
      </c>
    </row>
    <row r="179" spans="1:2" hidden="1" x14ac:dyDescent="0.25">
      <c r="A179" t="s">
        <v>940</v>
      </c>
      <c r="B179" t="s">
        <v>5116</v>
      </c>
    </row>
    <row r="180" spans="1:2" hidden="1" x14ac:dyDescent="0.25">
      <c r="A180" t="s">
        <v>980</v>
      </c>
      <c r="B180" t="s">
        <v>5184</v>
      </c>
    </row>
    <row r="181" spans="1:2" hidden="1" x14ac:dyDescent="0.25">
      <c r="A181" t="s">
        <v>684</v>
      </c>
      <c r="B181" t="s">
        <v>5076</v>
      </c>
    </row>
    <row r="182" spans="1:2" hidden="1" x14ac:dyDescent="0.25">
      <c r="A182" t="s">
        <v>190</v>
      </c>
      <c r="B182" t="s">
        <v>5025</v>
      </c>
    </row>
    <row r="183" spans="1:2" hidden="1" x14ac:dyDescent="0.25">
      <c r="A183" t="s">
        <v>1452</v>
      </c>
      <c r="B183" t="s">
        <v>5199</v>
      </c>
    </row>
    <row r="184" spans="1:2" hidden="1" x14ac:dyDescent="0.25">
      <c r="A184" t="s">
        <v>588</v>
      </c>
      <c r="B184" t="s">
        <v>5063</v>
      </c>
    </row>
    <row r="185" spans="1:2" hidden="1" x14ac:dyDescent="0.25">
      <c r="A185" t="s">
        <v>823</v>
      </c>
      <c r="B185" t="s">
        <v>5097</v>
      </c>
    </row>
    <row r="186" spans="1:2" hidden="1" x14ac:dyDescent="0.25">
      <c r="A186" t="s">
        <v>454</v>
      </c>
      <c r="B186" t="s">
        <v>5070</v>
      </c>
    </row>
    <row r="187" spans="1:2" hidden="1" x14ac:dyDescent="0.25">
      <c r="A187" t="s">
        <v>1506</v>
      </c>
      <c r="B187" t="s">
        <v>5205</v>
      </c>
    </row>
    <row r="188" spans="1:2" hidden="1" x14ac:dyDescent="0.25">
      <c r="A188" t="s">
        <v>984</v>
      </c>
      <c r="B188" t="s">
        <v>5120</v>
      </c>
    </row>
    <row r="189" spans="1:2" hidden="1" x14ac:dyDescent="0.25">
      <c r="A189" t="s">
        <v>1456</v>
      </c>
      <c r="B189" t="s">
        <v>5201</v>
      </c>
    </row>
    <row r="190" spans="1:2" hidden="1" x14ac:dyDescent="0.25">
      <c r="A190" t="s">
        <v>768</v>
      </c>
      <c r="B190" t="s">
        <v>5089</v>
      </c>
    </row>
    <row r="191" spans="1:2" hidden="1" x14ac:dyDescent="0.25">
      <c r="A191" t="s">
        <v>1382</v>
      </c>
      <c r="B191" t="s">
        <v>5086</v>
      </c>
    </row>
    <row r="192" spans="1:2" hidden="1" x14ac:dyDescent="0.25">
      <c r="A192" t="s">
        <v>1030</v>
      </c>
      <c r="B192" t="s">
        <v>5183</v>
      </c>
    </row>
    <row r="193" spans="1:2" hidden="1" x14ac:dyDescent="0.25">
      <c r="A193" t="s">
        <v>869</v>
      </c>
      <c r="B193" t="s">
        <v>5163</v>
      </c>
    </row>
    <row r="194" spans="1:2" hidden="1" x14ac:dyDescent="0.25">
      <c r="A194" t="s">
        <v>1257</v>
      </c>
      <c r="B194" t="s">
        <v>5176</v>
      </c>
    </row>
    <row r="195" spans="1:2" hidden="1" x14ac:dyDescent="0.25">
      <c r="A195" t="s">
        <v>944</v>
      </c>
      <c r="B195" t="s">
        <v>5088</v>
      </c>
    </row>
    <row r="196" spans="1:2" hidden="1" x14ac:dyDescent="0.25">
      <c r="A196" t="s">
        <v>713</v>
      </c>
      <c r="B196" t="s">
        <v>5080</v>
      </c>
    </row>
    <row r="197" spans="1:2" hidden="1" x14ac:dyDescent="0.25">
      <c r="A197" t="s">
        <v>1526</v>
      </c>
      <c r="B197" t="s">
        <v>5208</v>
      </c>
    </row>
    <row r="198" spans="1:2" hidden="1" x14ac:dyDescent="0.25">
      <c r="A198" t="s">
        <v>1020</v>
      </c>
      <c r="B198" t="s">
        <v>5127</v>
      </c>
    </row>
    <row r="199" spans="1:2" hidden="1" x14ac:dyDescent="0.25">
      <c r="A199" t="s">
        <v>1012</v>
      </c>
      <c r="B199" t="s">
        <v>5156</v>
      </c>
    </row>
    <row r="200" spans="1:2" hidden="1" x14ac:dyDescent="0.25">
      <c r="A200" t="s">
        <v>650</v>
      </c>
      <c r="B200" t="s">
        <v>5071</v>
      </c>
    </row>
    <row r="201" spans="1:2" hidden="1" x14ac:dyDescent="0.25">
      <c r="A201" t="s">
        <v>1297</v>
      </c>
      <c r="B201" t="s">
        <v>5180</v>
      </c>
    </row>
    <row r="202" spans="1:2" hidden="1" x14ac:dyDescent="0.25">
      <c r="A202" t="s">
        <v>1087</v>
      </c>
      <c r="B202" t="s">
        <v>5140</v>
      </c>
    </row>
    <row r="203" spans="1:2" hidden="1" x14ac:dyDescent="0.25">
      <c r="A203" t="s">
        <v>871</v>
      </c>
      <c r="B203" t="s">
        <v>5105</v>
      </c>
    </row>
    <row r="204" spans="1:2" hidden="1" x14ac:dyDescent="0.25">
      <c r="A204" t="s">
        <v>1384</v>
      </c>
      <c r="B204" t="s">
        <v>5190</v>
      </c>
    </row>
    <row r="205" spans="1:2" hidden="1" x14ac:dyDescent="0.25">
      <c r="A205" t="s">
        <v>1492</v>
      </c>
      <c r="B205" t="s">
        <v>5203</v>
      </c>
    </row>
    <row r="206" spans="1:2" hidden="1" x14ac:dyDescent="0.25">
      <c r="A206" t="s">
        <v>319</v>
      </c>
      <c r="B206" t="s">
        <v>5037</v>
      </c>
    </row>
    <row r="207" spans="1:2" hidden="1" x14ac:dyDescent="0.25">
      <c r="A207" t="s">
        <v>584</v>
      </c>
      <c r="B207" t="s">
        <v>5062</v>
      </c>
    </row>
    <row r="208" spans="1:2" hidden="1" x14ac:dyDescent="0.25">
      <c r="A208" t="s">
        <v>734</v>
      </c>
      <c r="B208" t="s">
        <v>5083</v>
      </c>
    </row>
    <row r="209" spans="1:2" hidden="1" x14ac:dyDescent="0.25">
      <c r="A209" t="s">
        <v>590</v>
      </c>
      <c r="B209" t="s">
        <v>5064</v>
      </c>
    </row>
    <row r="210" spans="1:2" hidden="1" x14ac:dyDescent="0.25">
      <c r="A210" t="s">
        <v>1014</v>
      </c>
      <c r="B210" t="s">
        <v>5126</v>
      </c>
    </row>
    <row r="211" spans="1:2" hidden="1" x14ac:dyDescent="0.25">
      <c r="A211" t="s">
        <v>752</v>
      </c>
      <c r="B211" t="s">
        <v>5086</v>
      </c>
    </row>
    <row r="212" spans="1:2" hidden="1" x14ac:dyDescent="0.25">
      <c r="A212" t="s">
        <v>502</v>
      </c>
      <c r="B212" t="s">
        <v>5053</v>
      </c>
    </row>
    <row r="213" spans="1:2" hidden="1" x14ac:dyDescent="0.25">
      <c r="A213" t="s">
        <v>374</v>
      </c>
      <c r="B213" t="s">
        <v>5044</v>
      </c>
    </row>
    <row r="214" spans="1:2" hidden="1" x14ac:dyDescent="0.25">
      <c r="A214" t="s">
        <v>797</v>
      </c>
      <c r="B214" t="s">
        <v>5094</v>
      </c>
    </row>
    <row r="215" spans="1:2" hidden="1" x14ac:dyDescent="0.25">
      <c r="A215" t="s">
        <v>421</v>
      </c>
      <c r="B215" t="s">
        <v>5046</v>
      </c>
    </row>
    <row r="216" spans="1:2" hidden="1" x14ac:dyDescent="0.25">
      <c r="A216" t="s">
        <v>1103</v>
      </c>
      <c r="B216" t="s">
        <v>5145</v>
      </c>
    </row>
    <row r="217" spans="1:2" hidden="1" x14ac:dyDescent="0.25">
      <c r="A217" t="s">
        <v>682</v>
      </c>
      <c r="B217" t="s">
        <v>5075</v>
      </c>
    </row>
    <row r="218" spans="1:2" hidden="1" x14ac:dyDescent="0.25">
      <c r="A218" t="s">
        <v>1113</v>
      </c>
      <c r="B218" t="s">
        <v>5149</v>
      </c>
    </row>
    <row r="219" spans="1:2" hidden="1" x14ac:dyDescent="0.25">
      <c r="A219" t="s">
        <v>1163</v>
      </c>
      <c r="B219" t="s">
        <v>5157</v>
      </c>
    </row>
    <row r="220" spans="1:2" hidden="1" x14ac:dyDescent="0.25">
      <c r="A220" t="s">
        <v>354</v>
      </c>
      <c r="B220" t="s">
        <v>5087</v>
      </c>
    </row>
    <row r="221" spans="1:2" hidden="1" x14ac:dyDescent="0.25">
      <c r="A221" t="s">
        <v>108</v>
      </c>
      <c r="B221" t="s">
        <v>5011</v>
      </c>
    </row>
    <row r="222" spans="1:2" hidden="1" x14ac:dyDescent="0.25">
      <c r="A222" t="s">
        <v>496</v>
      </c>
      <c r="B222" t="s">
        <v>5078</v>
      </c>
    </row>
    <row r="223" spans="1:2" hidden="1" x14ac:dyDescent="0.25">
      <c r="A223" t="s">
        <v>1364</v>
      </c>
      <c r="B223" t="s">
        <v>5188</v>
      </c>
    </row>
    <row r="224" spans="1:2" hidden="1" x14ac:dyDescent="0.25">
      <c r="A224" t="s">
        <v>904</v>
      </c>
      <c r="B224" t="s">
        <v>5111</v>
      </c>
    </row>
    <row r="225" spans="1:2" hidden="1" x14ac:dyDescent="0.25">
      <c r="A225" t="s">
        <v>283</v>
      </c>
      <c r="B225" t="s">
        <v>5057</v>
      </c>
    </row>
    <row r="226" spans="1:2" hidden="1" x14ac:dyDescent="0.25">
      <c r="A226" t="s">
        <v>323</v>
      </c>
      <c r="B226" t="s">
        <v>5039</v>
      </c>
    </row>
    <row r="227" spans="1:2" hidden="1" x14ac:dyDescent="0.25">
      <c r="A227" t="s">
        <v>936</v>
      </c>
      <c r="B227" t="s">
        <v>5115</v>
      </c>
    </row>
    <row r="228" spans="1:2" hidden="1" x14ac:dyDescent="0.25">
      <c r="A228" t="s">
        <v>1066</v>
      </c>
      <c r="B228" t="s">
        <v>5137</v>
      </c>
    </row>
    <row r="229" spans="1:2" hidden="1" x14ac:dyDescent="0.25">
      <c r="A229" t="s">
        <v>1173</v>
      </c>
      <c r="B229" t="s">
        <v>5162</v>
      </c>
    </row>
    <row r="230" spans="1:2" hidden="1" x14ac:dyDescent="0.25">
      <c r="A230" t="s">
        <v>1083</v>
      </c>
      <c r="B230" t="s">
        <v>5139</v>
      </c>
    </row>
    <row r="231" spans="1:2" hidden="1" x14ac:dyDescent="0.25">
      <c r="A231" t="s">
        <v>1388</v>
      </c>
      <c r="B231" t="s">
        <v>5192</v>
      </c>
    </row>
    <row r="232" spans="1:2" hidden="1" x14ac:dyDescent="0.25">
      <c r="A232" t="s">
        <v>554</v>
      </c>
      <c r="B232" t="s">
        <v>5059</v>
      </c>
    </row>
    <row r="233" spans="1:2" hidden="1" x14ac:dyDescent="0.25">
      <c r="A233" t="s">
        <v>200</v>
      </c>
      <c r="B233" t="s">
        <v>5027</v>
      </c>
    </row>
    <row r="234" spans="1:2" hidden="1" x14ac:dyDescent="0.25">
      <c r="A234" t="s">
        <v>1165</v>
      </c>
      <c r="B234" t="s">
        <v>5158</v>
      </c>
    </row>
    <row r="235" spans="1:2" hidden="1" x14ac:dyDescent="0.25">
      <c r="A235" t="s">
        <v>596</v>
      </c>
      <c r="B235" t="s">
        <v>5065</v>
      </c>
    </row>
    <row r="236" spans="1:2" hidden="1" x14ac:dyDescent="0.25">
      <c r="A236" t="s">
        <v>56</v>
      </c>
      <c r="B236" t="s">
        <v>4995</v>
      </c>
    </row>
    <row r="237" spans="1:2" hidden="1" x14ac:dyDescent="0.25">
      <c r="A237" t="s">
        <v>1036</v>
      </c>
      <c r="B237" t="s">
        <v>5130</v>
      </c>
    </row>
    <row r="238" spans="1:2" hidden="1" x14ac:dyDescent="0.25">
      <c r="A238" t="s">
        <v>233</v>
      </c>
      <c r="B238" t="s">
        <v>5032</v>
      </c>
    </row>
    <row r="239" spans="1:2" hidden="1" x14ac:dyDescent="0.25">
      <c r="A239" t="s">
        <v>1368</v>
      </c>
      <c r="B239" t="s">
        <v>5189</v>
      </c>
    </row>
    <row r="240" spans="1:2" hidden="1" x14ac:dyDescent="0.25">
      <c r="A240" t="s">
        <v>321</v>
      </c>
      <c r="B240" t="s">
        <v>5038</v>
      </c>
    </row>
    <row r="241" spans="1:2" hidden="1" x14ac:dyDescent="0.25">
      <c r="A241" t="s">
        <v>1520</v>
      </c>
      <c r="B241" t="s">
        <v>5207</v>
      </c>
    </row>
    <row r="242" spans="1:2" hidden="1" x14ac:dyDescent="0.25">
      <c r="A242" t="s">
        <v>1217</v>
      </c>
      <c r="B242" t="s">
        <v>5168</v>
      </c>
    </row>
    <row r="243" spans="1:2" hidden="1" x14ac:dyDescent="0.25">
      <c r="A243" t="s">
        <v>1119</v>
      </c>
      <c r="B243" t="s">
        <v>5151</v>
      </c>
    </row>
    <row r="244" spans="1:2" hidden="1" x14ac:dyDescent="0.25">
      <c r="A244" t="s">
        <v>1187</v>
      </c>
      <c r="B244" t="s">
        <v>10109</v>
      </c>
    </row>
    <row r="245" spans="1:2" hidden="1" x14ac:dyDescent="0.25">
      <c r="A245" t="s">
        <v>1376</v>
      </c>
      <c r="B245" t="s">
        <v>10121</v>
      </c>
    </row>
    <row r="246" spans="1:2" hidden="1" x14ac:dyDescent="0.25">
      <c r="A246" t="s">
        <v>78</v>
      </c>
      <c r="B246" t="s">
        <v>10110</v>
      </c>
    </row>
    <row r="247" spans="1:2" hidden="1" x14ac:dyDescent="0.25">
      <c r="A247" t="s">
        <v>263</v>
      </c>
      <c r="B247" t="s">
        <v>10111</v>
      </c>
    </row>
    <row r="248" spans="1:2" hidden="1" x14ac:dyDescent="0.25">
      <c r="A248" t="s">
        <v>807</v>
      </c>
      <c r="B248" t="s">
        <v>10122</v>
      </c>
    </row>
    <row r="249" spans="1:2" hidden="1" x14ac:dyDescent="0.25">
      <c r="A249" t="s">
        <v>482</v>
      </c>
      <c r="B249" t="s">
        <v>10117</v>
      </c>
    </row>
    <row r="250" spans="1:2" hidden="1" x14ac:dyDescent="0.25">
      <c r="A250" t="s">
        <v>1396</v>
      </c>
      <c r="B250" t="s">
        <v>10123</v>
      </c>
    </row>
    <row r="251" spans="1:2" hidden="1" x14ac:dyDescent="0.25">
      <c r="A251" t="s">
        <v>1376</v>
      </c>
      <c r="B251" t="s">
        <v>10124</v>
      </c>
    </row>
    <row r="252" spans="1:2" hidden="1" x14ac:dyDescent="0.25">
      <c r="A252" t="s">
        <v>4</v>
      </c>
      <c r="B252" t="s">
        <v>10119</v>
      </c>
    </row>
    <row r="253" spans="1:2" hidden="1" x14ac:dyDescent="0.25">
      <c r="A253" t="s">
        <v>1526</v>
      </c>
      <c r="B253" t="s">
        <v>10120</v>
      </c>
    </row>
    <row r="254" spans="1:2" hidden="1" x14ac:dyDescent="0.25">
      <c r="A254" t="s">
        <v>102</v>
      </c>
      <c r="B254" t="s">
        <v>5009</v>
      </c>
    </row>
    <row r="255" spans="1:2" hidden="1" x14ac:dyDescent="0.25">
      <c r="A255" t="s">
        <v>24</v>
      </c>
      <c r="B255" t="s">
        <v>4983</v>
      </c>
    </row>
    <row r="256" spans="1:2" hidden="1" x14ac:dyDescent="0.25">
      <c r="A256" t="s">
        <v>598</v>
      </c>
      <c r="B256" t="s">
        <v>10115</v>
      </c>
    </row>
    <row r="257" spans="1:2" hidden="1" x14ac:dyDescent="0.25">
      <c r="A257" t="s">
        <v>38</v>
      </c>
      <c r="B257" t="s">
        <v>10112</v>
      </c>
    </row>
    <row r="258" spans="1:2" hidden="1" x14ac:dyDescent="0.25">
      <c r="A258" t="s">
        <v>764</v>
      </c>
      <c r="B258" t="s">
        <v>10116</v>
      </c>
    </row>
    <row r="259" spans="1:2" hidden="1" x14ac:dyDescent="0.25">
      <c r="A259" t="s">
        <v>391</v>
      </c>
      <c r="B259" t="s">
        <v>10118</v>
      </c>
    </row>
    <row r="260" spans="1:2" hidden="1" x14ac:dyDescent="0.25">
      <c r="A260" t="s">
        <v>106</v>
      </c>
      <c r="B260" t="s">
        <v>10113</v>
      </c>
    </row>
  </sheetData>
  <autoFilter ref="A1:B260" xr:uid="{F8590F97-B370-4E29-B3E2-70E2DA4995F8}">
    <filterColumn colId="0">
      <filters>
        <filter val="47008403"/>
      </filters>
    </filterColumn>
    <sortState xmlns:xlrd2="http://schemas.microsoft.com/office/spreadsheetml/2017/richdata2" ref="A2:B243">
      <sortCondition ref="A1:A243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FB32-826E-4398-97CA-9BB5EA455D1B}">
  <sheetPr filterMode="1"/>
  <dimension ref="A1:G790"/>
  <sheetViews>
    <sheetView workbookViewId="0">
      <selection activeCell="B125" sqref="B125"/>
    </sheetView>
  </sheetViews>
  <sheetFormatPr baseColWidth="10" defaultRowHeight="15" x14ac:dyDescent="0.25"/>
  <cols>
    <col min="1" max="7" width="11.42578125" style="7"/>
  </cols>
  <sheetData>
    <row r="1" spans="1:2" x14ac:dyDescent="0.25">
      <c r="A1" s="7" t="s">
        <v>8202</v>
      </c>
      <c r="B1" s="7" t="s">
        <v>8203</v>
      </c>
    </row>
    <row r="2" spans="1:2" hidden="1" x14ac:dyDescent="0.25">
      <c r="A2" s="7" t="s">
        <v>8216</v>
      </c>
      <c r="B2" s="7" t="s">
        <v>2</v>
      </c>
    </row>
    <row r="3" spans="1:2" hidden="1" x14ac:dyDescent="0.25">
      <c r="A3" s="7" t="s">
        <v>8245</v>
      </c>
      <c r="B3" s="7" t="s">
        <v>4</v>
      </c>
    </row>
    <row r="4" spans="1:2" hidden="1" x14ac:dyDescent="0.25">
      <c r="A4" s="7" t="s">
        <v>8280</v>
      </c>
      <c r="B4" s="7" t="s">
        <v>6</v>
      </c>
    </row>
    <row r="5" spans="1:2" hidden="1" x14ac:dyDescent="0.25">
      <c r="A5" s="7" t="s">
        <v>8249</v>
      </c>
      <c r="B5" s="7" t="s">
        <v>8</v>
      </c>
    </row>
    <row r="6" spans="1:2" hidden="1" x14ac:dyDescent="0.25">
      <c r="A6" s="7" t="s">
        <v>8527</v>
      </c>
      <c r="B6" s="7" t="s">
        <v>10</v>
      </c>
    </row>
    <row r="7" spans="1:2" hidden="1" x14ac:dyDescent="0.25">
      <c r="A7" s="7" t="s">
        <v>8454</v>
      </c>
      <c r="B7" s="7" t="s">
        <v>12</v>
      </c>
    </row>
    <row r="8" spans="1:2" hidden="1" x14ac:dyDescent="0.25">
      <c r="A8" s="7" t="s">
        <v>8401</v>
      </c>
      <c r="B8" s="7" t="s">
        <v>14</v>
      </c>
    </row>
    <row r="9" spans="1:2" hidden="1" x14ac:dyDescent="0.25">
      <c r="A9" s="7" t="s">
        <v>8380</v>
      </c>
      <c r="B9" s="7" t="s">
        <v>16</v>
      </c>
    </row>
    <row r="10" spans="1:2" hidden="1" x14ac:dyDescent="0.25">
      <c r="A10" s="7" t="s">
        <v>8229</v>
      </c>
      <c r="B10" s="7" t="s">
        <v>18</v>
      </c>
    </row>
    <row r="11" spans="1:2" hidden="1" x14ac:dyDescent="0.25">
      <c r="A11" s="7" t="s">
        <v>8562</v>
      </c>
      <c r="B11" s="7" t="s">
        <v>20</v>
      </c>
    </row>
    <row r="12" spans="1:2" hidden="1" x14ac:dyDescent="0.25">
      <c r="A12" s="7" t="s">
        <v>8348</v>
      </c>
      <c r="B12" s="7" t="s">
        <v>22</v>
      </c>
    </row>
    <row r="13" spans="1:2" hidden="1" x14ac:dyDescent="0.25">
      <c r="A13" s="7" t="s">
        <v>8343</v>
      </c>
      <c r="B13" s="7" t="s">
        <v>24</v>
      </c>
    </row>
    <row r="14" spans="1:2" hidden="1" x14ac:dyDescent="0.25">
      <c r="A14" s="7" t="s">
        <v>8468</v>
      </c>
      <c r="B14" s="7" t="s">
        <v>26</v>
      </c>
    </row>
    <row r="15" spans="1:2" hidden="1" x14ac:dyDescent="0.25">
      <c r="A15" s="7" t="s">
        <v>8297</v>
      </c>
      <c r="B15" s="7" t="s">
        <v>28</v>
      </c>
    </row>
    <row r="16" spans="1:2" hidden="1" x14ac:dyDescent="0.25">
      <c r="A16" s="7" t="s">
        <v>8319</v>
      </c>
      <c r="B16" s="7" t="s">
        <v>30</v>
      </c>
    </row>
    <row r="17" spans="1:2" hidden="1" x14ac:dyDescent="0.25">
      <c r="A17" s="7" t="s">
        <v>8341</v>
      </c>
      <c r="B17" s="7" t="s">
        <v>32</v>
      </c>
    </row>
    <row r="18" spans="1:2" hidden="1" x14ac:dyDescent="0.25">
      <c r="A18" s="7" t="s">
        <v>8243</v>
      </c>
      <c r="B18" s="7" t="s">
        <v>34</v>
      </c>
    </row>
    <row r="19" spans="1:2" hidden="1" x14ac:dyDescent="0.25">
      <c r="A19" s="7" t="s">
        <v>8691</v>
      </c>
      <c r="B19" s="7" t="s">
        <v>36</v>
      </c>
    </row>
    <row r="20" spans="1:2" hidden="1" x14ac:dyDescent="0.25">
      <c r="A20" s="7" t="s">
        <v>8328</v>
      </c>
      <c r="B20" s="7" t="s">
        <v>38</v>
      </c>
    </row>
    <row r="21" spans="1:2" hidden="1" x14ac:dyDescent="0.25">
      <c r="A21" s="7" t="s">
        <v>8423</v>
      </c>
      <c r="B21" s="7" t="s">
        <v>40</v>
      </c>
    </row>
    <row r="22" spans="1:2" hidden="1" x14ac:dyDescent="0.25">
      <c r="A22" s="7" t="s">
        <v>8362</v>
      </c>
      <c r="B22" s="7" t="s">
        <v>42</v>
      </c>
    </row>
    <row r="23" spans="1:2" hidden="1" x14ac:dyDescent="0.25">
      <c r="A23" s="7" t="s">
        <v>8299</v>
      </c>
      <c r="B23" s="7" t="s">
        <v>44</v>
      </c>
    </row>
    <row r="24" spans="1:2" hidden="1" x14ac:dyDescent="0.25">
      <c r="A24" s="7" t="s">
        <v>8432</v>
      </c>
      <c r="B24" s="7" t="s">
        <v>46</v>
      </c>
    </row>
    <row r="25" spans="1:2" hidden="1" x14ac:dyDescent="0.25">
      <c r="A25" s="7" t="s">
        <v>8261</v>
      </c>
      <c r="B25" s="7" t="s">
        <v>48</v>
      </c>
    </row>
    <row r="26" spans="1:2" hidden="1" x14ac:dyDescent="0.25">
      <c r="A26" s="7" t="s">
        <v>8227</v>
      </c>
      <c r="B26" s="7" t="s">
        <v>50</v>
      </c>
    </row>
    <row r="27" spans="1:2" hidden="1" x14ac:dyDescent="0.25">
      <c r="A27" s="7" t="s">
        <v>8289</v>
      </c>
      <c r="B27" s="7" t="s">
        <v>52</v>
      </c>
    </row>
    <row r="28" spans="1:2" hidden="1" x14ac:dyDescent="0.25">
      <c r="A28" s="7" t="s">
        <v>8921</v>
      </c>
      <c r="B28" s="7" t="s">
        <v>54</v>
      </c>
    </row>
    <row r="29" spans="1:2" hidden="1" x14ac:dyDescent="0.25">
      <c r="A29" s="7" t="s">
        <v>8972</v>
      </c>
      <c r="B29" s="7" t="s">
        <v>56</v>
      </c>
    </row>
    <row r="30" spans="1:2" hidden="1" x14ac:dyDescent="0.25">
      <c r="A30" s="7" t="s">
        <v>8359</v>
      </c>
      <c r="B30" s="7" t="s">
        <v>58</v>
      </c>
    </row>
    <row r="31" spans="1:2" hidden="1" x14ac:dyDescent="0.25">
      <c r="A31" s="7" t="s">
        <v>8370</v>
      </c>
      <c r="B31" s="7" t="s">
        <v>60</v>
      </c>
    </row>
    <row r="32" spans="1:2" hidden="1" x14ac:dyDescent="0.25">
      <c r="A32" s="7" t="s">
        <v>8320</v>
      </c>
      <c r="B32" s="7" t="s">
        <v>62</v>
      </c>
    </row>
    <row r="33" spans="1:2" hidden="1" x14ac:dyDescent="0.25">
      <c r="A33" s="7" t="s">
        <v>8313</v>
      </c>
      <c r="B33" s="7" t="s">
        <v>64</v>
      </c>
    </row>
    <row r="34" spans="1:2" hidden="1" x14ac:dyDescent="0.25">
      <c r="A34" s="7" t="s">
        <v>8386</v>
      </c>
      <c r="B34" s="7" t="s">
        <v>66</v>
      </c>
    </row>
    <row r="35" spans="1:2" hidden="1" x14ac:dyDescent="0.25">
      <c r="A35" s="7" t="s">
        <v>8426</v>
      </c>
      <c r="B35" s="7" t="s">
        <v>68</v>
      </c>
    </row>
    <row r="36" spans="1:2" hidden="1" x14ac:dyDescent="0.25">
      <c r="A36" s="7" t="s">
        <v>8283</v>
      </c>
      <c r="B36" s="7" t="s">
        <v>70</v>
      </c>
    </row>
    <row r="37" spans="1:2" hidden="1" x14ac:dyDescent="0.25">
      <c r="A37" s="7" t="s">
        <v>8384</v>
      </c>
      <c r="B37" s="7" t="s">
        <v>72</v>
      </c>
    </row>
    <row r="38" spans="1:2" hidden="1" x14ac:dyDescent="0.25">
      <c r="A38" s="7" t="s">
        <v>8480</v>
      </c>
      <c r="B38" s="7" t="s">
        <v>74</v>
      </c>
    </row>
    <row r="39" spans="1:2" hidden="1" x14ac:dyDescent="0.25">
      <c r="A39" s="7" t="s">
        <v>8356</v>
      </c>
      <c r="B39" s="7" t="s">
        <v>76</v>
      </c>
    </row>
    <row r="40" spans="1:2" hidden="1" x14ac:dyDescent="0.25">
      <c r="A40" s="7" t="s">
        <v>8403</v>
      </c>
      <c r="B40" s="7" t="s">
        <v>78</v>
      </c>
    </row>
    <row r="41" spans="1:2" hidden="1" x14ac:dyDescent="0.25">
      <c r="A41" s="7" t="s">
        <v>8717</v>
      </c>
      <c r="B41" s="7" t="s">
        <v>80</v>
      </c>
    </row>
    <row r="42" spans="1:2" hidden="1" x14ac:dyDescent="0.25">
      <c r="A42" s="7" t="s">
        <v>8361</v>
      </c>
      <c r="B42" s="7" t="s">
        <v>82</v>
      </c>
    </row>
    <row r="43" spans="1:2" hidden="1" x14ac:dyDescent="0.25">
      <c r="A43" s="7" t="s">
        <v>8417</v>
      </c>
      <c r="B43" s="7" t="s">
        <v>84</v>
      </c>
    </row>
    <row r="44" spans="1:2" hidden="1" x14ac:dyDescent="0.25">
      <c r="A44" s="7" t="s">
        <v>8377</v>
      </c>
      <c r="B44" s="7" t="s">
        <v>86</v>
      </c>
    </row>
    <row r="45" spans="1:2" hidden="1" x14ac:dyDescent="0.25">
      <c r="A45" s="7" t="s">
        <v>8333</v>
      </c>
      <c r="B45" s="7" t="s">
        <v>88</v>
      </c>
    </row>
    <row r="46" spans="1:2" hidden="1" x14ac:dyDescent="0.25">
      <c r="A46" s="7" t="s">
        <v>8232</v>
      </c>
      <c r="B46" s="7" t="s">
        <v>90</v>
      </c>
    </row>
    <row r="47" spans="1:2" hidden="1" x14ac:dyDescent="0.25">
      <c r="A47" s="7" t="s">
        <v>8350</v>
      </c>
      <c r="B47" s="7" t="s">
        <v>92</v>
      </c>
    </row>
    <row r="48" spans="1:2" hidden="1" x14ac:dyDescent="0.25">
      <c r="A48" s="7" t="s">
        <v>8305</v>
      </c>
      <c r="B48" s="7" t="s">
        <v>94</v>
      </c>
    </row>
    <row r="49" spans="1:2" hidden="1" x14ac:dyDescent="0.25">
      <c r="A49" s="7" t="s">
        <v>8476</v>
      </c>
      <c r="B49" s="7" t="s">
        <v>96</v>
      </c>
    </row>
    <row r="50" spans="1:2" hidden="1" x14ac:dyDescent="0.25">
      <c r="A50" s="7" t="s">
        <v>8398</v>
      </c>
      <c r="B50" s="7" t="s">
        <v>98</v>
      </c>
    </row>
    <row r="51" spans="1:2" hidden="1" x14ac:dyDescent="0.25">
      <c r="A51" s="7" t="s">
        <v>8337</v>
      </c>
      <c r="B51" s="7" t="s">
        <v>100</v>
      </c>
    </row>
    <row r="52" spans="1:2" hidden="1" x14ac:dyDescent="0.25">
      <c r="A52" s="7" t="s">
        <v>8425</v>
      </c>
      <c r="B52" s="7" t="s">
        <v>102</v>
      </c>
    </row>
    <row r="53" spans="1:2" hidden="1" x14ac:dyDescent="0.25">
      <c r="A53" s="7" t="s">
        <v>8247</v>
      </c>
      <c r="B53" s="7" t="s">
        <v>104</v>
      </c>
    </row>
    <row r="54" spans="1:2" hidden="1" x14ac:dyDescent="0.25">
      <c r="A54" s="7" t="s">
        <v>8251</v>
      </c>
      <c r="B54" s="7" t="s">
        <v>106</v>
      </c>
    </row>
    <row r="55" spans="1:2" hidden="1" x14ac:dyDescent="0.25">
      <c r="A55" s="7" t="s">
        <v>8918</v>
      </c>
      <c r="B55" s="7" t="s">
        <v>108</v>
      </c>
    </row>
    <row r="56" spans="1:2" hidden="1" x14ac:dyDescent="0.25">
      <c r="A56" s="7" t="s">
        <v>8291</v>
      </c>
      <c r="B56" s="7" t="s">
        <v>110</v>
      </c>
    </row>
    <row r="57" spans="1:2" hidden="1" x14ac:dyDescent="0.25">
      <c r="A57" s="7" t="s">
        <v>8335</v>
      </c>
      <c r="B57" s="7" t="s">
        <v>112</v>
      </c>
    </row>
    <row r="58" spans="1:2" hidden="1" x14ac:dyDescent="0.25">
      <c r="A58" s="7" t="s">
        <v>8241</v>
      </c>
      <c r="B58" s="7" t="s">
        <v>116</v>
      </c>
    </row>
    <row r="59" spans="1:2" hidden="1" x14ac:dyDescent="0.25">
      <c r="A59" s="7" t="s">
        <v>8379</v>
      </c>
      <c r="B59" s="7" t="s">
        <v>117</v>
      </c>
    </row>
    <row r="60" spans="1:2" hidden="1" x14ac:dyDescent="0.25">
      <c r="A60" s="7" t="s">
        <v>8214</v>
      </c>
      <c r="B60" s="7" t="s">
        <v>464</v>
      </c>
    </row>
    <row r="61" spans="1:2" hidden="1" x14ac:dyDescent="0.25">
      <c r="A61" s="7" t="s">
        <v>8412</v>
      </c>
      <c r="B61" s="7" t="s">
        <v>120</v>
      </c>
    </row>
    <row r="62" spans="1:2" hidden="1" x14ac:dyDescent="0.25">
      <c r="A62" s="7" t="s">
        <v>8364</v>
      </c>
      <c r="B62" s="7" t="s">
        <v>122</v>
      </c>
    </row>
    <row r="63" spans="1:2" hidden="1" x14ac:dyDescent="0.25">
      <c r="A63" s="7" t="s">
        <v>8338</v>
      </c>
      <c r="B63" s="7" t="s">
        <v>124</v>
      </c>
    </row>
    <row r="64" spans="1:2" hidden="1" x14ac:dyDescent="0.25">
      <c r="A64" s="7" t="s">
        <v>8588</v>
      </c>
      <c r="B64" s="7" t="s">
        <v>126</v>
      </c>
    </row>
    <row r="65" spans="1:2" hidden="1" x14ac:dyDescent="0.25">
      <c r="A65" s="7" t="s">
        <v>8570</v>
      </c>
      <c r="B65" s="7" t="s">
        <v>130</v>
      </c>
    </row>
    <row r="66" spans="1:2" hidden="1" x14ac:dyDescent="0.25">
      <c r="A66" s="7" t="s">
        <v>8487</v>
      </c>
      <c r="B66" s="7" t="s">
        <v>132</v>
      </c>
    </row>
    <row r="67" spans="1:2" hidden="1" x14ac:dyDescent="0.25">
      <c r="A67" s="7" t="s">
        <v>8285</v>
      </c>
      <c r="B67" s="7" t="s">
        <v>134</v>
      </c>
    </row>
    <row r="68" spans="1:2" hidden="1" x14ac:dyDescent="0.25">
      <c r="A68" s="7" t="s">
        <v>8259</v>
      </c>
      <c r="B68" s="7" t="s">
        <v>136</v>
      </c>
    </row>
    <row r="69" spans="1:2" hidden="1" x14ac:dyDescent="0.25">
      <c r="A69" s="7" t="s">
        <v>8635</v>
      </c>
      <c r="B69" s="7" t="s">
        <v>138</v>
      </c>
    </row>
    <row r="70" spans="1:2" hidden="1" x14ac:dyDescent="0.25">
      <c r="A70" s="7" t="s">
        <v>8388</v>
      </c>
      <c r="B70" s="7" t="s">
        <v>140</v>
      </c>
    </row>
    <row r="71" spans="1:2" hidden="1" x14ac:dyDescent="0.25">
      <c r="A71" s="7" t="s">
        <v>8429</v>
      </c>
      <c r="B71" s="7" t="s">
        <v>142</v>
      </c>
    </row>
    <row r="72" spans="1:2" hidden="1" x14ac:dyDescent="0.25">
      <c r="A72" s="7" t="s">
        <v>8422</v>
      </c>
      <c r="B72" s="7" t="s">
        <v>144</v>
      </c>
    </row>
    <row r="73" spans="1:2" hidden="1" x14ac:dyDescent="0.25">
      <c r="A73" s="7" t="s">
        <v>8434</v>
      </c>
      <c r="B73" s="7" t="s">
        <v>146</v>
      </c>
    </row>
    <row r="74" spans="1:2" hidden="1" x14ac:dyDescent="0.25">
      <c r="A74" s="7" t="s">
        <v>8456</v>
      </c>
      <c r="B74" s="7" t="s">
        <v>148</v>
      </c>
    </row>
    <row r="75" spans="1:2" hidden="1" x14ac:dyDescent="0.25">
      <c r="A75" s="7" t="s">
        <v>8273</v>
      </c>
      <c r="B75" s="7" t="s">
        <v>150</v>
      </c>
    </row>
    <row r="76" spans="1:2" hidden="1" x14ac:dyDescent="0.25">
      <c r="A76" s="7" t="s">
        <v>8321</v>
      </c>
      <c r="B76" s="7" t="s">
        <v>152</v>
      </c>
    </row>
    <row r="77" spans="1:2" hidden="1" x14ac:dyDescent="0.25">
      <c r="A77" s="7" t="s">
        <v>8340</v>
      </c>
      <c r="B77" s="7" t="s">
        <v>154</v>
      </c>
    </row>
    <row r="78" spans="1:2" hidden="1" x14ac:dyDescent="0.25">
      <c r="A78" s="7" t="s">
        <v>8567</v>
      </c>
      <c r="B78" s="7" t="s">
        <v>156</v>
      </c>
    </row>
    <row r="79" spans="1:2" hidden="1" x14ac:dyDescent="0.25">
      <c r="A79" s="7" t="s">
        <v>8392</v>
      </c>
      <c r="B79" s="7" t="s">
        <v>158</v>
      </c>
    </row>
    <row r="80" spans="1:2" hidden="1" x14ac:dyDescent="0.25">
      <c r="A80" s="7" t="s">
        <v>8238</v>
      </c>
      <c r="B80" s="7" t="s">
        <v>160</v>
      </c>
    </row>
    <row r="81" spans="1:2" hidden="1" x14ac:dyDescent="0.25">
      <c r="A81" s="7" t="s">
        <v>8430</v>
      </c>
      <c r="B81" s="7" t="s">
        <v>162</v>
      </c>
    </row>
    <row r="82" spans="1:2" hidden="1" x14ac:dyDescent="0.25">
      <c r="A82" s="7" t="s">
        <v>8604</v>
      </c>
      <c r="B82" s="7" t="s">
        <v>164</v>
      </c>
    </row>
    <row r="83" spans="1:2" hidden="1" x14ac:dyDescent="0.25">
      <c r="A83" s="7" t="s">
        <v>8222</v>
      </c>
      <c r="B83" s="7" t="s">
        <v>835</v>
      </c>
    </row>
    <row r="84" spans="1:2" hidden="1" x14ac:dyDescent="0.25">
      <c r="A84" s="7" t="s">
        <v>8246</v>
      </c>
      <c r="B84" s="7" t="s">
        <v>168</v>
      </c>
    </row>
    <row r="85" spans="1:2" hidden="1" x14ac:dyDescent="0.25">
      <c r="A85" s="7" t="s">
        <v>8474</v>
      </c>
      <c r="B85" s="7" t="s">
        <v>169</v>
      </c>
    </row>
    <row r="86" spans="1:2" hidden="1" x14ac:dyDescent="0.25">
      <c r="A86" s="7" t="s">
        <v>8684</v>
      </c>
      <c r="B86" s="7" t="s">
        <v>171</v>
      </c>
    </row>
    <row r="87" spans="1:2" hidden="1" x14ac:dyDescent="0.25">
      <c r="A87" s="7" t="s">
        <v>8450</v>
      </c>
      <c r="B87" s="7" t="s">
        <v>173</v>
      </c>
    </row>
    <row r="88" spans="1:2" hidden="1" x14ac:dyDescent="0.25">
      <c r="A88" s="7" t="s">
        <v>8540</v>
      </c>
      <c r="B88" s="7" t="s">
        <v>175</v>
      </c>
    </row>
    <row r="89" spans="1:2" hidden="1" x14ac:dyDescent="0.25">
      <c r="A89" s="7" t="s">
        <v>8220</v>
      </c>
      <c r="B89" s="7" t="s">
        <v>177</v>
      </c>
    </row>
    <row r="90" spans="1:2" hidden="1" x14ac:dyDescent="0.25">
      <c r="A90" s="7" t="s">
        <v>8352</v>
      </c>
      <c r="B90" s="7" t="s">
        <v>181</v>
      </c>
    </row>
    <row r="91" spans="1:2" hidden="1" x14ac:dyDescent="0.25">
      <c r="A91" s="7" t="s">
        <v>8493</v>
      </c>
      <c r="B91" s="7" t="s">
        <v>183</v>
      </c>
    </row>
    <row r="92" spans="1:2" hidden="1" x14ac:dyDescent="0.25">
      <c r="A92" s="7" t="s">
        <v>8862</v>
      </c>
      <c r="B92" s="7" t="s">
        <v>185</v>
      </c>
    </row>
    <row r="93" spans="1:2" hidden="1" x14ac:dyDescent="0.25">
      <c r="A93" s="7" t="s">
        <v>8324</v>
      </c>
      <c r="B93" s="7" t="s">
        <v>187</v>
      </c>
    </row>
    <row r="94" spans="1:2" hidden="1" x14ac:dyDescent="0.25">
      <c r="A94" s="7" t="s">
        <v>8351</v>
      </c>
      <c r="B94" s="7" t="s">
        <v>189</v>
      </c>
    </row>
    <row r="95" spans="1:2" hidden="1" x14ac:dyDescent="0.25">
      <c r="A95" s="7" t="s">
        <v>8791</v>
      </c>
      <c r="B95" s="7" t="s">
        <v>190</v>
      </c>
    </row>
    <row r="96" spans="1:2" hidden="1" x14ac:dyDescent="0.25">
      <c r="A96" s="7" t="s">
        <v>8290</v>
      </c>
      <c r="B96" s="7" t="s">
        <v>192</v>
      </c>
    </row>
    <row r="97" spans="1:2" hidden="1" x14ac:dyDescent="0.25">
      <c r="A97" s="7" t="s">
        <v>8402</v>
      </c>
      <c r="B97" s="7" t="s">
        <v>194</v>
      </c>
    </row>
    <row r="98" spans="1:2" hidden="1" x14ac:dyDescent="0.25">
      <c r="A98" s="7" t="s">
        <v>8985</v>
      </c>
      <c r="B98" s="7" t="s">
        <v>196</v>
      </c>
    </row>
    <row r="99" spans="1:2" hidden="1" x14ac:dyDescent="0.25">
      <c r="A99" s="7" t="s">
        <v>8336</v>
      </c>
      <c r="B99" s="7" t="s">
        <v>198</v>
      </c>
    </row>
    <row r="100" spans="1:2" hidden="1" x14ac:dyDescent="0.25">
      <c r="A100" s="7" t="s">
        <v>8964</v>
      </c>
      <c r="B100" s="7" t="s">
        <v>200</v>
      </c>
    </row>
    <row r="101" spans="1:2" hidden="1" x14ac:dyDescent="0.25">
      <c r="A101" s="7" t="s">
        <v>8477</v>
      </c>
      <c r="B101" s="7" t="s">
        <v>202</v>
      </c>
    </row>
    <row r="102" spans="1:2" hidden="1" x14ac:dyDescent="0.25">
      <c r="A102" s="7" t="s">
        <v>8526</v>
      </c>
      <c r="B102" s="7" t="s">
        <v>204</v>
      </c>
    </row>
    <row r="103" spans="1:2" hidden="1" x14ac:dyDescent="0.25">
      <c r="A103" s="7" t="s">
        <v>8306</v>
      </c>
      <c r="B103" s="7" t="s">
        <v>206</v>
      </c>
    </row>
    <row r="104" spans="1:2" hidden="1" x14ac:dyDescent="0.25">
      <c r="A104" s="7" t="s">
        <v>8330</v>
      </c>
      <c r="B104" s="7" t="s">
        <v>208</v>
      </c>
    </row>
    <row r="105" spans="1:2" hidden="1" x14ac:dyDescent="0.25">
      <c r="A105" s="7" t="s">
        <v>8239</v>
      </c>
      <c r="B105" s="7" t="s">
        <v>447</v>
      </c>
    </row>
    <row r="106" spans="1:2" hidden="1" x14ac:dyDescent="0.25">
      <c r="A106" s="7" t="s">
        <v>8697</v>
      </c>
      <c r="B106" s="7" t="s">
        <v>212</v>
      </c>
    </row>
    <row r="107" spans="1:2" hidden="1" x14ac:dyDescent="0.25">
      <c r="A107" s="7" t="s">
        <v>8462</v>
      </c>
      <c r="B107" s="7" t="s">
        <v>214</v>
      </c>
    </row>
    <row r="108" spans="1:2" hidden="1" x14ac:dyDescent="0.25">
      <c r="A108" s="7" t="s">
        <v>8255</v>
      </c>
      <c r="B108" s="7" t="s">
        <v>216</v>
      </c>
    </row>
    <row r="109" spans="1:2" hidden="1" x14ac:dyDescent="0.25">
      <c r="A109" s="7" t="s">
        <v>8344</v>
      </c>
      <c r="B109" s="7" t="s">
        <v>220</v>
      </c>
    </row>
    <row r="110" spans="1:2" hidden="1" x14ac:dyDescent="0.25">
      <c r="A110" s="7" t="s">
        <v>8382</v>
      </c>
      <c r="B110" s="7" t="s">
        <v>222</v>
      </c>
    </row>
    <row r="111" spans="1:2" hidden="1" x14ac:dyDescent="0.25">
      <c r="A111" s="7" t="s">
        <v>8446</v>
      </c>
      <c r="B111" s="7" t="s">
        <v>224</v>
      </c>
    </row>
    <row r="112" spans="1:2" hidden="1" x14ac:dyDescent="0.25">
      <c r="A112" s="7" t="s">
        <v>8226</v>
      </c>
      <c r="B112" s="7" t="s">
        <v>226</v>
      </c>
    </row>
    <row r="113" spans="1:2" hidden="1" x14ac:dyDescent="0.25">
      <c r="A113" s="7" t="s">
        <v>8371</v>
      </c>
      <c r="B113" s="7" t="s">
        <v>228</v>
      </c>
    </row>
    <row r="114" spans="1:2" hidden="1" x14ac:dyDescent="0.25">
      <c r="A114" s="7" t="s">
        <v>8677</v>
      </c>
      <c r="B114" s="7" t="s">
        <v>229</v>
      </c>
    </row>
    <row r="115" spans="1:2" hidden="1" x14ac:dyDescent="0.25">
      <c r="A115" s="7" t="s">
        <v>8373</v>
      </c>
      <c r="B115" s="7" t="s">
        <v>231</v>
      </c>
    </row>
    <row r="116" spans="1:2" hidden="1" x14ac:dyDescent="0.25">
      <c r="A116" s="7" t="s">
        <v>8978</v>
      </c>
      <c r="B116" s="7" t="s">
        <v>233</v>
      </c>
    </row>
    <row r="117" spans="1:2" hidden="1" x14ac:dyDescent="0.25">
      <c r="A117" s="7" t="s">
        <v>8355</v>
      </c>
      <c r="B117" s="7" t="s">
        <v>235</v>
      </c>
    </row>
    <row r="118" spans="1:2" hidden="1" x14ac:dyDescent="0.25">
      <c r="A118" s="7" t="s">
        <v>8701</v>
      </c>
      <c r="B118" s="7" t="s">
        <v>237</v>
      </c>
    </row>
    <row r="119" spans="1:2" hidden="1" x14ac:dyDescent="0.25">
      <c r="A119" s="7" t="s">
        <v>8763</v>
      </c>
      <c r="B119" s="7" t="s">
        <v>238</v>
      </c>
    </row>
    <row r="120" spans="1:2" hidden="1" x14ac:dyDescent="0.25">
      <c r="A120" s="7" t="s">
        <v>8764</v>
      </c>
      <c r="B120" s="7" t="s">
        <v>240</v>
      </c>
    </row>
    <row r="121" spans="1:2" hidden="1" x14ac:dyDescent="0.25">
      <c r="A121" s="7" t="s">
        <v>8578</v>
      </c>
      <c r="B121" s="7" t="s">
        <v>242</v>
      </c>
    </row>
    <row r="122" spans="1:2" hidden="1" x14ac:dyDescent="0.25">
      <c r="A122" s="7" t="s">
        <v>8207</v>
      </c>
      <c r="B122" s="7" t="s">
        <v>244</v>
      </c>
    </row>
    <row r="123" spans="1:2" hidden="1" x14ac:dyDescent="0.25">
      <c r="A123" s="7" t="s">
        <v>8854</v>
      </c>
      <c r="B123" s="7" t="s">
        <v>246</v>
      </c>
    </row>
    <row r="124" spans="1:2" hidden="1" x14ac:dyDescent="0.25">
      <c r="A124" s="7" t="s">
        <v>8459</v>
      </c>
      <c r="B124" s="7" t="s">
        <v>248</v>
      </c>
    </row>
    <row r="125" spans="1:2" x14ac:dyDescent="0.25">
      <c r="A125" s="7" t="s">
        <v>8264</v>
      </c>
      <c r="B125" s="7" t="s">
        <v>293</v>
      </c>
    </row>
    <row r="126" spans="1:2" hidden="1" x14ac:dyDescent="0.25">
      <c r="A126" s="7" t="s">
        <v>8568</v>
      </c>
      <c r="B126" s="7" t="s">
        <v>252</v>
      </c>
    </row>
    <row r="127" spans="1:2" hidden="1" x14ac:dyDescent="0.25">
      <c r="A127" s="7" t="s">
        <v>8472</v>
      </c>
      <c r="B127" s="7" t="s">
        <v>254</v>
      </c>
    </row>
    <row r="128" spans="1:2" hidden="1" x14ac:dyDescent="0.25">
      <c r="A128" s="7" t="s">
        <v>8719</v>
      </c>
      <c r="B128" s="7" t="s">
        <v>256</v>
      </c>
    </row>
    <row r="129" spans="1:2" hidden="1" x14ac:dyDescent="0.25">
      <c r="A129" s="7" t="s">
        <v>8977</v>
      </c>
      <c r="B129" s="7" t="s">
        <v>257</v>
      </c>
    </row>
    <row r="130" spans="1:2" hidden="1" x14ac:dyDescent="0.25">
      <c r="A130" s="7" t="s">
        <v>8867</v>
      </c>
      <c r="B130" s="7" t="s">
        <v>259</v>
      </c>
    </row>
    <row r="131" spans="1:2" hidden="1" x14ac:dyDescent="0.25">
      <c r="A131" s="7" t="s">
        <v>8736</v>
      </c>
      <c r="B131" s="7" t="s">
        <v>261</v>
      </c>
    </row>
    <row r="132" spans="1:2" hidden="1" x14ac:dyDescent="0.25">
      <c r="A132" s="7" t="s">
        <v>8404</v>
      </c>
      <c r="B132" s="7" t="s">
        <v>263</v>
      </c>
    </row>
    <row r="133" spans="1:2" hidden="1" x14ac:dyDescent="0.25">
      <c r="A133" s="7" t="s">
        <v>8808</v>
      </c>
      <c r="B133" s="7" t="s">
        <v>267</v>
      </c>
    </row>
    <row r="134" spans="1:2" hidden="1" x14ac:dyDescent="0.25">
      <c r="A134" s="7" t="s">
        <v>8946</v>
      </c>
      <c r="B134" s="7" t="s">
        <v>269</v>
      </c>
    </row>
    <row r="135" spans="1:2" hidden="1" x14ac:dyDescent="0.25">
      <c r="A135" s="7" t="s">
        <v>8595</v>
      </c>
      <c r="B135" s="7" t="s">
        <v>271</v>
      </c>
    </row>
    <row r="136" spans="1:2" hidden="1" x14ac:dyDescent="0.25">
      <c r="A136" s="7" t="s">
        <v>8270</v>
      </c>
      <c r="B136" s="7" t="s">
        <v>273</v>
      </c>
    </row>
    <row r="137" spans="1:2" hidden="1" x14ac:dyDescent="0.25">
      <c r="A137" s="7" t="s">
        <v>8267</v>
      </c>
      <c r="B137" s="7" t="s">
        <v>275</v>
      </c>
    </row>
    <row r="138" spans="1:2" hidden="1" x14ac:dyDescent="0.25">
      <c r="A138" s="7" t="s">
        <v>8924</v>
      </c>
      <c r="B138" s="7" t="s">
        <v>277</v>
      </c>
    </row>
    <row r="139" spans="1:2" hidden="1" x14ac:dyDescent="0.25">
      <c r="A139" s="7" t="s">
        <v>8276</v>
      </c>
      <c r="B139" s="7" t="s">
        <v>114</v>
      </c>
    </row>
    <row r="140" spans="1:2" hidden="1" x14ac:dyDescent="0.25">
      <c r="A140" s="7" t="s">
        <v>8559</v>
      </c>
      <c r="B140" s="7" t="s">
        <v>281</v>
      </c>
    </row>
    <row r="141" spans="1:2" hidden="1" x14ac:dyDescent="0.25">
      <c r="A141" s="7" t="s">
        <v>8932</v>
      </c>
      <c r="B141" s="7" t="s">
        <v>283</v>
      </c>
    </row>
    <row r="142" spans="1:2" hidden="1" x14ac:dyDescent="0.25">
      <c r="A142" s="7" t="s">
        <v>8961</v>
      </c>
      <c r="B142" s="7" t="s">
        <v>285</v>
      </c>
    </row>
    <row r="143" spans="1:2" hidden="1" x14ac:dyDescent="0.25">
      <c r="A143" s="7" t="s">
        <v>8773</v>
      </c>
      <c r="B143" s="7" t="s">
        <v>287</v>
      </c>
    </row>
    <row r="144" spans="1:2" hidden="1" x14ac:dyDescent="0.25">
      <c r="A144" s="7" t="s">
        <v>8492</v>
      </c>
      <c r="B144" s="7" t="s">
        <v>288</v>
      </c>
    </row>
    <row r="145" spans="1:2" hidden="1" x14ac:dyDescent="0.25">
      <c r="A145" s="7" t="s">
        <v>8721</v>
      </c>
      <c r="B145" s="7" t="s">
        <v>290</v>
      </c>
    </row>
    <row r="146" spans="1:2" hidden="1" x14ac:dyDescent="0.25">
      <c r="A146" s="7" t="s">
        <v>8376</v>
      </c>
      <c r="B146" s="7" t="s">
        <v>291</v>
      </c>
    </row>
    <row r="147" spans="1:2" hidden="1" x14ac:dyDescent="0.25">
      <c r="A147" s="7" t="s">
        <v>8832</v>
      </c>
      <c r="B147" s="7" t="s">
        <v>295</v>
      </c>
    </row>
    <row r="148" spans="1:2" hidden="1" x14ac:dyDescent="0.25">
      <c r="A148" s="7" t="s">
        <v>8393</v>
      </c>
      <c r="B148" s="7" t="s">
        <v>179</v>
      </c>
    </row>
    <row r="149" spans="1:2" hidden="1" x14ac:dyDescent="0.25">
      <c r="A149" s="7" t="s">
        <v>8445</v>
      </c>
      <c r="B149" s="7" t="s">
        <v>299</v>
      </c>
    </row>
    <row r="150" spans="1:2" hidden="1" x14ac:dyDescent="0.25">
      <c r="A150" s="7" t="s">
        <v>8877</v>
      </c>
      <c r="B150" s="7" t="s">
        <v>301</v>
      </c>
    </row>
    <row r="151" spans="1:2" hidden="1" x14ac:dyDescent="0.25">
      <c r="A151" s="7" t="s">
        <v>8594</v>
      </c>
      <c r="B151" s="7" t="s">
        <v>303</v>
      </c>
    </row>
    <row r="152" spans="1:2" hidden="1" x14ac:dyDescent="0.25">
      <c r="A152" s="7" t="s">
        <v>8561</v>
      </c>
      <c r="B152" s="7" t="s">
        <v>304</v>
      </c>
    </row>
    <row r="153" spans="1:2" hidden="1" x14ac:dyDescent="0.25">
      <c r="A153" s="7" t="s">
        <v>8390</v>
      </c>
      <c r="B153" s="7" t="s">
        <v>305</v>
      </c>
    </row>
    <row r="154" spans="1:2" hidden="1" x14ac:dyDescent="0.25">
      <c r="A154" s="7" t="s">
        <v>8829</v>
      </c>
      <c r="B154" s="7" t="s">
        <v>307</v>
      </c>
    </row>
    <row r="155" spans="1:2" hidden="1" x14ac:dyDescent="0.25">
      <c r="A155" s="7" t="s">
        <v>8315</v>
      </c>
      <c r="B155" s="7" t="s">
        <v>309</v>
      </c>
    </row>
    <row r="156" spans="1:2" hidden="1" x14ac:dyDescent="0.25">
      <c r="A156" s="7" t="s">
        <v>8922</v>
      </c>
      <c r="B156" s="7" t="s">
        <v>311</v>
      </c>
    </row>
    <row r="157" spans="1:2" hidden="1" x14ac:dyDescent="0.25">
      <c r="A157" s="7" t="s">
        <v>8703</v>
      </c>
      <c r="B157" s="7" t="s">
        <v>315</v>
      </c>
    </row>
    <row r="158" spans="1:2" hidden="1" x14ac:dyDescent="0.25">
      <c r="A158" s="7" t="s">
        <v>8405</v>
      </c>
      <c r="B158" s="7" t="s">
        <v>218</v>
      </c>
    </row>
    <row r="159" spans="1:2" hidden="1" x14ac:dyDescent="0.25">
      <c r="A159" s="7" t="s">
        <v>8949</v>
      </c>
      <c r="B159" s="7" t="s">
        <v>317</v>
      </c>
    </row>
    <row r="160" spans="1:2" hidden="1" x14ac:dyDescent="0.25">
      <c r="A160" s="7" t="s">
        <v>8882</v>
      </c>
      <c r="B160" s="7" t="s">
        <v>319</v>
      </c>
    </row>
    <row r="161" spans="1:2" hidden="1" x14ac:dyDescent="0.25">
      <c r="A161" s="7" t="s">
        <v>8986</v>
      </c>
      <c r="B161" s="7" t="s">
        <v>321</v>
      </c>
    </row>
    <row r="162" spans="1:2" hidden="1" x14ac:dyDescent="0.25">
      <c r="A162" s="7" t="s">
        <v>8934</v>
      </c>
      <c r="B162" s="7" t="s">
        <v>323</v>
      </c>
    </row>
    <row r="163" spans="1:2" hidden="1" x14ac:dyDescent="0.25">
      <c r="A163" s="7" t="s">
        <v>8508</v>
      </c>
      <c r="B163" s="7" t="s">
        <v>325</v>
      </c>
    </row>
    <row r="164" spans="1:2" hidden="1" x14ac:dyDescent="0.25">
      <c r="A164" s="7" t="s">
        <v>8689</v>
      </c>
      <c r="B164" s="7" t="s">
        <v>327</v>
      </c>
    </row>
    <row r="165" spans="1:2" hidden="1" x14ac:dyDescent="0.25">
      <c r="A165" s="7" t="s">
        <v>8786</v>
      </c>
      <c r="B165" s="7" t="s">
        <v>329</v>
      </c>
    </row>
    <row r="166" spans="1:2" hidden="1" x14ac:dyDescent="0.25">
      <c r="A166" s="7" t="s">
        <v>8503</v>
      </c>
      <c r="B166" s="7" t="s">
        <v>331</v>
      </c>
    </row>
    <row r="167" spans="1:2" hidden="1" x14ac:dyDescent="0.25">
      <c r="A167" s="7" t="s">
        <v>8984</v>
      </c>
      <c r="B167" s="7" t="s">
        <v>332</v>
      </c>
    </row>
    <row r="168" spans="1:2" hidden="1" x14ac:dyDescent="0.25">
      <c r="A168" s="7" t="s">
        <v>8690</v>
      </c>
      <c r="B168" s="7" t="s">
        <v>334</v>
      </c>
    </row>
    <row r="169" spans="1:2" hidden="1" x14ac:dyDescent="0.25">
      <c r="A169" s="7" t="s">
        <v>8954</v>
      </c>
      <c r="B169" s="7" t="s">
        <v>336</v>
      </c>
    </row>
    <row r="170" spans="1:2" hidden="1" x14ac:dyDescent="0.25">
      <c r="A170" s="7" t="s">
        <v>8855</v>
      </c>
      <c r="B170" s="7" t="s">
        <v>338</v>
      </c>
    </row>
    <row r="171" spans="1:2" hidden="1" x14ac:dyDescent="0.25">
      <c r="A171" s="7" t="s">
        <v>8973</v>
      </c>
      <c r="B171" s="7" t="s">
        <v>340</v>
      </c>
    </row>
    <row r="172" spans="1:2" hidden="1" x14ac:dyDescent="0.25">
      <c r="A172" s="7" t="s">
        <v>8753</v>
      </c>
      <c r="B172" s="7" t="s">
        <v>342</v>
      </c>
    </row>
    <row r="173" spans="1:2" hidden="1" x14ac:dyDescent="0.25">
      <c r="A173" s="7" t="s">
        <v>8686</v>
      </c>
      <c r="B173" s="7" t="s">
        <v>344</v>
      </c>
    </row>
    <row r="174" spans="1:2" hidden="1" x14ac:dyDescent="0.25">
      <c r="A174" s="7" t="s">
        <v>8514</v>
      </c>
      <c r="B174" s="7" t="s">
        <v>346</v>
      </c>
    </row>
    <row r="175" spans="1:2" hidden="1" x14ac:dyDescent="0.25">
      <c r="A175" s="7" t="s">
        <v>8893</v>
      </c>
      <c r="B175" s="7" t="s">
        <v>348</v>
      </c>
    </row>
    <row r="176" spans="1:2" hidden="1" x14ac:dyDescent="0.25">
      <c r="A176" s="7" t="s">
        <v>8498</v>
      </c>
      <c r="B176" s="7" t="s">
        <v>350</v>
      </c>
    </row>
    <row r="177" spans="1:2" hidden="1" x14ac:dyDescent="0.25">
      <c r="A177" s="7" t="s">
        <v>8485</v>
      </c>
      <c r="B177" s="7" t="s">
        <v>352</v>
      </c>
    </row>
    <row r="178" spans="1:2" hidden="1" x14ac:dyDescent="0.25">
      <c r="A178" s="7" t="s">
        <v>8916</v>
      </c>
      <c r="B178" s="7" t="s">
        <v>354</v>
      </c>
    </row>
    <row r="179" spans="1:2" hidden="1" x14ac:dyDescent="0.25">
      <c r="A179" s="7" t="s">
        <v>8317</v>
      </c>
      <c r="B179" s="7" t="s">
        <v>356</v>
      </c>
    </row>
    <row r="180" spans="1:2" hidden="1" x14ac:dyDescent="0.25">
      <c r="A180" s="7" t="s">
        <v>8501</v>
      </c>
      <c r="B180" s="7" t="s">
        <v>358</v>
      </c>
    </row>
    <row r="181" spans="1:2" hidden="1" x14ac:dyDescent="0.25">
      <c r="A181" s="7" t="s">
        <v>8817</v>
      </c>
      <c r="B181" s="7" t="s">
        <v>360</v>
      </c>
    </row>
    <row r="182" spans="1:2" hidden="1" x14ac:dyDescent="0.25">
      <c r="A182" s="7" t="s">
        <v>8636</v>
      </c>
      <c r="B182" s="7" t="s">
        <v>362</v>
      </c>
    </row>
    <row r="183" spans="1:2" hidden="1" x14ac:dyDescent="0.25">
      <c r="A183" s="7" t="s">
        <v>8589</v>
      </c>
      <c r="B183" s="7" t="s">
        <v>364</v>
      </c>
    </row>
    <row r="184" spans="1:2" hidden="1" x14ac:dyDescent="0.25">
      <c r="A184" s="7" t="s">
        <v>8645</v>
      </c>
      <c r="B184" s="7" t="s">
        <v>366</v>
      </c>
    </row>
    <row r="185" spans="1:2" hidden="1" x14ac:dyDescent="0.25">
      <c r="A185" s="7" t="s">
        <v>8580</v>
      </c>
      <c r="B185" s="7" t="s">
        <v>368</v>
      </c>
    </row>
    <row r="186" spans="1:2" hidden="1" x14ac:dyDescent="0.25">
      <c r="A186" s="7" t="s">
        <v>8698</v>
      </c>
      <c r="B186" s="7" t="s">
        <v>372</v>
      </c>
    </row>
    <row r="187" spans="1:2" hidden="1" x14ac:dyDescent="0.25">
      <c r="A187" s="7" t="s">
        <v>8552</v>
      </c>
      <c r="B187" s="7" t="s">
        <v>373</v>
      </c>
    </row>
    <row r="188" spans="1:2" hidden="1" x14ac:dyDescent="0.25">
      <c r="A188" s="7" t="s">
        <v>8898</v>
      </c>
      <c r="B188" s="7" t="s">
        <v>374</v>
      </c>
    </row>
    <row r="189" spans="1:2" hidden="1" x14ac:dyDescent="0.25">
      <c r="A189" s="7" t="s">
        <v>8541</v>
      </c>
      <c r="B189" s="7" t="s">
        <v>376</v>
      </c>
    </row>
    <row r="190" spans="1:2" hidden="1" x14ac:dyDescent="0.25">
      <c r="A190" s="7" t="s">
        <v>8778</v>
      </c>
      <c r="B190" s="7" t="s">
        <v>378</v>
      </c>
    </row>
    <row r="191" spans="1:2" hidden="1" x14ac:dyDescent="0.25">
      <c r="A191" s="7" t="s">
        <v>8646</v>
      </c>
      <c r="B191" s="7" t="s">
        <v>380</v>
      </c>
    </row>
    <row r="192" spans="1:2" hidden="1" x14ac:dyDescent="0.25">
      <c r="A192" s="7" t="s">
        <v>8394</v>
      </c>
      <c r="B192" s="7" t="s">
        <v>381</v>
      </c>
    </row>
    <row r="193" spans="1:2" hidden="1" x14ac:dyDescent="0.25">
      <c r="A193" s="7" t="s">
        <v>8312</v>
      </c>
      <c r="B193" s="7" t="s">
        <v>383</v>
      </c>
    </row>
    <row r="194" spans="1:2" hidden="1" x14ac:dyDescent="0.25">
      <c r="A194" s="7" t="s">
        <v>8409</v>
      </c>
      <c r="B194" s="7" t="s">
        <v>250</v>
      </c>
    </row>
    <row r="195" spans="1:2" hidden="1" x14ac:dyDescent="0.25">
      <c r="A195" s="7" t="s">
        <v>8642</v>
      </c>
      <c r="B195" s="7" t="s">
        <v>387</v>
      </c>
    </row>
    <row r="196" spans="1:2" hidden="1" x14ac:dyDescent="0.25">
      <c r="A196" s="7" t="s">
        <v>8818</v>
      </c>
      <c r="B196" s="7" t="s">
        <v>389</v>
      </c>
    </row>
    <row r="197" spans="1:2" hidden="1" x14ac:dyDescent="0.25">
      <c r="A197" s="7" t="s">
        <v>8316</v>
      </c>
      <c r="B197" s="7" t="s">
        <v>391</v>
      </c>
    </row>
    <row r="198" spans="1:2" hidden="1" x14ac:dyDescent="0.25">
      <c r="A198" s="7" t="s">
        <v>8253</v>
      </c>
      <c r="B198" s="7" t="s">
        <v>393</v>
      </c>
    </row>
    <row r="199" spans="1:2" hidden="1" x14ac:dyDescent="0.25">
      <c r="A199" s="7" t="s">
        <v>8923</v>
      </c>
      <c r="B199" s="7" t="s">
        <v>395</v>
      </c>
    </row>
    <row r="200" spans="1:2" hidden="1" x14ac:dyDescent="0.25">
      <c r="A200" s="7" t="s">
        <v>8400</v>
      </c>
      <c r="B200" s="7" t="s">
        <v>397</v>
      </c>
    </row>
    <row r="201" spans="1:2" hidden="1" x14ac:dyDescent="0.25">
      <c r="A201" s="7" t="s">
        <v>8205</v>
      </c>
      <c r="B201" s="7" t="s">
        <v>399</v>
      </c>
    </row>
    <row r="202" spans="1:2" hidden="1" x14ac:dyDescent="0.25">
      <c r="A202" s="7" t="s">
        <v>8248</v>
      </c>
      <c r="B202" s="7" t="s">
        <v>401</v>
      </c>
    </row>
    <row r="203" spans="1:2" hidden="1" x14ac:dyDescent="0.25">
      <c r="A203" s="7" t="s">
        <v>8287</v>
      </c>
      <c r="B203" s="7" t="s">
        <v>403</v>
      </c>
    </row>
    <row r="204" spans="1:2" hidden="1" x14ac:dyDescent="0.25">
      <c r="A204" s="7" t="s">
        <v>8236</v>
      </c>
      <c r="B204" s="7" t="s">
        <v>404</v>
      </c>
    </row>
    <row r="205" spans="1:2" hidden="1" x14ac:dyDescent="0.25">
      <c r="A205" s="7" t="s">
        <v>8367</v>
      </c>
      <c r="B205" s="7" t="s">
        <v>405</v>
      </c>
    </row>
    <row r="206" spans="1:2" hidden="1" x14ac:dyDescent="0.25">
      <c r="A206" s="7" t="s">
        <v>8772</v>
      </c>
      <c r="B206" s="7" t="s">
        <v>407</v>
      </c>
    </row>
    <row r="207" spans="1:2" hidden="1" x14ac:dyDescent="0.25">
      <c r="A207" s="7" t="s">
        <v>8810</v>
      </c>
      <c r="B207" s="7" t="s">
        <v>409</v>
      </c>
    </row>
    <row r="208" spans="1:2" hidden="1" x14ac:dyDescent="0.25">
      <c r="A208" s="7" t="s">
        <v>8881</v>
      </c>
      <c r="B208" s="7" t="s">
        <v>411</v>
      </c>
    </row>
    <row r="209" spans="1:2" hidden="1" x14ac:dyDescent="0.25">
      <c r="A209" s="7" t="s">
        <v>8974</v>
      </c>
      <c r="B209" s="7" t="s">
        <v>413</v>
      </c>
    </row>
    <row r="210" spans="1:2" hidden="1" x14ac:dyDescent="0.25">
      <c r="A210" s="7" t="s">
        <v>8983</v>
      </c>
      <c r="B210" s="7" t="s">
        <v>415</v>
      </c>
    </row>
    <row r="211" spans="1:2" hidden="1" x14ac:dyDescent="0.25">
      <c r="A211" s="7" t="s">
        <v>8511</v>
      </c>
      <c r="B211" s="7" t="s">
        <v>417</v>
      </c>
    </row>
    <row r="212" spans="1:2" hidden="1" x14ac:dyDescent="0.25">
      <c r="A212" s="7" t="s">
        <v>8550</v>
      </c>
      <c r="B212" s="7" t="s">
        <v>419</v>
      </c>
    </row>
    <row r="213" spans="1:2" hidden="1" x14ac:dyDescent="0.25">
      <c r="A213" s="7" t="s">
        <v>8900</v>
      </c>
      <c r="B213" s="7" t="s">
        <v>421</v>
      </c>
    </row>
    <row r="214" spans="1:2" hidden="1" x14ac:dyDescent="0.25">
      <c r="A214" s="7" t="s">
        <v>8670</v>
      </c>
      <c r="B214" s="7" t="s">
        <v>423</v>
      </c>
    </row>
    <row r="215" spans="1:2" hidden="1" x14ac:dyDescent="0.25">
      <c r="A215" s="7" t="s">
        <v>8718</v>
      </c>
      <c r="B215" s="7" t="s">
        <v>425</v>
      </c>
    </row>
    <row r="216" spans="1:2" hidden="1" x14ac:dyDescent="0.25">
      <c r="A216" s="7" t="s">
        <v>8794</v>
      </c>
      <c r="B216" s="7" t="s">
        <v>427</v>
      </c>
    </row>
    <row r="217" spans="1:2" hidden="1" x14ac:dyDescent="0.25">
      <c r="A217" s="7" t="s">
        <v>8849</v>
      </c>
      <c r="B217" s="7" t="s">
        <v>429</v>
      </c>
    </row>
    <row r="218" spans="1:2" hidden="1" x14ac:dyDescent="0.25">
      <c r="A218" s="7" t="s">
        <v>8437</v>
      </c>
      <c r="B218" s="7" t="s">
        <v>370</v>
      </c>
    </row>
    <row r="219" spans="1:2" hidden="1" x14ac:dyDescent="0.25">
      <c r="A219" s="7" t="s">
        <v>8823</v>
      </c>
      <c r="B219" s="7" t="s">
        <v>435</v>
      </c>
    </row>
    <row r="220" spans="1:2" hidden="1" x14ac:dyDescent="0.25">
      <c r="A220" s="7" t="s">
        <v>8769</v>
      </c>
      <c r="B220" s="7" t="s">
        <v>437</v>
      </c>
    </row>
    <row r="221" spans="1:2" hidden="1" x14ac:dyDescent="0.25">
      <c r="A221" s="7" t="s">
        <v>8375</v>
      </c>
      <c r="B221" s="7" t="s">
        <v>439</v>
      </c>
    </row>
    <row r="222" spans="1:2" hidden="1" x14ac:dyDescent="0.25">
      <c r="A222" s="7" t="s">
        <v>8265</v>
      </c>
      <c r="B222" s="7" t="s">
        <v>441</v>
      </c>
    </row>
    <row r="223" spans="1:2" hidden="1" x14ac:dyDescent="0.25">
      <c r="A223" s="7" t="s">
        <v>8288</v>
      </c>
      <c r="B223" s="7" t="s">
        <v>443</v>
      </c>
    </row>
    <row r="224" spans="1:2" hidden="1" x14ac:dyDescent="0.25">
      <c r="A224" s="7" t="s">
        <v>8584</v>
      </c>
      <c r="B224" s="7" t="s">
        <v>445</v>
      </c>
    </row>
    <row r="225" spans="1:2" hidden="1" x14ac:dyDescent="0.25">
      <c r="A225" s="7" t="s">
        <v>8491</v>
      </c>
      <c r="B225" s="7" t="s">
        <v>462</v>
      </c>
    </row>
    <row r="226" spans="1:2" hidden="1" x14ac:dyDescent="0.25">
      <c r="A226" s="7" t="s">
        <v>8495</v>
      </c>
      <c r="B226" s="7" t="s">
        <v>128</v>
      </c>
    </row>
    <row r="227" spans="1:2" hidden="1" x14ac:dyDescent="0.25">
      <c r="A227" s="7" t="s">
        <v>8469</v>
      </c>
      <c r="B227" s="7" t="s">
        <v>449</v>
      </c>
    </row>
    <row r="228" spans="1:2" hidden="1" x14ac:dyDescent="0.25">
      <c r="A228" s="7" t="s">
        <v>8841</v>
      </c>
      <c r="B228" s="7" t="s">
        <v>451</v>
      </c>
    </row>
    <row r="229" spans="1:2" hidden="1" x14ac:dyDescent="0.25">
      <c r="A229" s="7" t="s">
        <v>8806</v>
      </c>
      <c r="B229" s="7" t="s">
        <v>454</v>
      </c>
    </row>
    <row r="230" spans="1:2" hidden="1" x14ac:dyDescent="0.25">
      <c r="A230" s="7" t="s">
        <v>8713</v>
      </c>
      <c r="B230" s="7" t="s">
        <v>456</v>
      </c>
    </row>
    <row r="231" spans="1:2" hidden="1" x14ac:dyDescent="0.25">
      <c r="A231" s="7" t="s">
        <v>8665</v>
      </c>
      <c r="B231" s="7" t="s">
        <v>458</v>
      </c>
    </row>
    <row r="232" spans="1:2" hidden="1" x14ac:dyDescent="0.25">
      <c r="A232" s="7" t="s">
        <v>8342</v>
      </c>
      <c r="B232" s="7" t="s">
        <v>460</v>
      </c>
    </row>
    <row r="233" spans="1:2" hidden="1" x14ac:dyDescent="0.25">
      <c r="A233" s="7" t="s">
        <v>8523</v>
      </c>
      <c r="B233" s="7" t="s">
        <v>316</v>
      </c>
    </row>
    <row r="234" spans="1:2" hidden="1" x14ac:dyDescent="0.25">
      <c r="A234" s="7" t="s">
        <v>8591</v>
      </c>
      <c r="B234" s="7" t="s">
        <v>119</v>
      </c>
    </row>
    <row r="235" spans="1:2" hidden="1" x14ac:dyDescent="0.25">
      <c r="A235" s="7" t="s">
        <v>8657</v>
      </c>
      <c r="B235" s="7" t="s">
        <v>516</v>
      </c>
    </row>
    <row r="236" spans="1:2" hidden="1" x14ac:dyDescent="0.25">
      <c r="A236" s="7" t="s">
        <v>8347</v>
      </c>
      <c r="B236" s="7" t="s">
        <v>468</v>
      </c>
    </row>
    <row r="237" spans="1:2" hidden="1" x14ac:dyDescent="0.25">
      <c r="A237" s="7" t="s">
        <v>8257</v>
      </c>
      <c r="B237" s="7" t="s">
        <v>470</v>
      </c>
    </row>
    <row r="238" spans="1:2" hidden="1" x14ac:dyDescent="0.25">
      <c r="A238" s="7" t="s">
        <v>8807</v>
      </c>
      <c r="B238" s="7" t="s">
        <v>472</v>
      </c>
    </row>
    <row r="239" spans="1:2" hidden="1" x14ac:dyDescent="0.25">
      <c r="A239" s="7" t="s">
        <v>8661</v>
      </c>
      <c r="B239" s="7" t="s">
        <v>950</v>
      </c>
    </row>
    <row r="240" spans="1:2" hidden="1" x14ac:dyDescent="0.25">
      <c r="A240" s="7" t="s">
        <v>8662</v>
      </c>
      <c r="B240" s="7" t="s">
        <v>265</v>
      </c>
    </row>
    <row r="241" spans="1:2" hidden="1" x14ac:dyDescent="0.25">
      <c r="A241" s="7" t="s">
        <v>8383</v>
      </c>
      <c r="B241" s="7" t="s">
        <v>474</v>
      </c>
    </row>
    <row r="242" spans="1:2" hidden="1" x14ac:dyDescent="0.25">
      <c r="A242" s="7" t="s">
        <v>8947</v>
      </c>
      <c r="B242" s="7" t="s">
        <v>476</v>
      </c>
    </row>
    <row r="243" spans="1:2" hidden="1" x14ac:dyDescent="0.25">
      <c r="A243" s="7" t="s">
        <v>8415</v>
      </c>
      <c r="B243" s="7" t="s">
        <v>478</v>
      </c>
    </row>
    <row r="244" spans="1:2" hidden="1" x14ac:dyDescent="0.25">
      <c r="A244" s="7" t="s">
        <v>8507</v>
      </c>
      <c r="B244" s="7" t="s">
        <v>480</v>
      </c>
    </row>
    <row r="245" spans="1:2" hidden="1" x14ac:dyDescent="0.25">
      <c r="A245" s="7" t="s">
        <v>8637</v>
      </c>
      <c r="B245" s="7" t="s">
        <v>482</v>
      </c>
    </row>
    <row r="246" spans="1:2" hidden="1" x14ac:dyDescent="0.25">
      <c r="A246" s="7" t="s">
        <v>8481</v>
      </c>
      <c r="B246" s="7" t="s">
        <v>484</v>
      </c>
    </row>
    <row r="247" spans="1:2" hidden="1" x14ac:dyDescent="0.25">
      <c r="A247" s="7" t="s">
        <v>8399</v>
      </c>
      <c r="B247" s="7" t="s">
        <v>486</v>
      </c>
    </row>
    <row r="248" spans="1:2" hidden="1" x14ac:dyDescent="0.25">
      <c r="A248" s="7" t="s">
        <v>8711</v>
      </c>
      <c r="B248" s="7" t="s">
        <v>488</v>
      </c>
    </row>
    <row r="249" spans="1:2" hidden="1" x14ac:dyDescent="0.25">
      <c r="A249" s="7" t="s">
        <v>8747</v>
      </c>
      <c r="B249" s="7" t="s">
        <v>490</v>
      </c>
    </row>
    <row r="250" spans="1:2" hidden="1" x14ac:dyDescent="0.25">
      <c r="A250" s="7" t="s">
        <v>8664</v>
      </c>
      <c r="B250" s="7" t="s">
        <v>385</v>
      </c>
    </row>
    <row r="251" spans="1:2" hidden="1" x14ac:dyDescent="0.25">
      <c r="A251" s="7" t="s">
        <v>8242</v>
      </c>
      <c r="B251" s="7" t="s">
        <v>494</v>
      </c>
    </row>
    <row r="252" spans="1:2" hidden="1" x14ac:dyDescent="0.25">
      <c r="A252" s="7" t="s">
        <v>8919</v>
      </c>
      <c r="B252" s="7" t="s">
        <v>496</v>
      </c>
    </row>
    <row r="253" spans="1:2" hidden="1" x14ac:dyDescent="0.25">
      <c r="A253" s="7" t="s">
        <v>8813</v>
      </c>
      <c r="B253" s="7" t="s">
        <v>498</v>
      </c>
    </row>
    <row r="254" spans="1:2" hidden="1" x14ac:dyDescent="0.25">
      <c r="A254" s="7" t="s">
        <v>8746</v>
      </c>
      <c r="B254" s="7" t="s">
        <v>500</v>
      </c>
    </row>
    <row r="255" spans="1:2" hidden="1" x14ac:dyDescent="0.25">
      <c r="A255" s="7" t="s">
        <v>8892</v>
      </c>
      <c r="B255" s="7" t="s">
        <v>502</v>
      </c>
    </row>
    <row r="256" spans="1:2" hidden="1" x14ac:dyDescent="0.25">
      <c r="A256" s="7" t="s">
        <v>8911</v>
      </c>
      <c r="B256" s="7" t="s">
        <v>504</v>
      </c>
    </row>
    <row r="257" spans="1:2" hidden="1" x14ac:dyDescent="0.25">
      <c r="A257" s="7" t="s">
        <v>8529</v>
      </c>
      <c r="B257" s="7" t="s">
        <v>506</v>
      </c>
    </row>
    <row r="258" spans="1:2" hidden="1" x14ac:dyDescent="0.25">
      <c r="A258" s="7" t="s">
        <v>8729</v>
      </c>
      <c r="B258" s="7" t="s">
        <v>508</v>
      </c>
    </row>
    <row r="259" spans="1:2" hidden="1" x14ac:dyDescent="0.25">
      <c r="A259" s="7" t="s">
        <v>8834</v>
      </c>
      <c r="B259" s="7" t="s">
        <v>510</v>
      </c>
    </row>
    <row r="260" spans="1:2" hidden="1" x14ac:dyDescent="0.25">
      <c r="A260" s="7" t="s">
        <v>8904</v>
      </c>
      <c r="B260" s="7" t="s">
        <v>512</v>
      </c>
    </row>
    <row r="261" spans="1:2" hidden="1" x14ac:dyDescent="0.25">
      <c r="A261" s="7" t="s">
        <v>8715</v>
      </c>
      <c r="B261" s="7" t="s">
        <v>210</v>
      </c>
    </row>
    <row r="262" spans="1:2" hidden="1" x14ac:dyDescent="0.25">
      <c r="A262" s="7" t="s">
        <v>8740</v>
      </c>
      <c r="B262" s="7" t="s">
        <v>313</v>
      </c>
    </row>
    <row r="263" spans="1:2" hidden="1" x14ac:dyDescent="0.25">
      <c r="A263" s="7" t="s">
        <v>8958</v>
      </c>
      <c r="B263" s="7" t="s">
        <v>518</v>
      </c>
    </row>
    <row r="264" spans="1:2" hidden="1" x14ac:dyDescent="0.25">
      <c r="A264" s="7" t="s">
        <v>8777</v>
      </c>
      <c r="B264" s="7" t="s">
        <v>520</v>
      </c>
    </row>
    <row r="265" spans="1:2" hidden="1" x14ac:dyDescent="0.25">
      <c r="A265" s="7" t="s">
        <v>8681</v>
      </c>
      <c r="B265" s="7" t="s">
        <v>522</v>
      </c>
    </row>
    <row r="266" spans="1:2" hidden="1" x14ac:dyDescent="0.25">
      <c r="A266" s="7" t="s">
        <v>8354</v>
      </c>
      <c r="B266" s="7" t="s">
        <v>524</v>
      </c>
    </row>
    <row r="267" spans="1:2" hidden="1" x14ac:dyDescent="0.25">
      <c r="A267" s="7" t="s">
        <v>8593</v>
      </c>
      <c r="B267" s="7" t="s">
        <v>526</v>
      </c>
    </row>
    <row r="268" spans="1:2" hidden="1" x14ac:dyDescent="0.25">
      <c r="A268" s="7" t="s">
        <v>8906</v>
      </c>
      <c r="B268" s="7" t="s">
        <v>528</v>
      </c>
    </row>
    <row r="269" spans="1:2" hidden="1" x14ac:dyDescent="0.25">
      <c r="A269" s="7" t="s">
        <v>8327</v>
      </c>
      <c r="B269" s="7" t="s">
        <v>530</v>
      </c>
    </row>
    <row r="270" spans="1:2" hidden="1" x14ac:dyDescent="0.25">
      <c r="A270" s="7" t="s">
        <v>8407</v>
      </c>
      <c r="B270" s="7" t="s">
        <v>532</v>
      </c>
    </row>
    <row r="271" spans="1:2" hidden="1" x14ac:dyDescent="0.25">
      <c r="A271" s="7" t="s">
        <v>8444</v>
      </c>
      <c r="B271" s="7" t="s">
        <v>534</v>
      </c>
    </row>
    <row r="272" spans="1:2" hidden="1" x14ac:dyDescent="0.25">
      <c r="A272" s="7" t="s">
        <v>8622</v>
      </c>
      <c r="B272" s="7" t="s">
        <v>536</v>
      </c>
    </row>
    <row r="273" spans="1:2" hidden="1" x14ac:dyDescent="0.25">
      <c r="A273" s="7" t="s">
        <v>8539</v>
      </c>
      <c r="B273" s="7" t="s">
        <v>538</v>
      </c>
    </row>
    <row r="274" spans="1:2" hidden="1" x14ac:dyDescent="0.25">
      <c r="A274" s="7" t="s">
        <v>8208</v>
      </c>
      <c r="B274" s="7" t="s">
        <v>540</v>
      </c>
    </row>
    <row r="275" spans="1:2" hidden="1" x14ac:dyDescent="0.25">
      <c r="A275" s="7" t="s">
        <v>8626</v>
      </c>
      <c r="B275" s="7" t="s">
        <v>542</v>
      </c>
    </row>
    <row r="276" spans="1:2" hidden="1" x14ac:dyDescent="0.25">
      <c r="A276" s="7" t="s">
        <v>8218</v>
      </c>
      <c r="B276" s="7" t="s">
        <v>544</v>
      </c>
    </row>
    <row r="277" spans="1:2" hidden="1" x14ac:dyDescent="0.25">
      <c r="A277" s="7" t="s">
        <v>8235</v>
      </c>
      <c r="B277" s="7" t="s">
        <v>546</v>
      </c>
    </row>
    <row r="278" spans="1:2" hidden="1" x14ac:dyDescent="0.25">
      <c r="A278" s="7" t="s">
        <v>8463</v>
      </c>
      <c r="B278" s="7" t="s">
        <v>548</v>
      </c>
    </row>
    <row r="279" spans="1:2" hidden="1" x14ac:dyDescent="0.25">
      <c r="A279" s="7" t="s">
        <v>8653</v>
      </c>
      <c r="B279" s="7" t="s">
        <v>550</v>
      </c>
    </row>
    <row r="280" spans="1:2" hidden="1" x14ac:dyDescent="0.25">
      <c r="A280" s="7" t="s">
        <v>8310</v>
      </c>
      <c r="B280" s="7" t="s">
        <v>552</v>
      </c>
    </row>
    <row r="281" spans="1:2" hidden="1" x14ac:dyDescent="0.25">
      <c r="A281" s="7" t="s">
        <v>8957</v>
      </c>
      <c r="B281" s="7" t="s">
        <v>554</v>
      </c>
    </row>
    <row r="282" spans="1:2" hidden="1" x14ac:dyDescent="0.25">
      <c r="A282" s="7" t="s">
        <v>8706</v>
      </c>
      <c r="B282" s="7" t="s">
        <v>556</v>
      </c>
    </row>
    <row r="283" spans="1:2" hidden="1" x14ac:dyDescent="0.25">
      <c r="A283" s="7" t="s">
        <v>8599</v>
      </c>
      <c r="B283" s="7" t="s">
        <v>558</v>
      </c>
    </row>
    <row r="284" spans="1:2" hidden="1" x14ac:dyDescent="0.25">
      <c r="A284" s="7" t="s">
        <v>8745</v>
      </c>
      <c r="B284" s="7" t="s">
        <v>166</v>
      </c>
    </row>
    <row r="285" spans="1:2" hidden="1" x14ac:dyDescent="0.25">
      <c r="A285" s="7" t="s">
        <v>8749</v>
      </c>
      <c r="B285" s="7" t="s">
        <v>492</v>
      </c>
    </row>
    <row r="286" spans="1:2" hidden="1" x14ac:dyDescent="0.25">
      <c r="A286" s="7" t="s">
        <v>8391</v>
      </c>
      <c r="B286" s="7" t="s">
        <v>560</v>
      </c>
    </row>
    <row r="287" spans="1:2" hidden="1" x14ac:dyDescent="0.25">
      <c r="A287" s="7" t="s">
        <v>8574</v>
      </c>
      <c r="B287" s="7" t="s">
        <v>562</v>
      </c>
    </row>
    <row r="288" spans="1:2" hidden="1" x14ac:dyDescent="0.25">
      <c r="A288" s="7" t="s">
        <v>8596</v>
      </c>
      <c r="B288" s="7" t="s">
        <v>564</v>
      </c>
    </row>
    <row r="289" spans="1:2" hidden="1" x14ac:dyDescent="0.25">
      <c r="A289" s="7" t="s">
        <v>8506</v>
      </c>
      <c r="B289" s="7" t="s">
        <v>566</v>
      </c>
    </row>
    <row r="290" spans="1:2" hidden="1" x14ac:dyDescent="0.25">
      <c r="A290" s="7" t="s">
        <v>8442</v>
      </c>
      <c r="B290" s="7" t="s">
        <v>568</v>
      </c>
    </row>
    <row r="291" spans="1:2" hidden="1" x14ac:dyDescent="0.25">
      <c r="A291" s="7" t="s">
        <v>8331</v>
      </c>
      <c r="B291" s="7" t="s">
        <v>570</v>
      </c>
    </row>
    <row r="292" spans="1:2" hidden="1" x14ac:dyDescent="0.25">
      <c r="A292" s="7" t="s">
        <v>8309</v>
      </c>
      <c r="B292" s="7" t="s">
        <v>572</v>
      </c>
    </row>
    <row r="293" spans="1:2" hidden="1" x14ac:dyDescent="0.25">
      <c r="A293" s="7" t="s">
        <v>8471</v>
      </c>
      <c r="B293" s="7" t="s">
        <v>574</v>
      </c>
    </row>
    <row r="294" spans="1:2" hidden="1" x14ac:dyDescent="0.25">
      <c r="A294" s="7" t="s">
        <v>8443</v>
      </c>
      <c r="B294" s="7" t="s">
        <v>576</v>
      </c>
    </row>
    <row r="295" spans="1:2" hidden="1" x14ac:dyDescent="0.25">
      <c r="A295" s="7" t="s">
        <v>8366</v>
      </c>
      <c r="B295" s="7" t="s">
        <v>578</v>
      </c>
    </row>
    <row r="296" spans="1:2" hidden="1" x14ac:dyDescent="0.25">
      <c r="A296" s="7" t="s">
        <v>8479</v>
      </c>
      <c r="B296" s="7" t="s">
        <v>580</v>
      </c>
    </row>
    <row r="297" spans="1:2" hidden="1" x14ac:dyDescent="0.25">
      <c r="A297" s="7" t="s">
        <v>8603</v>
      </c>
      <c r="B297" s="7" t="s">
        <v>582</v>
      </c>
    </row>
    <row r="298" spans="1:2" hidden="1" x14ac:dyDescent="0.25">
      <c r="A298" s="7" t="s">
        <v>8884</v>
      </c>
      <c r="B298" s="7" t="s">
        <v>584</v>
      </c>
    </row>
    <row r="299" spans="1:2" hidden="1" x14ac:dyDescent="0.25">
      <c r="A299" s="7" t="s">
        <v>8935</v>
      </c>
      <c r="B299" s="7" t="s">
        <v>586</v>
      </c>
    </row>
    <row r="300" spans="1:2" hidden="1" x14ac:dyDescent="0.25">
      <c r="A300" s="7" t="s">
        <v>8795</v>
      </c>
      <c r="B300" s="7" t="s">
        <v>588</v>
      </c>
    </row>
    <row r="301" spans="1:2" hidden="1" x14ac:dyDescent="0.25">
      <c r="A301" s="7" t="s">
        <v>8887</v>
      </c>
      <c r="B301" s="7" t="s">
        <v>590</v>
      </c>
    </row>
    <row r="302" spans="1:2" hidden="1" x14ac:dyDescent="0.25">
      <c r="A302" s="7" t="s">
        <v>8641</v>
      </c>
      <c r="B302" s="7" t="s">
        <v>592</v>
      </c>
    </row>
    <row r="303" spans="1:2" hidden="1" x14ac:dyDescent="0.25">
      <c r="A303" s="7" t="s">
        <v>8962</v>
      </c>
      <c r="B303" s="7" t="s">
        <v>594</v>
      </c>
    </row>
    <row r="304" spans="1:2" hidden="1" x14ac:dyDescent="0.25">
      <c r="A304" s="7" t="s">
        <v>8971</v>
      </c>
      <c r="B304" s="7" t="s">
        <v>596</v>
      </c>
    </row>
    <row r="305" spans="1:2" hidden="1" x14ac:dyDescent="0.25">
      <c r="A305" s="7" t="s">
        <v>8266</v>
      </c>
      <c r="B305" s="7" t="s">
        <v>598</v>
      </c>
    </row>
    <row r="306" spans="1:2" hidden="1" x14ac:dyDescent="0.25">
      <c r="A306" s="7" t="s">
        <v>8420</v>
      </c>
      <c r="B306" s="7" t="s">
        <v>600</v>
      </c>
    </row>
    <row r="307" spans="1:2" hidden="1" x14ac:dyDescent="0.25">
      <c r="A307" s="7" t="s">
        <v>8231</v>
      </c>
      <c r="B307" s="7" t="s">
        <v>602</v>
      </c>
    </row>
    <row r="308" spans="1:2" hidden="1" x14ac:dyDescent="0.25">
      <c r="A308" s="7" t="s">
        <v>8602</v>
      </c>
      <c r="B308" s="7" t="s">
        <v>604</v>
      </c>
    </row>
    <row r="309" spans="1:2" hidden="1" x14ac:dyDescent="0.25">
      <c r="A309" s="7" t="s">
        <v>8979</v>
      </c>
      <c r="B309" s="7" t="s">
        <v>606</v>
      </c>
    </row>
    <row r="310" spans="1:2" hidden="1" x14ac:dyDescent="0.25">
      <c r="A310" s="7" t="s">
        <v>8349</v>
      </c>
      <c r="B310" s="7" t="s">
        <v>608</v>
      </c>
    </row>
    <row r="311" spans="1:2" hidden="1" x14ac:dyDescent="0.25">
      <c r="A311" s="7" t="s">
        <v>8563</v>
      </c>
      <c r="B311" s="7" t="s">
        <v>610</v>
      </c>
    </row>
    <row r="312" spans="1:2" hidden="1" x14ac:dyDescent="0.25">
      <c r="A312" s="7" t="s">
        <v>8683</v>
      </c>
      <c r="B312" s="7" t="s">
        <v>612</v>
      </c>
    </row>
    <row r="313" spans="1:2" hidden="1" x14ac:dyDescent="0.25">
      <c r="A313" s="7" t="s">
        <v>8976</v>
      </c>
      <c r="B313" s="7" t="s">
        <v>614</v>
      </c>
    </row>
    <row r="314" spans="1:2" hidden="1" x14ac:dyDescent="0.25">
      <c r="A314" s="7" t="s">
        <v>8521</v>
      </c>
      <c r="B314" s="7" t="s">
        <v>616</v>
      </c>
    </row>
    <row r="315" spans="1:2" hidden="1" x14ac:dyDescent="0.25">
      <c r="A315" s="7" t="s">
        <v>8785</v>
      </c>
      <c r="B315" s="7" t="s">
        <v>618</v>
      </c>
    </row>
    <row r="316" spans="1:2" hidden="1" x14ac:dyDescent="0.25">
      <c r="A316" s="7" t="s">
        <v>8211</v>
      </c>
      <c r="B316" s="7" t="s">
        <v>620</v>
      </c>
    </row>
    <row r="317" spans="1:2" hidden="1" x14ac:dyDescent="0.25">
      <c r="A317" s="7" t="s">
        <v>8728</v>
      </c>
      <c r="B317" s="7" t="s">
        <v>622</v>
      </c>
    </row>
    <row r="318" spans="1:2" hidden="1" x14ac:dyDescent="0.25">
      <c r="A318" s="7" t="s">
        <v>8385</v>
      </c>
      <c r="B318" s="7" t="s">
        <v>624</v>
      </c>
    </row>
    <row r="319" spans="1:2" hidden="1" x14ac:dyDescent="0.25">
      <c r="A319" s="7" t="s">
        <v>8579</v>
      </c>
      <c r="B319" s="7" t="s">
        <v>626</v>
      </c>
    </row>
    <row r="320" spans="1:2" hidden="1" x14ac:dyDescent="0.25">
      <c r="A320" s="7" t="s">
        <v>8457</v>
      </c>
      <c r="B320" s="7" t="s">
        <v>628</v>
      </c>
    </row>
    <row r="321" spans="1:2" hidden="1" x14ac:dyDescent="0.25">
      <c r="A321" s="7" t="s">
        <v>8522</v>
      </c>
      <c r="B321" s="7" t="s">
        <v>630</v>
      </c>
    </row>
    <row r="322" spans="1:2" hidden="1" x14ac:dyDescent="0.25">
      <c r="A322" s="7" t="s">
        <v>8610</v>
      </c>
      <c r="B322" s="7" t="s">
        <v>632</v>
      </c>
    </row>
    <row r="323" spans="1:2" hidden="1" x14ac:dyDescent="0.25">
      <c r="A323" s="7" t="s">
        <v>8606</v>
      </c>
      <c r="B323" s="7" t="s">
        <v>634</v>
      </c>
    </row>
    <row r="324" spans="1:2" hidden="1" x14ac:dyDescent="0.25">
      <c r="A324" s="7" t="s">
        <v>8965</v>
      </c>
      <c r="B324" s="7" t="s">
        <v>636</v>
      </c>
    </row>
    <row r="325" spans="1:2" hidden="1" x14ac:dyDescent="0.25">
      <c r="A325" s="7" t="s">
        <v>8896</v>
      </c>
      <c r="B325" s="7" t="s">
        <v>638</v>
      </c>
    </row>
    <row r="326" spans="1:2" hidden="1" x14ac:dyDescent="0.25">
      <c r="A326" s="7" t="s">
        <v>8607</v>
      </c>
      <c r="B326" s="7" t="s">
        <v>640</v>
      </c>
    </row>
    <row r="327" spans="1:2" hidden="1" x14ac:dyDescent="0.25">
      <c r="A327" s="7" t="s">
        <v>8894</v>
      </c>
      <c r="B327" s="7" t="s">
        <v>642</v>
      </c>
    </row>
    <row r="328" spans="1:2" hidden="1" x14ac:dyDescent="0.25">
      <c r="A328" s="7" t="s">
        <v>8695</v>
      </c>
      <c r="B328" s="7" t="s">
        <v>644</v>
      </c>
    </row>
    <row r="329" spans="1:2" hidden="1" x14ac:dyDescent="0.25">
      <c r="A329" s="7" t="s">
        <v>8933</v>
      </c>
      <c r="B329" s="7" t="s">
        <v>646</v>
      </c>
    </row>
    <row r="330" spans="1:2" hidden="1" x14ac:dyDescent="0.25">
      <c r="A330" s="7" t="s">
        <v>8269</v>
      </c>
      <c r="B330" s="7" t="s">
        <v>648</v>
      </c>
    </row>
    <row r="331" spans="1:2" hidden="1" x14ac:dyDescent="0.25">
      <c r="A331" s="7" t="s">
        <v>8864</v>
      </c>
      <c r="B331" s="7" t="s">
        <v>650</v>
      </c>
    </row>
    <row r="332" spans="1:2" hidden="1" x14ac:dyDescent="0.25">
      <c r="A332" s="7" t="s">
        <v>8968</v>
      </c>
      <c r="B332" s="7" t="s">
        <v>652</v>
      </c>
    </row>
    <row r="333" spans="1:2" hidden="1" x14ac:dyDescent="0.25">
      <c r="A333" s="7" t="s">
        <v>8675</v>
      </c>
      <c r="B333" s="7" t="s">
        <v>654</v>
      </c>
    </row>
    <row r="334" spans="1:2" hidden="1" x14ac:dyDescent="0.25">
      <c r="A334" s="7" t="s">
        <v>8840</v>
      </c>
      <c r="B334" s="7" t="s">
        <v>656</v>
      </c>
    </row>
    <row r="335" spans="1:2" hidden="1" x14ac:dyDescent="0.25">
      <c r="A335" s="7" t="s">
        <v>8908</v>
      </c>
      <c r="B335" s="7" t="s">
        <v>658</v>
      </c>
    </row>
    <row r="336" spans="1:2" hidden="1" x14ac:dyDescent="0.25">
      <c r="A336" s="7" t="s">
        <v>8643</v>
      </c>
      <c r="B336" s="7" t="s">
        <v>660</v>
      </c>
    </row>
    <row r="337" spans="1:2" hidden="1" x14ac:dyDescent="0.25">
      <c r="A337" s="7" t="s">
        <v>8592</v>
      </c>
      <c r="B337" s="7" t="s">
        <v>662</v>
      </c>
    </row>
    <row r="338" spans="1:2" hidden="1" x14ac:dyDescent="0.25">
      <c r="A338" s="7" t="s">
        <v>8518</v>
      </c>
      <c r="B338" s="7" t="s">
        <v>664</v>
      </c>
    </row>
    <row r="339" spans="1:2" hidden="1" x14ac:dyDescent="0.25">
      <c r="A339" s="7" t="s">
        <v>8676</v>
      </c>
      <c r="B339" s="7" t="s">
        <v>666</v>
      </c>
    </row>
    <row r="340" spans="1:2" hidden="1" x14ac:dyDescent="0.25">
      <c r="A340" s="7" t="s">
        <v>8659</v>
      </c>
      <c r="B340" s="7" t="s">
        <v>668</v>
      </c>
    </row>
    <row r="341" spans="1:2" hidden="1" x14ac:dyDescent="0.25">
      <c r="A341" s="7" t="s">
        <v>8323</v>
      </c>
      <c r="B341" s="7" t="s">
        <v>670</v>
      </c>
    </row>
    <row r="342" spans="1:2" hidden="1" x14ac:dyDescent="0.25">
      <c r="A342" s="7" t="s">
        <v>8714</v>
      </c>
      <c r="B342" s="7" t="s">
        <v>672</v>
      </c>
    </row>
    <row r="343" spans="1:2" hidden="1" x14ac:dyDescent="0.25">
      <c r="A343" s="7" t="s">
        <v>8465</v>
      </c>
      <c r="B343" s="7" t="s">
        <v>674</v>
      </c>
    </row>
    <row r="344" spans="1:2" hidden="1" x14ac:dyDescent="0.25">
      <c r="A344" s="7" t="s">
        <v>8458</v>
      </c>
      <c r="B344" s="7" t="s">
        <v>676</v>
      </c>
    </row>
    <row r="345" spans="1:2" hidden="1" x14ac:dyDescent="0.25">
      <c r="A345" s="7" t="s">
        <v>8760</v>
      </c>
      <c r="B345" s="7" t="s">
        <v>678</v>
      </c>
    </row>
    <row r="346" spans="1:2" hidden="1" x14ac:dyDescent="0.25">
      <c r="A346" s="7" t="s">
        <v>8612</v>
      </c>
      <c r="B346" s="7" t="s">
        <v>680</v>
      </c>
    </row>
    <row r="347" spans="1:2" hidden="1" x14ac:dyDescent="0.25">
      <c r="A347" s="7" t="s">
        <v>8907</v>
      </c>
      <c r="B347" s="7" t="s">
        <v>682</v>
      </c>
    </row>
    <row r="348" spans="1:2" hidden="1" x14ac:dyDescent="0.25">
      <c r="A348" s="7" t="s">
        <v>8789</v>
      </c>
      <c r="B348" s="7" t="s">
        <v>684</v>
      </c>
    </row>
    <row r="349" spans="1:2" hidden="1" x14ac:dyDescent="0.25">
      <c r="A349" s="7" t="s">
        <v>8981</v>
      </c>
      <c r="B349" s="7" t="s">
        <v>686</v>
      </c>
    </row>
    <row r="350" spans="1:2" hidden="1" x14ac:dyDescent="0.25">
      <c r="A350" s="7" t="s">
        <v>8551</v>
      </c>
      <c r="B350" s="7" t="s">
        <v>688</v>
      </c>
    </row>
    <row r="351" spans="1:2" hidden="1" x14ac:dyDescent="0.25">
      <c r="A351" s="7" t="s">
        <v>8952</v>
      </c>
      <c r="B351" s="7" t="s">
        <v>690</v>
      </c>
    </row>
    <row r="352" spans="1:2" hidden="1" x14ac:dyDescent="0.25">
      <c r="A352" s="7" t="s">
        <v>8244</v>
      </c>
      <c r="B352" s="7" t="s">
        <v>692</v>
      </c>
    </row>
    <row r="353" spans="1:2" hidden="1" x14ac:dyDescent="0.25">
      <c r="A353" s="7" t="s">
        <v>8378</v>
      </c>
      <c r="B353" s="7" t="s">
        <v>694</v>
      </c>
    </row>
    <row r="354" spans="1:2" hidden="1" x14ac:dyDescent="0.25">
      <c r="A354" s="7" t="s">
        <v>8369</v>
      </c>
      <c r="B354" s="7" t="s">
        <v>696</v>
      </c>
    </row>
    <row r="355" spans="1:2" hidden="1" x14ac:dyDescent="0.25">
      <c r="A355" s="7" t="s">
        <v>8278</v>
      </c>
      <c r="B355" s="7" t="s">
        <v>698</v>
      </c>
    </row>
    <row r="356" spans="1:2" hidden="1" x14ac:dyDescent="0.25">
      <c r="A356" s="7" t="s">
        <v>8497</v>
      </c>
      <c r="B356" s="7" t="s">
        <v>700</v>
      </c>
    </row>
    <row r="357" spans="1:2" hidden="1" x14ac:dyDescent="0.25">
      <c r="A357" s="7" t="s">
        <v>8275</v>
      </c>
      <c r="B357" s="7" t="s">
        <v>702</v>
      </c>
    </row>
    <row r="358" spans="1:2" hidden="1" x14ac:dyDescent="0.25">
      <c r="A358" s="7" t="s">
        <v>8775</v>
      </c>
      <c r="B358" s="7" t="s">
        <v>297</v>
      </c>
    </row>
    <row r="359" spans="1:2" hidden="1" x14ac:dyDescent="0.25">
      <c r="A359" s="7" t="s">
        <v>8582</v>
      </c>
      <c r="B359" s="7" t="s">
        <v>703</v>
      </c>
    </row>
    <row r="360" spans="1:2" hidden="1" x14ac:dyDescent="0.25">
      <c r="A360" s="7" t="s">
        <v>8538</v>
      </c>
      <c r="B360" s="7" t="s">
        <v>705</v>
      </c>
    </row>
    <row r="361" spans="1:2" hidden="1" x14ac:dyDescent="0.25">
      <c r="A361" s="7" t="s">
        <v>8782</v>
      </c>
      <c r="B361" s="7" t="s">
        <v>707</v>
      </c>
    </row>
    <row r="362" spans="1:2" hidden="1" x14ac:dyDescent="0.25">
      <c r="A362" s="7" t="s">
        <v>8648</v>
      </c>
      <c r="B362" s="7" t="s">
        <v>709</v>
      </c>
    </row>
    <row r="363" spans="1:2" hidden="1" x14ac:dyDescent="0.25">
      <c r="A363" s="7" t="s">
        <v>8784</v>
      </c>
      <c r="B363" s="7" t="s">
        <v>711</v>
      </c>
    </row>
    <row r="364" spans="1:2" hidden="1" x14ac:dyDescent="0.25">
      <c r="A364" s="7" t="s">
        <v>8856</v>
      </c>
      <c r="B364" s="7" t="s">
        <v>713</v>
      </c>
    </row>
    <row r="365" spans="1:2" hidden="1" x14ac:dyDescent="0.25">
      <c r="A365" s="7" t="s">
        <v>8628</v>
      </c>
      <c r="B365" s="7" t="s">
        <v>715</v>
      </c>
    </row>
    <row r="366" spans="1:2" hidden="1" x14ac:dyDescent="0.25">
      <c r="A366" s="7" t="s">
        <v>8334</v>
      </c>
      <c r="B366" s="7" t="s">
        <v>717</v>
      </c>
    </row>
    <row r="367" spans="1:2" hidden="1" x14ac:dyDescent="0.25">
      <c r="A367" s="7" t="s">
        <v>8821</v>
      </c>
      <c r="B367" s="7" t="s">
        <v>719</v>
      </c>
    </row>
    <row r="368" spans="1:2" hidden="1" x14ac:dyDescent="0.25">
      <c r="A368" s="7" t="s">
        <v>8524</v>
      </c>
      <c r="B368" s="7" t="s">
        <v>721</v>
      </c>
    </row>
    <row r="369" spans="1:2" hidden="1" x14ac:dyDescent="0.25">
      <c r="A369" s="7" t="s">
        <v>8452</v>
      </c>
      <c r="B369" s="7" t="s">
        <v>723</v>
      </c>
    </row>
    <row r="370" spans="1:2" hidden="1" x14ac:dyDescent="0.25">
      <c r="A370" s="7" t="s">
        <v>8577</v>
      </c>
      <c r="B370" s="7" t="s">
        <v>725</v>
      </c>
    </row>
    <row r="371" spans="1:2" hidden="1" x14ac:dyDescent="0.25">
      <c r="A371" s="7" t="s">
        <v>8742</v>
      </c>
      <c r="B371" s="7" t="s">
        <v>727</v>
      </c>
    </row>
    <row r="372" spans="1:2" hidden="1" x14ac:dyDescent="0.25">
      <c r="A372" s="7" t="s">
        <v>8576</v>
      </c>
      <c r="B372" s="7" t="s">
        <v>729</v>
      </c>
    </row>
    <row r="373" spans="1:2" hidden="1" x14ac:dyDescent="0.25">
      <c r="A373" s="7" t="s">
        <v>8663</v>
      </c>
      <c r="B373" s="7" t="s">
        <v>731</v>
      </c>
    </row>
    <row r="374" spans="1:2" hidden="1" x14ac:dyDescent="0.25">
      <c r="A374" s="7" t="s">
        <v>8500</v>
      </c>
      <c r="B374" s="7" t="s">
        <v>733</v>
      </c>
    </row>
    <row r="375" spans="1:2" hidden="1" x14ac:dyDescent="0.25">
      <c r="A375" s="7" t="s">
        <v>8886</v>
      </c>
      <c r="B375" s="7" t="s">
        <v>734</v>
      </c>
    </row>
    <row r="376" spans="1:2" hidden="1" x14ac:dyDescent="0.25">
      <c r="A376" s="7" t="s">
        <v>8433</v>
      </c>
      <c r="B376" s="7" t="s">
        <v>736</v>
      </c>
    </row>
    <row r="377" spans="1:2" hidden="1" x14ac:dyDescent="0.25">
      <c r="A377" s="7" t="s">
        <v>8738</v>
      </c>
      <c r="B377" s="7" t="s">
        <v>738</v>
      </c>
    </row>
    <row r="378" spans="1:2" hidden="1" x14ac:dyDescent="0.25">
      <c r="A378" s="7" t="s">
        <v>8544</v>
      </c>
      <c r="B378" s="7" t="s">
        <v>740</v>
      </c>
    </row>
    <row r="379" spans="1:2" hidden="1" x14ac:dyDescent="0.25">
      <c r="A379" s="7" t="s">
        <v>8453</v>
      </c>
      <c r="B379" s="7" t="s">
        <v>742</v>
      </c>
    </row>
    <row r="380" spans="1:2" hidden="1" x14ac:dyDescent="0.25">
      <c r="A380" s="7" t="s">
        <v>8466</v>
      </c>
      <c r="B380" s="7" t="s">
        <v>744</v>
      </c>
    </row>
    <row r="381" spans="1:2" hidden="1" x14ac:dyDescent="0.25">
      <c r="A381" s="7" t="s">
        <v>8836</v>
      </c>
      <c r="B381" s="7" t="s">
        <v>1030</v>
      </c>
    </row>
    <row r="382" spans="1:2" hidden="1" x14ac:dyDescent="0.25">
      <c r="A382" s="7" t="s">
        <v>8279</v>
      </c>
      <c r="B382" s="7" t="s">
        <v>746</v>
      </c>
    </row>
    <row r="383" spans="1:2" hidden="1" x14ac:dyDescent="0.25">
      <c r="A383" s="7" t="s">
        <v>8600</v>
      </c>
      <c r="B383" s="7" t="s">
        <v>748</v>
      </c>
    </row>
    <row r="384" spans="1:2" hidden="1" x14ac:dyDescent="0.25">
      <c r="A384" s="7" t="s">
        <v>8674</v>
      </c>
      <c r="B384" s="7" t="s">
        <v>750</v>
      </c>
    </row>
    <row r="385" spans="1:2" hidden="1" x14ac:dyDescent="0.25">
      <c r="A385" s="7" t="s">
        <v>8889</v>
      </c>
      <c r="B385" s="7" t="s">
        <v>752</v>
      </c>
    </row>
    <row r="386" spans="1:2" hidden="1" x14ac:dyDescent="0.25">
      <c r="A386" s="7" t="s">
        <v>8496</v>
      </c>
      <c r="B386" s="7" t="s">
        <v>754</v>
      </c>
    </row>
    <row r="387" spans="1:2" hidden="1" x14ac:dyDescent="0.25">
      <c r="A387" s="7" t="s">
        <v>8991</v>
      </c>
      <c r="B387" s="7" t="s">
        <v>756</v>
      </c>
    </row>
    <row r="388" spans="1:2" hidden="1" x14ac:dyDescent="0.25">
      <c r="A388" s="7" t="s">
        <v>8805</v>
      </c>
      <c r="B388" s="7" t="s">
        <v>758</v>
      </c>
    </row>
    <row r="389" spans="1:2" hidden="1" x14ac:dyDescent="0.25">
      <c r="A389" s="7" t="s">
        <v>8368</v>
      </c>
      <c r="B389" s="7" t="s">
        <v>760</v>
      </c>
    </row>
    <row r="390" spans="1:2" hidden="1" x14ac:dyDescent="0.25">
      <c r="A390" s="7" t="s">
        <v>8825</v>
      </c>
      <c r="B390" s="7" t="s">
        <v>762</v>
      </c>
    </row>
    <row r="391" spans="1:2" hidden="1" x14ac:dyDescent="0.25">
      <c r="A391" s="7" t="s">
        <v>8332</v>
      </c>
      <c r="B391" s="7" t="s">
        <v>764</v>
      </c>
    </row>
    <row r="392" spans="1:2" hidden="1" x14ac:dyDescent="0.25">
      <c r="A392" s="7" t="s">
        <v>8441</v>
      </c>
      <c r="B392" s="7" t="s">
        <v>766</v>
      </c>
    </row>
    <row r="393" spans="1:2" hidden="1" x14ac:dyDescent="0.25">
      <c r="A393" s="7" t="s">
        <v>8828</v>
      </c>
      <c r="B393" s="7" t="s">
        <v>768</v>
      </c>
    </row>
    <row r="394" spans="1:2" hidden="1" x14ac:dyDescent="0.25">
      <c r="A394" s="7" t="s">
        <v>8418</v>
      </c>
      <c r="B394" s="7" t="s">
        <v>770</v>
      </c>
    </row>
    <row r="395" spans="1:2" hidden="1" x14ac:dyDescent="0.25">
      <c r="A395" s="7" t="s">
        <v>8614</v>
      </c>
      <c r="B395" s="7" t="s">
        <v>772</v>
      </c>
    </row>
    <row r="396" spans="1:2" hidden="1" x14ac:dyDescent="0.25">
      <c r="A396" s="7" t="s">
        <v>8774</v>
      </c>
      <c r="B396" s="7" t="s">
        <v>774</v>
      </c>
    </row>
    <row r="397" spans="1:2" hidden="1" x14ac:dyDescent="0.25">
      <c r="A397" s="7" t="s">
        <v>8655</v>
      </c>
      <c r="B397" s="7" t="s">
        <v>776</v>
      </c>
    </row>
    <row r="398" spans="1:2" hidden="1" x14ac:dyDescent="0.25">
      <c r="A398" s="7" t="s">
        <v>8263</v>
      </c>
      <c r="B398" s="7" t="s">
        <v>778</v>
      </c>
    </row>
    <row r="399" spans="1:2" hidden="1" x14ac:dyDescent="0.25">
      <c r="A399" s="7" t="s">
        <v>8920</v>
      </c>
      <c r="B399" s="7" t="s">
        <v>780</v>
      </c>
    </row>
    <row r="400" spans="1:2" hidden="1" x14ac:dyDescent="0.25">
      <c r="A400" s="7" t="s">
        <v>8230</v>
      </c>
      <c r="B400" s="7" t="s">
        <v>782</v>
      </c>
    </row>
    <row r="401" spans="1:2" hidden="1" x14ac:dyDescent="0.25">
      <c r="A401" s="7" t="s">
        <v>8520</v>
      </c>
      <c r="B401" s="7" t="s">
        <v>784</v>
      </c>
    </row>
    <row r="402" spans="1:2" hidden="1" x14ac:dyDescent="0.25">
      <c r="A402" s="7" t="s">
        <v>8502</v>
      </c>
      <c r="B402" s="7" t="s">
        <v>786</v>
      </c>
    </row>
    <row r="403" spans="1:2" hidden="1" x14ac:dyDescent="0.25">
      <c r="A403" s="7" t="s">
        <v>8609</v>
      </c>
      <c r="B403" s="7" t="s">
        <v>788</v>
      </c>
    </row>
    <row r="404" spans="1:2" hidden="1" x14ac:dyDescent="0.25">
      <c r="A404" s="7" t="s">
        <v>8770</v>
      </c>
      <c r="B404" s="7" t="s">
        <v>789</v>
      </c>
    </row>
    <row r="405" spans="1:2" hidden="1" x14ac:dyDescent="0.25">
      <c r="A405" s="7" t="s">
        <v>8733</v>
      </c>
      <c r="B405" s="7" t="s">
        <v>791</v>
      </c>
    </row>
    <row r="406" spans="1:2" hidden="1" x14ac:dyDescent="0.25">
      <c r="A406" s="7" t="s">
        <v>8804</v>
      </c>
      <c r="B406" s="7" t="s">
        <v>793</v>
      </c>
    </row>
    <row r="407" spans="1:2" hidden="1" x14ac:dyDescent="0.25">
      <c r="A407" s="7" t="s">
        <v>8519</v>
      </c>
      <c r="B407" s="7" t="s">
        <v>795</v>
      </c>
    </row>
    <row r="408" spans="1:2" hidden="1" x14ac:dyDescent="0.25">
      <c r="A408" s="7" t="s">
        <v>8899</v>
      </c>
      <c r="B408" s="7" t="s">
        <v>797</v>
      </c>
    </row>
    <row r="409" spans="1:2" hidden="1" x14ac:dyDescent="0.25">
      <c r="A409" s="7" t="s">
        <v>8569</v>
      </c>
      <c r="B409" s="7" t="s">
        <v>799</v>
      </c>
    </row>
    <row r="410" spans="1:2" hidden="1" x14ac:dyDescent="0.25">
      <c r="A410" s="7" t="s">
        <v>8732</v>
      </c>
      <c r="B410" s="7" t="s">
        <v>801</v>
      </c>
    </row>
    <row r="411" spans="1:2" hidden="1" x14ac:dyDescent="0.25">
      <c r="A411" s="7" t="s">
        <v>8680</v>
      </c>
      <c r="B411" s="7" t="s">
        <v>803</v>
      </c>
    </row>
    <row r="412" spans="1:2" hidden="1" x14ac:dyDescent="0.25">
      <c r="A412" s="7" t="s">
        <v>8963</v>
      </c>
      <c r="B412" s="7" t="s">
        <v>805</v>
      </c>
    </row>
    <row r="413" spans="1:2" hidden="1" x14ac:dyDescent="0.25">
      <c r="A413" s="7" t="s">
        <v>8692</v>
      </c>
      <c r="B413" s="7" t="s">
        <v>807</v>
      </c>
    </row>
    <row r="414" spans="1:2" hidden="1" x14ac:dyDescent="0.25">
      <c r="A414" s="7" t="s">
        <v>8372</v>
      </c>
      <c r="B414" s="7" t="s">
        <v>809</v>
      </c>
    </row>
    <row r="415" spans="1:2" hidden="1" x14ac:dyDescent="0.25">
      <c r="A415" s="7" t="s">
        <v>8298</v>
      </c>
      <c r="B415" s="7" t="s">
        <v>811</v>
      </c>
    </row>
    <row r="416" spans="1:2" hidden="1" x14ac:dyDescent="0.25">
      <c r="A416" s="7" t="s">
        <v>8800</v>
      </c>
      <c r="B416" s="7" t="s">
        <v>813</v>
      </c>
    </row>
    <row r="417" spans="1:2" hidden="1" x14ac:dyDescent="0.25">
      <c r="A417" s="7" t="s">
        <v>8286</v>
      </c>
      <c r="B417" s="7" t="s">
        <v>815</v>
      </c>
    </row>
    <row r="418" spans="1:2" hidden="1" x14ac:dyDescent="0.25">
      <c r="A418" s="7" t="s">
        <v>8581</v>
      </c>
      <c r="B418" s="7" t="s">
        <v>817</v>
      </c>
    </row>
    <row r="419" spans="1:2" hidden="1" x14ac:dyDescent="0.25">
      <c r="A419" s="7" t="s">
        <v>8307</v>
      </c>
      <c r="B419" s="7" t="s">
        <v>819</v>
      </c>
    </row>
    <row r="420" spans="1:2" hidden="1" x14ac:dyDescent="0.25">
      <c r="A420" s="7" t="s">
        <v>8424</v>
      </c>
      <c r="B420" s="7" t="s">
        <v>821</v>
      </c>
    </row>
    <row r="421" spans="1:2" hidden="1" x14ac:dyDescent="0.25">
      <c r="A421" s="7" t="s">
        <v>8801</v>
      </c>
      <c r="B421" s="7" t="s">
        <v>823</v>
      </c>
    </row>
    <row r="422" spans="1:2" hidden="1" x14ac:dyDescent="0.25">
      <c r="A422" s="7" t="s">
        <v>8329</v>
      </c>
      <c r="B422" s="7" t="s">
        <v>825</v>
      </c>
    </row>
    <row r="423" spans="1:2" hidden="1" x14ac:dyDescent="0.25">
      <c r="A423" s="7" t="s">
        <v>8625</v>
      </c>
      <c r="B423" s="7" t="s">
        <v>827</v>
      </c>
    </row>
    <row r="424" spans="1:2" hidden="1" x14ac:dyDescent="0.25">
      <c r="A424" s="7" t="s">
        <v>8799</v>
      </c>
      <c r="B424" s="7" t="s">
        <v>829</v>
      </c>
    </row>
    <row r="425" spans="1:2" hidden="1" x14ac:dyDescent="0.25">
      <c r="A425" s="7" t="s">
        <v>8654</v>
      </c>
      <c r="B425" s="7" t="s">
        <v>831</v>
      </c>
    </row>
    <row r="426" spans="1:2" hidden="1" x14ac:dyDescent="0.25">
      <c r="A426" s="7" t="s">
        <v>8627</v>
      </c>
      <c r="B426" s="7" t="s">
        <v>833</v>
      </c>
    </row>
    <row r="427" spans="1:2" hidden="1" x14ac:dyDescent="0.25">
      <c r="A427" s="7" t="s">
        <v>8621</v>
      </c>
      <c r="B427" s="7" t="s">
        <v>837</v>
      </c>
    </row>
    <row r="428" spans="1:2" hidden="1" x14ac:dyDescent="0.25">
      <c r="A428" s="7" t="s">
        <v>8756</v>
      </c>
      <c r="B428" s="7" t="s">
        <v>839</v>
      </c>
    </row>
    <row r="429" spans="1:2" hidden="1" x14ac:dyDescent="0.25">
      <c r="A429" s="7" t="s">
        <v>8678</v>
      </c>
      <c r="B429" s="7" t="s">
        <v>841</v>
      </c>
    </row>
    <row r="430" spans="1:2" hidden="1" x14ac:dyDescent="0.25">
      <c r="A430" s="7" t="s">
        <v>8967</v>
      </c>
      <c r="B430" s="7" t="s">
        <v>843</v>
      </c>
    </row>
    <row r="431" spans="1:2" hidden="1" x14ac:dyDescent="0.25">
      <c r="A431" s="7" t="s">
        <v>8410</v>
      </c>
      <c r="B431" s="7" t="s">
        <v>845</v>
      </c>
    </row>
    <row r="432" spans="1:2" hidden="1" x14ac:dyDescent="0.25">
      <c r="A432" s="7" t="s">
        <v>8945</v>
      </c>
      <c r="B432" s="7" t="s">
        <v>847</v>
      </c>
    </row>
    <row r="433" spans="1:2" hidden="1" x14ac:dyDescent="0.25">
      <c r="A433" s="7" t="s">
        <v>8411</v>
      </c>
      <c r="B433" s="7" t="s">
        <v>849</v>
      </c>
    </row>
    <row r="434" spans="1:2" hidden="1" x14ac:dyDescent="0.25">
      <c r="A434" s="7" t="s">
        <v>8296</v>
      </c>
      <c r="B434" s="7" t="s">
        <v>851</v>
      </c>
    </row>
    <row r="435" spans="1:2" hidden="1" x14ac:dyDescent="0.25">
      <c r="A435" s="7" t="s">
        <v>8543</v>
      </c>
      <c r="B435" s="7" t="s">
        <v>853</v>
      </c>
    </row>
    <row r="436" spans="1:2" hidden="1" x14ac:dyDescent="0.25">
      <c r="A436" s="7" t="s">
        <v>8754</v>
      </c>
      <c r="B436" s="7" t="s">
        <v>855</v>
      </c>
    </row>
    <row r="437" spans="1:2" hidden="1" x14ac:dyDescent="0.25">
      <c r="A437" s="7" t="s">
        <v>8301</v>
      </c>
      <c r="B437" s="7" t="s">
        <v>857</v>
      </c>
    </row>
    <row r="438" spans="1:2" hidden="1" x14ac:dyDescent="0.25">
      <c r="A438" s="7" t="s">
        <v>8389</v>
      </c>
      <c r="B438" s="7" t="s">
        <v>859</v>
      </c>
    </row>
    <row r="439" spans="1:2" hidden="1" x14ac:dyDescent="0.25">
      <c r="A439" s="7" t="s">
        <v>8671</v>
      </c>
      <c r="B439" s="7" t="s">
        <v>861</v>
      </c>
    </row>
    <row r="440" spans="1:2" hidden="1" x14ac:dyDescent="0.25">
      <c r="A440" s="7" t="s">
        <v>8634</v>
      </c>
      <c r="B440" s="7" t="s">
        <v>863</v>
      </c>
    </row>
    <row r="441" spans="1:2" hidden="1" x14ac:dyDescent="0.25">
      <c r="A441" s="7" t="s">
        <v>8847</v>
      </c>
      <c r="B441" s="7" t="s">
        <v>865</v>
      </c>
    </row>
    <row r="442" spans="1:2" hidden="1" x14ac:dyDescent="0.25">
      <c r="A442" s="7" t="s">
        <v>8930</v>
      </c>
      <c r="B442" s="7" t="s">
        <v>867</v>
      </c>
    </row>
    <row r="443" spans="1:2" hidden="1" x14ac:dyDescent="0.25">
      <c r="A443" s="7" t="s">
        <v>8837</v>
      </c>
      <c r="B443" s="7" t="s">
        <v>869</v>
      </c>
    </row>
    <row r="444" spans="1:2" hidden="1" x14ac:dyDescent="0.25">
      <c r="A444" s="7" t="s">
        <v>8871</v>
      </c>
      <c r="B444" s="7" t="s">
        <v>871</v>
      </c>
    </row>
    <row r="445" spans="1:2" hidden="1" x14ac:dyDescent="0.25">
      <c r="A445" s="7" t="s">
        <v>8708</v>
      </c>
      <c r="B445" s="7" t="s">
        <v>873</v>
      </c>
    </row>
    <row r="446" spans="1:2" hidden="1" x14ac:dyDescent="0.25">
      <c r="A446" s="7" t="s">
        <v>8822</v>
      </c>
      <c r="B446" s="7" t="s">
        <v>875</v>
      </c>
    </row>
    <row r="447" spans="1:2" hidden="1" x14ac:dyDescent="0.25">
      <c r="A447" s="7" t="s">
        <v>8322</v>
      </c>
      <c r="B447" s="7" t="s">
        <v>877</v>
      </c>
    </row>
    <row r="448" spans="1:2" hidden="1" x14ac:dyDescent="0.25">
      <c r="A448" s="7" t="s">
        <v>8969</v>
      </c>
      <c r="B448" s="7" t="s">
        <v>879</v>
      </c>
    </row>
    <row r="449" spans="1:2" hidden="1" x14ac:dyDescent="0.25">
      <c r="A449" s="7" t="s">
        <v>8326</v>
      </c>
      <c r="B449" s="7" t="s">
        <v>881</v>
      </c>
    </row>
    <row r="450" spans="1:2" hidden="1" x14ac:dyDescent="0.25">
      <c r="A450" s="7" t="s">
        <v>8499</v>
      </c>
      <c r="B450" s="7" t="s">
        <v>883</v>
      </c>
    </row>
    <row r="451" spans="1:2" hidden="1" x14ac:dyDescent="0.25">
      <c r="A451" s="7" t="s">
        <v>8489</v>
      </c>
      <c r="B451" s="7" t="s">
        <v>885</v>
      </c>
    </row>
    <row r="452" spans="1:2" hidden="1" x14ac:dyDescent="0.25">
      <c r="A452" s="7" t="s">
        <v>8206</v>
      </c>
      <c r="B452" s="7" t="s">
        <v>887</v>
      </c>
    </row>
    <row r="453" spans="1:2" hidden="1" x14ac:dyDescent="0.25">
      <c r="A453" s="7" t="s">
        <v>8846</v>
      </c>
      <c r="B453" s="7" t="s">
        <v>889</v>
      </c>
    </row>
    <row r="454" spans="1:2" hidden="1" x14ac:dyDescent="0.25">
      <c r="A454" s="7" t="s">
        <v>8262</v>
      </c>
      <c r="B454" s="7" t="s">
        <v>890</v>
      </c>
    </row>
    <row r="455" spans="1:2" hidden="1" x14ac:dyDescent="0.25">
      <c r="A455" s="7" t="s">
        <v>8608</v>
      </c>
      <c r="B455" s="7" t="s">
        <v>892</v>
      </c>
    </row>
    <row r="456" spans="1:2" hidden="1" x14ac:dyDescent="0.25">
      <c r="A456" s="7" t="s">
        <v>8397</v>
      </c>
      <c r="B456" s="7" t="s">
        <v>894</v>
      </c>
    </row>
    <row r="457" spans="1:2" hidden="1" x14ac:dyDescent="0.25">
      <c r="A457" s="7" t="s">
        <v>8909</v>
      </c>
      <c r="B457" s="7" t="s">
        <v>896</v>
      </c>
    </row>
    <row r="458" spans="1:2" hidden="1" x14ac:dyDescent="0.25">
      <c r="A458" s="7" t="s">
        <v>8428</v>
      </c>
      <c r="B458" s="7" t="s">
        <v>898</v>
      </c>
    </row>
    <row r="459" spans="1:2" hidden="1" x14ac:dyDescent="0.25">
      <c r="A459" s="7" t="s">
        <v>8615</v>
      </c>
      <c r="B459" s="7" t="s">
        <v>900</v>
      </c>
    </row>
    <row r="460" spans="1:2" hidden="1" x14ac:dyDescent="0.25">
      <c r="A460" s="7" t="s">
        <v>8815</v>
      </c>
      <c r="B460" s="7" t="s">
        <v>902</v>
      </c>
    </row>
    <row r="461" spans="1:2" hidden="1" x14ac:dyDescent="0.25">
      <c r="A461" s="7" t="s">
        <v>8928</v>
      </c>
      <c r="B461" s="7" t="s">
        <v>904</v>
      </c>
    </row>
    <row r="462" spans="1:2" hidden="1" x14ac:dyDescent="0.25">
      <c r="A462" s="7" t="s">
        <v>8532</v>
      </c>
      <c r="B462" s="7" t="s">
        <v>906</v>
      </c>
    </row>
    <row r="463" spans="1:2" hidden="1" x14ac:dyDescent="0.25">
      <c r="A463" s="7" t="s">
        <v>8630</v>
      </c>
      <c r="B463" s="7" t="s">
        <v>908</v>
      </c>
    </row>
    <row r="464" spans="1:2" hidden="1" x14ac:dyDescent="0.25">
      <c r="A464" s="7" t="s">
        <v>8381</v>
      </c>
      <c r="B464" s="7" t="s">
        <v>910</v>
      </c>
    </row>
    <row r="465" spans="1:2" hidden="1" x14ac:dyDescent="0.25">
      <c r="A465" s="7" t="s">
        <v>8396</v>
      </c>
      <c r="B465" s="7" t="s">
        <v>912</v>
      </c>
    </row>
    <row r="466" spans="1:2" hidden="1" x14ac:dyDescent="0.25">
      <c r="A466" s="7" t="s">
        <v>8406</v>
      </c>
      <c r="B466" s="7" t="s">
        <v>914</v>
      </c>
    </row>
    <row r="467" spans="1:2" hidden="1" x14ac:dyDescent="0.25">
      <c r="A467" s="7" t="s">
        <v>8725</v>
      </c>
      <c r="B467" s="7" t="s">
        <v>916</v>
      </c>
    </row>
    <row r="468" spans="1:2" hidden="1" x14ac:dyDescent="0.25">
      <c r="A468" s="7" t="s">
        <v>8620</v>
      </c>
      <c r="B468" s="7" t="s">
        <v>918</v>
      </c>
    </row>
    <row r="469" spans="1:2" hidden="1" x14ac:dyDescent="0.25">
      <c r="A469" s="7" t="s">
        <v>8553</v>
      </c>
      <c r="B469" s="7" t="s">
        <v>920</v>
      </c>
    </row>
    <row r="470" spans="1:2" hidden="1" x14ac:dyDescent="0.25">
      <c r="A470" s="7" t="s">
        <v>8274</v>
      </c>
      <c r="B470" s="7" t="s">
        <v>922</v>
      </c>
    </row>
    <row r="471" spans="1:2" hidden="1" x14ac:dyDescent="0.25">
      <c r="A471" s="7" t="s">
        <v>8758</v>
      </c>
      <c r="B471" s="7" t="s">
        <v>924</v>
      </c>
    </row>
    <row r="472" spans="1:2" hidden="1" x14ac:dyDescent="0.25">
      <c r="A472" s="7" t="s">
        <v>8421</v>
      </c>
      <c r="B472" s="7" t="s">
        <v>926</v>
      </c>
    </row>
    <row r="473" spans="1:2" hidden="1" x14ac:dyDescent="0.25">
      <c r="A473" s="7" t="s">
        <v>8294</v>
      </c>
      <c r="B473" s="7" t="s">
        <v>928</v>
      </c>
    </row>
    <row r="474" spans="1:2" hidden="1" x14ac:dyDescent="0.25">
      <c r="A474" s="7" t="s">
        <v>8651</v>
      </c>
      <c r="B474" s="7" t="s">
        <v>930</v>
      </c>
    </row>
    <row r="475" spans="1:2" hidden="1" x14ac:dyDescent="0.25">
      <c r="A475" s="7" t="s">
        <v>8752</v>
      </c>
      <c r="B475" s="7" t="s">
        <v>932</v>
      </c>
    </row>
    <row r="476" spans="1:2" hidden="1" x14ac:dyDescent="0.25">
      <c r="A476" s="7" t="s">
        <v>8419</v>
      </c>
      <c r="B476" s="7" t="s">
        <v>934</v>
      </c>
    </row>
    <row r="477" spans="1:2" hidden="1" x14ac:dyDescent="0.25">
      <c r="A477" s="7" t="s">
        <v>8937</v>
      </c>
      <c r="B477" s="7" t="s">
        <v>936</v>
      </c>
    </row>
    <row r="478" spans="1:2" hidden="1" x14ac:dyDescent="0.25">
      <c r="A478" s="7" t="s">
        <v>8490</v>
      </c>
      <c r="B478" s="7" t="s">
        <v>938</v>
      </c>
    </row>
    <row r="479" spans="1:2" hidden="1" x14ac:dyDescent="0.25">
      <c r="A479" s="7" t="s">
        <v>8787</v>
      </c>
      <c r="B479" s="7" t="s">
        <v>940</v>
      </c>
    </row>
    <row r="480" spans="1:2" hidden="1" x14ac:dyDescent="0.25">
      <c r="A480" s="7" t="s">
        <v>8709</v>
      </c>
      <c r="B480" s="7" t="s">
        <v>942</v>
      </c>
    </row>
    <row r="481" spans="1:2" hidden="1" x14ac:dyDescent="0.25">
      <c r="A481" s="7" t="s">
        <v>8842</v>
      </c>
      <c r="B481" s="7" t="s">
        <v>944</v>
      </c>
    </row>
    <row r="482" spans="1:2" hidden="1" x14ac:dyDescent="0.25">
      <c r="A482" s="7" t="s">
        <v>8517</v>
      </c>
      <c r="B482" s="7" t="s">
        <v>946</v>
      </c>
    </row>
    <row r="483" spans="1:2" hidden="1" x14ac:dyDescent="0.25">
      <c r="A483" s="7" t="s">
        <v>8436</v>
      </c>
      <c r="B483" s="7" t="s">
        <v>948</v>
      </c>
    </row>
    <row r="484" spans="1:2" hidden="1" x14ac:dyDescent="0.25">
      <c r="A484" s="7" t="s">
        <v>8869</v>
      </c>
      <c r="B484" s="7" t="s">
        <v>514</v>
      </c>
    </row>
    <row r="485" spans="1:2" hidden="1" x14ac:dyDescent="0.25">
      <c r="A485" s="7" t="s">
        <v>8597</v>
      </c>
      <c r="B485" s="7" t="s">
        <v>952</v>
      </c>
    </row>
    <row r="486" spans="1:2" hidden="1" x14ac:dyDescent="0.25">
      <c r="A486" s="7" t="s">
        <v>8792</v>
      </c>
      <c r="B486" s="7" t="s">
        <v>954</v>
      </c>
    </row>
    <row r="487" spans="1:2" hidden="1" x14ac:dyDescent="0.25">
      <c r="A487" s="7" t="s">
        <v>8586</v>
      </c>
      <c r="B487" s="7" t="s">
        <v>956</v>
      </c>
    </row>
    <row r="488" spans="1:2" hidden="1" x14ac:dyDescent="0.25">
      <c r="A488" s="7" t="s">
        <v>8513</v>
      </c>
      <c r="B488" s="7" t="s">
        <v>958</v>
      </c>
    </row>
    <row r="489" spans="1:2" hidden="1" x14ac:dyDescent="0.25">
      <c r="A489" s="7" t="s">
        <v>8486</v>
      </c>
      <c r="B489" s="7" t="s">
        <v>960</v>
      </c>
    </row>
    <row r="490" spans="1:2" hidden="1" x14ac:dyDescent="0.25">
      <c r="A490" s="7" t="s">
        <v>8652</v>
      </c>
      <c r="B490" s="7" t="s">
        <v>962</v>
      </c>
    </row>
    <row r="491" spans="1:2" hidden="1" x14ac:dyDescent="0.25">
      <c r="A491" s="7" t="s">
        <v>8233</v>
      </c>
      <c r="B491" s="7" t="s">
        <v>964</v>
      </c>
    </row>
    <row r="492" spans="1:2" hidden="1" x14ac:dyDescent="0.25">
      <c r="A492" s="7" t="s">
        <v>8431</v>
      </c>
      <c r="B492" s="7" t="s">
        <v>966</v>
      </c>
    </row>
    <row r="493" spans="1:2" hidden="1" x14ac:dyDescent="0.25">
      <c r="A493" s="7" t="s">
        <v>8914</v>
      </c>
      <c r="B493" s="7" t="s">
        <v>968</v>
      </c>
    </row>
    <row r="494" spans="1:2" hidden="1" x14ac:dyDescent="0.25">
      <c r="A494" s="7" t="s">
        <v>8940</v>
      </c>
      <c r="B494" s="7" t="s">
        <v>970</v>
      </c>
    </row>
    <row r="495" spans="1:2" hidden="1" x14ac:dyDescent="0.25">
      <c r="A495" s="7" t="s">
        <v>8413</v>
      </c>
      <c r="B495" s="7" t="s">
        <v>972</v>
      </c>
    </row>
    <row r="496" spans="1:2" hidden="1" x14ac:dyDescent="0.25">
      <c r="A496" s="7" t="s">
        <v>8638</v>
      </c>
      <c r="B496" s="7" t="s">
        <v>974</v>
      </c>
    </row>
    <row r="497" spans="1:2" hidden="1" x14ac:dyDescent="0.25">
      <c r="A497" s="7" t="s">
        <v>8942</v>
      </c>
      <c r="B497" s="7" t="s">
        <v>976</v>
      </c>
    </row>
    <row r="498" spans="1:2" hidden="1" x14ac:dyDescent="0.25">
      <c r="A498" s="7" t="s">
        <v>8530</v>
      </c>
      <c r="B498" s="7" t="s">
        <v>978</v>
      </c>
    </row>
    <row r="499" spans="1:2" hidden="1" x14ac:dyDescent="0.25">
      <c r="A499" s="7" t="s">
        <v>8788</v>
      </c>
      <c r="B499" s="7" t="s">
        <v>980</v>
      </c>
    </row>
    <row r="500" spans="1:2" hidden="1" x14ac:dyDescent="0.25">
      <c r="A500" s="7" t="s">
        <v>8272</v>
      </c>
      <c r="B500" s="7" t="s">
        <v>982</v>
      </c>
    </row>
    <row r="501" spans="1:2" hidden="1" x14ac:dyDescent="0.25">
      <c r="A501" s="7" t="s">
        <v>8812</v>
      </c>
      <c r="B501" s="7" t="s">
        <v>984</v>
      </c>
    </row>
    <row r="502" spans="1:2" hidden="1" x14ac:dyDescent="0.25">
      <c r="A502" s="7" t="s">
        <v>8573</v>
      </c>
      <c r="B502" s="7" t="s">
        <v>986</v>
      </c>
    </row>
    <row r="503" spans="1:2" hidden="1" x14ac:dyDescent="0.25">
      <c r="A503" s="7" t="s">
        <v>8870</v>
      </c>
      <c r="B503" s="7" t="s">
        <v>988</v>
      </c>
    </row>
    <row r="504" spans="1:2" hidden="1" x14ac:dyDescent="0.25">
      <c r="A504" s="7" t="s">
        <v>8771</v>
      </c>
      <c r="B504" s="7" t="s">
        <v>990</v>
      </c>
    </row>
    <row r="505" spans="1:2" hidden="1" x14ac:dyDescent="0.25">
      <c r="A505" s="7" t="s">
        <v>8722</v>
      </c>
      <c r="B505" s="7" t="s">
        <v>992</v>
      </c>
    </row>
    <row r="506" spans="1:2" hidden="1" x14ac:dyDescent="0.25">
      <c r="A506" s="7" t="s">
        <v>8865</v>
      </c>
      <c r="B506" s="7" t="s">
        <v>994</v>
      </c>
    </row>
    <row r="507" spans="1:2" hidden="1" x14ac:dyDescent="0.25">
      <c r="A507" s="7" t="s">
        <v>8515</v>
      </c>
      <c r="B507" s="7" t="s">
        <v>996</v>
      </c>
    </row>
    <row r="508" spans="1:2" hidden="1" x14ac:dyDescent="0.25">
      <c r="A508" s="7" t="s">
        <v>8314</v>
      </c>
      <c r="B508" s="7" t="s">
        <v>998</v>
      </c>
    </row>
    <row r="509" spans="1:2" hidden="1" x14ac:dyDescent="0.25">
      <c r="A509" s="7" t="s">
        <v>8779</v>
      </c>
      <c r="B509" s="7" t="s">
        <v>1000</v>
      </c>
    </row>
    <row r="510" spans="1:2" hidden="1" x14ac:dyDescent="0.25">
      <c r="A510" s="7" t="s">
        <v>8903</v>
      </c>
      <c r="B510" s="7" t="s">
        <v>1002</v>
      </c>
    </row>
    <row r="511" spans="1:2" hidden="1" x14ac:dyDescent="0.25">
      <c r="A511" s="7" t="s">
        <v>8696</v>
      </c>
      <c r="B511" s="7" t="s">
        <v>1004</v>
      </c>
    </row>
    <row r="512" spans="1:2" hidden="1" x14ac:dyDescent="0.25">
      <c r="A512" s="7" t="s">
        <v>8731</v>
      </c>
      <c r="B512" s="7" t="s">
        <v>1006</v>
      </c>
    </row>
    <row r="513" spans="1:2" hidden="1" x14ac:dyDescent="0.25">
      <c r="A513" s="7" t="s">
        <v>8917</v>
      </c>
      <c r="B513" s="7" t="s">
        <v>1008</v>
      </c>
    </row>
    <row r="514" spans="1:2" hidden="1" x14ac:dyDescent="0.25">
      <c r="A514" s="7" t="s">
        <v>8617</v>
      </c>
      <c r="B514" s="7" t="s">
        <v>1010</v>
      </c>
    </row>
    <row r="515" spans="1:2" hidden="1" x14ac:dyDescent="0.25">
      <c r="A515" s="7" t="s">
        <v>8863</v>
      </c>
      <c r="B515" s="7" t="s">
        <v>1012</v>
      </c>
    </row>
    <row r="516" spans="1:2" hidden="1" x14ac:dyDescent="0.25">
      <c r="A516" s="7" t="s">
        <v>8888</v>
      </c>
      <c r="B516" s="7" t="s">
        <v>1014</v>
      </c>
    </row>
    <row r="517" spans="1:2" hidden="1" x14ac:dyDescent="0.25">
      <c r="A517" s="7" t="s">
        <v>8219</v>
      </c>
      <c r="B517" s="7" t="s">
        <v>1016</v>
      </c>
    </row>
    <row r="518" spans="1:2" hidden="1" x14ac:dyDescent="0.25">
      <c r="A518" s="7" t="s">
        <v>8629</v>
      </c>
      <c r="B518" s="7" t="s">
        <v>1018</v>
      </c>
    </row>
    <row r="519" spans="1:2" hidden="1" x14ac:dyDescent="0.25">
      <c r="A519" s="7" t="s">
        <v>8860</v>
      </c>
      <c r="B519" s="7" t="s">
        <v>1020</v>
      </c>
    </row>
    <row r="520" spans="1:2" hidden="1" x14ac:dyDescent="0.25">
      <c r="A520" s="7" t="s">
        <v>8897</v>
      </c>
      <c r="B520" s="7" t="s">
        <v>1022</v>
      </c>
    </row>
    <row r="521" spans="1:2" hidden="1" x14ac:dyDescent="0.25">
      <c r="A521" s="7" t="s">
        <v>8712</v>
      </c>
      <c r="B521" s="7" t="s">
        <v>1024</v>
      </c>
    </row>
    <row r="522" spans="1:2" hidden="1" x14ac:dyDescent="0.25">
      <c r="A522" s="7" t="s">
        <v>8878</v>
      </c>
      <c r="B522" s="7" t="s">
        <v>433</v>
      </c>
    </row>
    <row r="523" spans="1:2" hidden="1" x14ac:dyDescent="0.25">
      <c r="A523" s="7" t="s">
        <v>8814</v>
      </c>
      <c r="B523" s="7" t="s">
        <v>1026</v>
      </c>
    </row>
    <row r="524" spans="1:2" hidden="1" x14ac:dyDescent="0.25">
      <c r="A524" s="7" t="s">
        <v>8845</v>
      </c>
      <c r="B524" s="7" t="s">
        <v>1028</v>
      </c>
    </row>
    <row r="525" spans="1:2" hidden="1" x14ac:dyDescent="0.25">
      <c r="A525" s="7" t="s">
        <v>8558</v>
      </c>
      <c r="B525" s="7" t="s">
        <v>1032</v>
      </c>
    </row>
    <row r="526" spans="1:2" hidden="1" x14ac:dyDescent="0.25">
      <c r="A526" s="7" t="s">
        <v>8716</v>
      </c>
      <c r="B526" s="7" t="s">
        <v>1034</v>
      </c>
    </row>
    <row r="527" spans="1:2" hidden="1" x14ac:dyDescent="0.25">
      <c r="A527" s="7" t="s">
        <v>8975</v>
      </c>
      <c r="B527" s="7" t="s">
        <v>1036</v>
      </c>
    </row>
    <row r="528" spans="1:2" hidden="1" x14ac:dyDescent="0.25">
      <c r="A528" s="7" t="s">
        <v>8414</v>
      </c>
      <c r="B528" s="7" t="s">
        <v>1038</v>
      </c>
    </row>
    <row r="529" spans="1:2" hidden="1" x14ac:dyDescent="0.25">
      <c r="A529" s="7" t="s">
        <v>8254</v>
      </c>
      <c r="B529" s="7" t="s">
        <v>1040</v>
      </c>
    </row>
    <row r="530" spans="1:2" hidden="1" x14ac:dyDescent="0.25">
      <c r="A530" s="7" t="s">
        <v>8750</v>
      </c>
      <c r="B530" s="7" t="s">
        <v>1042</v>
      </c>
    </row>
    <row r="531" spans="1:2" hidden="1" x14ac:dyDescent="0.25">
      <c r="A531" s="7" t="s">
        <v>8944</v>
      </c>
      <c r="B531" s="7" t="s">
        <v>1044</v>
      </c>
    </row>
    <row r="532" spans="1:2" hidden="1" x14ac:dyDescent="0.25">
      <c r="A532" s="7" t="s">
        <v>8461</v>
      </c>
      <c r="B532" s="7" t="s">
        <v>1046</v>
      </c>
    </row>
    <row r="533" spans="1:2" hidden="1" x14ac:dyDescent="0.25">
      <c r="A533" s="7" t="s">
        <v>8639</v>
      </c>
      <c r="B533" s="7" t="s">
        <v>1048</v>
      </c>
    </row>
    <row r="534" spans="1:2" hidden="1" x14ac:dyDescent="0.25">
      <c r="A534" s="7" t="s">
        <v>8360</v>
      </c>
      <c r="B534" s="7" t="s">
        <v>1050</v>
      </c>
    </row>
    <row r="535" spans="1:2" hidden="1" x14ac:dyDescent="0.25">
      <c r="A535" s="7" t="s">
        <v>8667</v>
      </c>
      <c r="B535" s="7" t="s">
        <v>1052</v>
      </c>
    </row>
    <row r="536" spans="1:2" hidden="1" x14ac:dyDescent="0.25">
      <c r="A536" s="7" t="s">
        <v>8509</v>
      </c>
      <c r="B536" s="7" t="s">
        <v>1054</v>
      </c>
    </row>
    <row r="537" spans="1:2" hidden="1" x14ac:dyDescent="0.25">
      <c r="A537" s="7" t="s">
        <v>8358</v>
      </c>
      <c r="B537" s="7" t="s">
        <v>1056</v>
      </c>
    </row>
    <row r="538" spans="1:2" hidden="1" x14ac:dyDescent="0.25">
      <c r="A538" s="7" t="s">
        <v>8210</v>
      </c>
      <c r="B538" s="7" t="s">
        <v>1058</v>
      </c>
    </row>
    <row r="539" spans="1:2" hidden="1" x14ac:dyDescent="0.25">
      <c r="A539" s="7" t="s">
        <v>8874</v>
      </c>
      <c r="B539" s="7" t="s">
        <v>1060</v>
      </c>
    </row>
    <row r="540" spans="1:2" hidden="1" x14ac:dyDescent="0.25">
      <c r="A540" s="7" t="s">
        <v>8408</v>
      </c>
      <c r="B540" s="7" t="s">
        <v>1062</v>
      </c>
    </row>
    <row r="541" spans="1:2" hidden="1" x14ac:dyDescent="0.25">
      <c r="A541" s="7" t="s">
        <v>8853</v>
      </c>
      <c r="B541" s="7" t="s">
        <v>1064</v>
      </c>
    </row>
    <row r="542" spans="1:2" hidden="1" x14ac:dyDescent="0.25">
      <c r="A542" s="7" t="s">
        <v>8939</v>
      </c>
      <c r="B542" s="7" t="s">
        <v>1066</v>
      </c>
    </row>
    <row r="543" spans="1:2" hidden="1" x14ac:dyDescent="0.25">
      <c r="A543" s="7" t="s">
        <v>8891</v>
      </c>
      <c r="B543" s="7" t="s">
        <v>466</v>
      </c>
    </row>
    <row r="544" spans="1:2" hidden="1" x14ac:dyDescent="0.25">
      <c r="A544" s="7" t="s">
        <v>8895</v>
      </c>
      <c r="B544" s="7" t="s">
        <v>1069</v>
      </c>
    </row>
    <row r="545" spans="1:2" hidden="1" x14ac:dyDescent="0.25">
      <c r="A545" s="7" t="s">
        <v>8936</v>
      </c>
      <c r="B545" s="7" t="s">
        <v>1071</v>
      </c>
    </row>
    <row r="546" spans="1:2" hidden="1" x14ac:dyDescent="0.25">
      <c r="A546" s="7" t="s">
        <v>8374</v>
      </c>
      <c r="B546" s="7" t="s">
        <v>1073</v>
      </c>
    </row>
    <row r="547" spans="1:2" hidden="1" x14ac:dyDescent="0.25">
      <c r="A547" s="7" t="s">
        <v>8768</v>
      </c>
      <c r="B547" s="7" t="s">
        <v>1075</v>
      </c>
    </row>
    <row r="548" spans="1:2" hidden="1" x14ac:dyDescent="0.25">
      <c r="A548" s="7" t="s">
        <v>8848</v>
      </c>
      <c r="B548" s="7" t="s">
        <v>1077</v>
      </c>
    </row>
    <row r="549" spans="1:2" hidden="1" x14ac:dyDescent="0.25">
      <c r="A549" s="7" t="s">
        <v>8470</v>
      </c>
      <c r="B549" s="7" t="s">
        <v>1079</v>
      </c>
    </row>
    <row r="550" spans="1:2" hidden="1" x14ac:dyDescent="0.25">
      <c r="A550" s="7" t="s">
        <v>8438</v>
      </c>
      <c r="B550" s="7" t="s">
        <v>1081</v>
      </c>
    </row>
    <row r="551" spans="1:2" hidden="1" x14ac:dyDescent="0.25">
      <c r="A551" s="7" t="s">
        <v>8948</v>
      </c>
      <c r="B551" s="7" t="s">
        <v>1083</v>
      </c>
    </row>
    <row r="552" spans="1:2" hidden="1" x14ac:dyDescent="0.25">
      <c r="A552" s="7" t="s">
        <v>8688</v>
      </c>
      <c r="B552" s="7" t="s">
        <v>1085</v>
      </c>
    </row>
    <row r="553" spans="1:2" hidden="1" x14ac:dyDescent="0.25">
      <c r="A553" s="7" t="s">
        <v>8868</v>
      </c>
      <c r="B553" s="7" t="s">
        <v>1087</v>
      </c>
    </row>
    <row r="554" spans="1:2" hidden="1" x14ac:dyDescent="0.25">
      <c r="A554" s="7" t="s">
        <v>8649</v>
      </c>
      <c r="B554" s="7" t="s">
        <v>1089</v>
      </c>
    </row>
    <row r="555" spans="1:2" hidden="1" x14ac:dyDescent="0.25">
      <c r="A555" s="7" t="s">
        <v>8252</v>
      </c>
      <c r="B555" s="7" t="s">
        <v>1091</v>
      </c>
    </row>
    <row r="556" spans="1:2" hidden="1" x14ac:dyDescent="0.25">
      <c r="A556" s="7" t="s">
        <v>8700</v>
      </c>
      <c r="B556" s="7" t="s">
        <v>1093</v>
      </c>
    </row>
    <row r="557" spans="1:2" hidden="1" x14ac:dyDescent="0.25">
      <c r="A557" s="7" t="s">
        <v>8938</v>
      </c>
      <c r="B557" s="7" t="s">
        <v>1095</v>
      </c>
    </row>
    <row r="558" spans="1:2" hidden="1" x14ac:dyDescent="0.25">
      <c r="A558" s="7" t="s">
        <v>8448</v>
      </c>
      <c r="B558" s="7" t="s">
        <v>1097</v>
      </c>
    </row>
    <row r="559" spans="1:2" hidden="1" x14ac:dyDescent="0.25">
      <c r="A559" s="7" t="s">
        <v>8687</v>
      </c>
      <c r="B559" s="7" t="s">
        <v>1099</v>
      </c>
    </row>
    <row r="560" spans="1:2" hidden="1" x14ac:dyDescent="0.25">
      <c r="A560" s="7" t="s">
        <v>8212</v>
      </c>
      <c r="B560" s="7" t="s">
        <v>1101</v>
      </c>
    </row>
    <row r="561" spans="1:2" hidden="1" x14ac:dyDescent="0.25">
      <c r="A561" s="7" t="s">
        <v>8902</v>
      </c>
      <c r="B561" s="7" t="s">
        <v>1103</v>
      </c>
    </row>
    <row r="562" spans="1:2" hidden="1" x14ac:dyDescent="0.25">
      <c r="A562" s="7" t="s">
        <v>8702</v>
      </c>
      <c r="B562" s="7" t="s">
        <v>1105</v>
      </c>
    </row>
    <row r="563" spans="1:2" hidden="1" x14ac:dyDescent="0.25">
      <c r="A563" s="7" t="s">
        <v>8213</v>
      </c>
      <c r="B563" s="7" t="s">
        <v>1107</v>
      </c>
    </row>
    <row r="564" spans="1:2" hidden="1" x14ac:dyDescent="0.25">
      <c r="A564" s="7" t="s">
        <v>8542</v>
      </c>
      <c r="B564" s="7" t="s">
        <v>1109</v>
      </c>
    </row>
    <row r="565" spans="1:2" hidden="1" x14ac:dyDescent="0.25">
      <c r="A565" s="7" t="s">
        <v>8613</v>
      </c>
      <c r="B565" s="7" t="s">
        <v>1111</v>
      </c>
    </row>
    <row r="566" spans="1:2" hidden="1" x14ac:dyDescent="0.25">
      <c r="A566" s="7" t="s">
        <v>8910</v>
      </c>
      <c r="B566" s="7" t="s">
        <v>1113</v>
      </c>
    </row>
    <row r="567" spans="1:2" hidden="1" x14ac:dyDescent="0.25">
      <c r="A567" s="7" t="s">
        <v>8660</v>
      </c>
      <c r="B567" s="7" t="s">
        <v>1115</v>
      </c>
    </row>
    <row r="568" spans="1:2" hidden="1" x14ac:dyDescent="0.25">
      <c r="A568" s="7" t="s">
        <v>8913</v>
      </c>
      <c r="B568" s="7" t="s">
        <v>1117</v>
      </c>
    </row>
    <row r="569" spans="1:2" hidden="1" x14ac:dyDescent="0.25">
      <c r="A569" s="7" t="s">
        <v>8992</v>
      </c>
      <c r="B569" s="7" t="s">
        <v>1119</v>
      </c>
    </row>
    <row r="570" spans="1:2" hidden="1" x14ac:dyDescent="0.25">
      <c r="A570" s="7" t="s">
        <v>8427</v>
      </c>
      <c r="B570" s="7" t="s">
        <v>1121</v>
      </c>
    </row>
    <row r="571" spans="1:2" hidden="1" x14ac:dyDescent="0.25">
      <c r="A571" s="7" t="s">
        <v>8672</v>
      </c>
      <c r="B571" s="7" t="s">
        <v>1123</v>
      </c>
    </row>
    <row r="572" spans="1:2" hidden="1" x14ac:dyDescent="0.25">
      <c r="A572" s="7" t="s">
        <v>8228</v>
      </c>
      <c r="B572" s="7" t="s">
        <v>1125</v>
      </c>
    </row>
    <row r="573" spans="1:2" hidden="1" x14ac:dyDescent="0.25">
      <c r="A573" s="7" t="s">
        <v>8447</v>
      </c>
      <c r="B573" s="7" t="s">
        <v>1127</v>
      </c>
    </row>
    <row r="574" spans="1:2" hidden="1" x14ac:dyDescent="0.25">
      <c r="A574" s="7" t="s">
        <v>8531</v>
      </c>
      <c r="B574" s="7" t="s">
        <v>1129</v>
      </c>
    </row>
    <row r="575" spans="1:2" hidden="1" x14ac:dyDescent="0.25">
      <c r="A575" s="7" t="s">
        <v>8951</v>
      </c>
      <c r="B575" s="7" t="s">
        <v>1131</v>
      </c>
    </row>
    <row r="576" spans="1:2" hidden="1" x14ac:dyDescent="0.25">
      <c r="A576" s="7" t="s">
        <v>8528</v>
      </c>
      <c r="B576" s="7" t="s">
        <v>1133</v>
      </c>
    </row>
    <row r="577" spans="1:2" hidden="1" x14ac:dyDescent="0.25">
      <c r="A577" s="7" t="s">
        <v>8879</v>
      </c>
      <c r="B577" s="7" t="s">
        <v>1135</v>
      </c>
    </row>
    <row r="578" spans="1:2" hidden="1" x14ac:dyDescent="0.25">
      <c r="A578" s="7" t="s">
        <v>8658</v>
      </c>
      <c r="B578" s="7" t="s">
        <v>1137</v>
      </c>
    </row>
    <row r="579" spans="1:2" hidden="1" x14ac:dyDescent="0.25">
      <c r="A579" s="7" t="s">
        <v>8844</v>
      </c>
      <c r="B579" s="7" t="s">
        <v>1139</v>
      </c>
    </row>
    <row r="580" spans="1:2" hidden="1" x14ac:dyDescent="0.25">
      <c r="A580" s="7" t="s">
        <v>8510</v>
      </c>
      <c r="B580" s="7" t="s">
        <v>1141</v>
      </c>
    </row>
    <row r="581" spans="1:2" hidden="1" x14ac:dyDescent="0.25">
      <c r="A581" s="7" t="s">
        <v>8554</v>
      </c>
      <c r="B581" s="7" t="s">
        <v>1143</v>
      </c>
    </row>
    <row r="582" spans="1:2" hidden="1" x14ac:dyDescent="0.25">
      <c r="A582" s="7" t="s">
        <v>8282</v>
      </c>
      <c r="B582" s="7" t="s">
        <v>1145</v>
      </c>
    </row>
    <row r="583" spans="1:2" hidden="1" x14ac:dyDescent="0.25">
      <c r="A583" s="7" t="s">
        <v>8548</v>
      </c>
      <c r="B583" s="7" t="s">
        <v>1147</v>
      </c>
    </row>
    <row r="584" spans="1:2" hidden="1" x14ac:dyDescent="0.25">
      <c r="A584" s="7" t="s">
        <v>8478</v>
      </c>
      <c r="B584" s="7" t="s">
        <v>1149</v>
      </c>
    </row>
    <row r="585" spans="1:2" hidden="1" x14ac:dyDescent="0.25">
      <c r="A585" s="7" t="s">
        <v>8357</v>
      </c>
      <c r="B585" s="7" t="s">
        <v>1151</v>
      </c>
    </row>
    <row r="586" spans="1:2" hidden="1" x14ac:dyDescent="0.25">
      <c r="A586" s="7" t="s">
        <v>8318</v>
      </c>
      <c r="B586" s="7" t="s">
        <v>1153</v>
      </c>
    </row>
    <row r="587" spans="1:2" hidden="1" x14ac:dyDescent="0.25">
      <c r="A587" s="7" t="s">
        <v>8611</v>
      </c>
      <c r="B587" s="7" t="s">
        <v>1155</v>
      </c>
    </row>
    <row r="588" spans="1:2" hidden="1" x14ac:dyDescent="0.25">
      <c r="A588" s="7" t="s">
        <v>8618</v>
      </c>
      <c r="B588" s="7" t="s">
        <v>1157</v>
      </c>
    </row>
    <row r="589" spans="1:2" hidden="1" x14ac:dyDescent="0.25">
      <c r="A589" s="7" t="s">
        <v>8631</v>
      </c>
      <c r="B589" s="7" t="s">
        <v>1159</v>
      </c>
    </row>
    <row r="590" spans="1:2" hidden="1" x14ac:dyDescent="0.25">
      <c r="A590" s="7" t="s">
        <v>8260</v>
      </c>
      <c r="B590" s="7" t="s">
        <v>1161</v>
      </c>
    </row>
    <row r="591" spans="1:2" hidden="1" x14ac:dyDescent="0.25">
      <c r="A591" s="7" t="s">
        <v>8912</v>
      </c>
      <c r="B591" s="7" t="s">
        <v>1163</v>
      </c>
    </row>
    <row r="592" spans="1:2" hidden="1" x14ac:dyDescent="0.25">
      <c r="A592" s="7" t="s">
        <v>8970</v>
      </c>
      <c r="B592" s="7" t="s">
        <v>1165</v>
      </c>
    </row>
    <row r="593" spans="1:2" hidden="1" x14ac:dyDescent="0.25">
      <c r="A593" s="7" t="s">
        <v>8549</v>
      </c>
      <c r="B593" s="7" t="s">
        <v>1167</v>
      </c>
    </row>
    <row r="594" spans="1:2" hidden="1" x14ac:dyDescent="0.25">
      <c r="A594" s="7" t="s">
        <v>8737</v>
      </c>
      <c r="B594" s="7" t="s">
        <v>1169</v>
      </c>
    </row>
    <row r="595" spans="1:2" hidden="1" x14ac:dyDescent="0.25">
      <c r="A595" s="7" t="s">
        <v>8571</v>
      </c>
      <c r="B595" s="7" t="s">
        <v>1171</v>
      </c>
    </row>
    <row r="596" spans="1:2" hidden="1" x14ac:dyDescent="0.25">
      <c r="A596" s="7" t="s">
        <v>8943</v>
      </c>
      <c r="B596" s="7" t="s">
        <v>1173</v>
      </c>
    </row>
    <row r="597" spans="1:2" hidden="1" x14ac:dyDescent="0.25">
      <c r="A597" s="7" t="s">
        <v>8650</v>
      </c>
      <c r="B597" s="7" t="s">
        <v>1175</v>
      </c>
    </row>
    <row r="598" spans="1:2" hidden="1" x14ac:dyDescent="0.25">
      <c r="A598" s="7" t="s">
        <v>8303</v>
      </c>
      <c r="B598" s="7" t="s">
        <v>1177</v>
      </c>
    </row>
    <row r="599" spans="1:2" hidden="1" x14ac:dyDescent="0.25">
      <c r="A599" s="7" t="s">
        <v>8353</v>
      </c>
      <c r="B599" s="7" t="s">
        <v>1179</v>
      </c>
    </row>
    <row r="600" spans="1:2" hidden="1" x14ac:dyDescent="0.25">
      <c r="A600" s="7" t="s">
        <v>8560</v>
      </c>
      <c r="B600" s="7" t="s">
        <v>1181</v>
      </c>
    </row>
    <row r="601" spans="1:2" hidden="1" x14ac:dyDescent="0.25">
      <c r="A601" s="7" t="s">
        <v>8803</v>
      </c>
      <c r="B601" s="7" t="s">
        <v>1183</v>
      </c>
    </row>
    <row r="602" spans="1:2" hidden="1" x14ac:dyDescent="0.25">
      <c r="A602" s="7" t="s">
        <v>8796</v>
      </c>
      <c r="B602" s="7" t="s">
        <v>1185</v>
      </c>
    </row>
    <row r="603" spans="1:2" hidden="1" x14ac:dyDescent="0.25">
      <c r="A603" s="7" t="s">
        <v>8217</v>
      </c>
      <c r="B603" s="7" t="s">
        <v>1187</v>
      </c>
    </row>
    <row r="604" spans="1:2" hidden="1" x14ac:dyDescent="0.25">
      <c r="A604" s="7" t="s">
        <v>8292</v>
      </c>
      <c r="B604" s="7" t="s">
        <v>1189</v>
      </c>
    </row>
    <row r="605" spans="1:2" hidden="1" x14ac:dyDescent="0.25">
      <c r="A605" s="7" t="s">
        <v>8858</v>
      </c>
      <c r="B605" s="7" t="s">
        <v>1191</v>
      </c>
    </row>
    <row r="606" spans="1:2" hidden="1" x14ac:dyDescent="0.25">
      <c r="A606" s="7" t="s">
        <v>8473</v>
      </c>
      <c r="B606" s="7" t="s">
        <v>1193</v>
      </c>
    </row>
    <row r="607" spans="1:2" hidden="1" x14ac:dyDescent="0.25">
      <c r="A607" s="7" t="s">
        <v>8223</v>
      </c>
      <c r="B607" s="7" t="s">
        <v>1195</v>
      </c>
    </row>
    <row r="608" spans="1:2" hidden="1" x14ac:dyDescent="0.25">
      <c r="A608" s="7" t="s">
        <v>8325</v>
      </c>
      <c r="B608" s="7" t="s">
        <v>1197</v>
      </c>
    </row>
    <row r="609" spans="1:2" hidden="1" x14ac:dyDescent="0.25">
      <c r="A609" s="7" t="s">
        <v>8827</v>
      </c>
      <c r="B609" s="7" t="s">
        <v>1199</v>
      </c>
    </row>
    <row r="610" spans="1:2" hidden="1" x14ac:dyDescent="0.25">
      <c r="A610" s="7" t="s">
        <v>8240</v>
      </c>
      <c r="B610" s="7" t="s">
        <v>1201</v>
      </c>
    </row>
    <row r="611" spans="1:2" hidden="1" x14ac:dyDescent="0.25">
      <c r="A611" s="7" t="s">
        <v>8308</v>
      </c>
      <c r="B611" s="7" t="s">
        <v>1203</v>
      </c>
    </row>
    <row r="612" spans="1:2" hidden="1" x14ac:dyDescent="0.25">
      <c r="A612" s="7" t="s">
        <v>8640</v>
      </c>
      <c r="B612" s="7" t="s">
        <v>1205</v>
      </c>
    </row>
    <row r="613" spans="1:2" hidden="1" x14ac:dyDescent="0.25">
      <c r="A613" s="7" t="s">
        <v>8720</v>
      </c>
      <c r="B613" s="7" t="s">
        <v>1207</v>
      </c>
    </row>
    <row r="614" spans="1:2" hidden="1" x14ac:dyDescent="0.25">
      <c r="A614" s="7" t="s">
        <v>8759</v>
      </c>
      <c r="B614" s="7" t="s">
        <v>1209</v>
      </c>
    </row>
    <row r="615" spans="1:2" hidden="1" x14ac:dyDescent="0.25">
      <c r="A615" s="7" t="s">
        <v>8482</v>
      </c>
      <c r="B615" s="7" t="s">
        <v>1211</v>
      </c>
    </row>
    <row r="616" spans="1:2" hidden="1" x14ac:dyDescent="0.25">
      <c r="A616" s="7" t="s">
        <v>8959</v>
      </c>
      <c r="B616" s="7" t="s">
        <v>1213</v>
      </c>
    </row>
    <row r="617" spans="1:2" hidden="1" x14ac:dyDescent="0.25">
      <c r="A617" s="7" t="s">
        <v>8535</v>
      </c>
      <c r="B617" s="7" t="s">
        <v>1215</v>
      </c>
    </row>
    <row r="618" spans="1:2" hidden="1" x14ac:dyDescent="0.25">
      <c r="A618" s="7" t="s">
        <v>8988</v>
      </c>
      <c r="B618" s="7" t="s">
        <v>1217</v>
      </c>
    </row>
    <row r="619" spans="1:2" hidden="1" x14ac:dyDescent="0.25">
      <c r="A619" s="7" t="s">
        <v>8564</v>
      </c>
      <c r="B619" s="7" t="s">
        <v>1219</v>
      </c>
    </row>
    <row r="620" spans="1:2" hidden="1" x14ac:dyDescent="0.25">
      <c r="A620" s="7" t="s">
        <v>8583</v>
      </c>
      <c r="B620" s="7" t="s">
        <v>1221</v>
      </c>
    </row>
    <row r="621" spans="1:2" hidden="1" x14ac:dyDescent="0.25">
      <c r="A621" s="7" t="s">
        <v>8533</v>
      </c>
      <c r="B621" s="7" t="s">
        <v>1223</v>
      </c>
    </row>
    <row r="622" spans="1:2" hidden="1" x14ac:dyDescent="0.25">
      <c r="A622" s="7" t="s">
        <v>8224</v>
      </c>
      <c r="B622" s="7" t="s">
        <v>1225</v>
      </c>
    </row>
    <row r="623" spans="1:2" hidden="1" x14ac:dyDescent="0.25">
      <c r="A623" s="7" t="s">
        <v>8250</v>
      </c>
      <c r="B623" s="7" t="s">
        <v>1227</v>
      </c>
    </row>
    <row r="624" spans="1:2" hidden="1" x14ac:dyDescent="0.25">
      <c r="A624" s="7" t="s">
        <v>8387</v>
      </c>
      <c r="B624" s="7" t="s">
        <v>1229</v>
      </c>
    </row>
    <row r="625" spans="1:2" hidden="1" x14ac:dyDescent="0.25">
      <c r="A625" s="7" t="s">
        <v>8666</v>
      </c>
      <c r="B625" s="7" t="s">
        <v>1231</v>
      </c>
    </row>
    <row r="626" spans="1:2" hidden="1" x14ac:dyDescent="0.25">
      <c r="A626" s="7" t="s">
        <v>8295</v>
      </c>
      <c r="B626" s="7" t="s">
        <v>1233</v>
      </c>
    </row>
    <row r="627" spans="1:2" hidden="1" x14ac:dyDescent="0.25">
      <c r="A627" s="7" t="s">
        <v>8566</v>
      </c>
      <c r="B627" s="7" t="s">
        <v>1235</v>
      </c>
    </row>
    <row r="628" spans="1:2" hidden="1" x14ac:dyDescent="0.25">
      <c r="A628" s="7" t="s">
        <v>8744</v>
      </c>
      <c r="B628" s="7" t="s">
        <v>1237</v>
      </c>
    </row>
    <row r="629" spans="1:2" hidden="1" x14ac:dyDescent="0.25">
      <c r="A629" s="7" t="s">
        <v>8455</v>
      </c>
      <c r="B629" s="7" t="s">
        <v>1239</v>
      </c>
    </row>
    <row r="630" spans="1:2" hidden="1" x14ac:dyDescent="0.25">
      <c r="A630" s="7" t="s">
        <v>8271</v>
      </c>
      <c r="B630" s="7" t="s">
        <v>1241</v>
      </c>
    </row>
    <row r="631" spans="1:2" hidden="1" x14ac:dyDescent="0.25">
      <c r="A631" s="7" t="s">
        <v>8931</v>
      </c>
      <c r="B631" s="7" t="s">
        <v>1243</v>
      </c>
    </row>
    <row r="632" spans="1:2" hidden="1" x14ac:dyDescent="0.25">
      <c r="A632" s="7" t="s">
        <v>8656</v>
      </c>
      <c r="B632" s="7" t="s">
        <v>1245</v>
      </c>
    </row>
    <row r="633" spans="1:2" hidden="1" x14ac:dyDescent="0.25">
      <c r="A633" s="7" t="s">
        <v>8843</v>
      </c>
      <c r="B633" s="7" t="s">
        <v>1247</v>
      </c>
    </row>
    <row r="634" spans="1:2" hidden="1" x14ac:dyDescent="0.25">
      <c r="A634" s="7" t="s">
        <v>8439</v>
      </c>
      <c r="B634" s="7" t="s">
        <v>1249</v>
      </c>
    </row>
    <row r="635" spans="1:2" hidden="1" x14ac:dyDescent="0.25">
      <c r="A635" s="7" t="s">
        <v>8311</v>
      </c>
      <c r="B635" s="7" t="s">
        <v>1251</v>
      </c>
    </row>
    <row r="636" spans="1:2" hidden="1" x14ac:dyDescent="0.25">
      <c r="A636" s="7" t="s">
        <v>8883</v>
      </c>
      <c r="B636" s="7" t="s">
        <v>1253</v>
      </c>
    </row>
    <row r="637" spans="1:2" hidden="1" x14ac:dyDescent="0.25">
      <c r="A637" s="7" t="s">
        <v>8488</v>
      </c>
      <c r="B637" s="7" t="s">
        <v>1255</v>
      </c>
    </row>
    <row r="638" spans="1:2" hidden="1" x14ac:dyDescent="0.25">
      <c r="A638" s="7" t="s">
        <v>8838</v>
      </c>
      <c r="B638" s="7" t="s">
        <v>1257</v>
      </c>
    </row>
    <row r="639" spans="1:2" hidden="1" x14ac:dyDescent="0.25">
      <c r="A639" s="7" t="s">
        <v>8449</v>
      </c>
      <c r="B639" s="7" t="s">
        <v>1259</v>
      </c>
    </row>
    <row r="640" spans="1:2" hidden="1" x14ac:dyDescent="0.25">
      <c r="A640" s="7" t="s">
        <v>8783</v>
      </c>
      <c r="B640" s="7" t="s">
        <v>1261</v>
      </c>
    </row>
    <row r="641" spans="1:2" hidden="1" x14ac:dyDescent="0.25">
      <c r="A641" s="7" t="s">
        <v>8475</v>
      </c>
      <c r="B641" s="7" t="s">
        <v>1263</v>
      </c>
    </row>
    <row r="642" spans="1:2" hidden="1" x14ac:dyDescent="0.25">
      <c r="A642" s="7" t="s">
        <v>8757</v>
      </c>
      <c r="B642" s="7" t="s">
        <v>1265</v>
      </c>
    </row>
    <row r="643" spans="1:2" hidden="1" x14ac:dyDescent="0.25">
      <c r="A643" s="7" t="s">
        <v>8536</v>
      </c>
      <c r="B643" s="7" t="s">
        <v>1267</v>
      </c>
    </row>
    <row r="644" spans="1:2" hidden="1" x14ac:dyDescent="0.25">
      <c r="A644" s="7" t="s">
        <v>8304</v>
      </c>
      <c r="B644" s="7" t="s">
        <v>1269</v>
      </c>
    </row>
    <row r="645" spans="1:2" hidden="1" x14ac:dyDescent="0.25">
      <c r="A645" s="7" t="s">
        <v>8440</v>
      </c>
      <c r="B645" s="7" t="s">
        <v>1271</v>
      </c>
    </row>
    <row r="646" spans="1:2" hidden="1" x14ac:dyDescent="0.25">
      <c r="A646" s="7" t="s">
        <v>8743</v>
      </c>
      <c r="B646" s="7" t="s">
        <v>1273</v>
      </c>
    </row>
    <row r="647" spans="1:2" hidden="1" x14ac:dyDescent="0.25">
      <c r="A647" s="7" t="s">
        <v>8875</v>
      </c>
      <c r="B647" s="7" t="s">
        <v>1275</v>
      </c>
    </row>
    <row r="648" spans="1:2" hidden="1" x14ac:dyDescent="0.25">
      <c r="A648" s="7" t="s">
        <v>8723</v>
      </c>
      <c r="B648" s="7" t="s">
        <v>1277</v>
      </c>
    </row>
    <row r="649" spans="1:2" hidden="1" x14ac:dyDescent="0.25">
      <c r="A649" s="7" t="s">
        <v>8819</v>
      </c>
      <c r="B649" s="7" t="s">
        <v>1279</v>
      </c>
    </row>
    <row r="650" spans="1:2" hidden="1" x14ac:dyDescent="0.25">
      <c r="A650" s="7" t="s">
        <v>8765</v>
      </c>
      <c r="B650" s="7" t="s">
        <v>1281</v>
      </c>
    </row>
    <row r="651" spans="1:2" hidden="1" x14ac:dyDescent="0.25">
      <c r="A651" s="7" t="s">
        <v>8633</v>
      </c>
      <c r="B651" s="7" t="s">
        <v>1283</v>
      </c>
    </row>
    <row r="652" spans="1:2" hidden="1" x14ac:dyDescent="0.25">
      <c r="A652" s="7" t="s">
        <v>8484</v>
      </c>
      <c r="B652" s="7" t="s">
        <v>1285</v>
      </c>
    </row>
    <row r="653" spans="1:2" hidden="1" x14ac:dyDescent="0.25">
      <c r="A653" s="7" t="s">
        <v>8826</v>
      </c>
      <c r="B653" s="7" t="s">
        <v>1287</v>
      </c>
    </row>
    <row r="654" spans="1:2" hidden="1" x14ac:dyDescent="0.25">
      <c r="A654" s="7" t="s">
        <v>8464</v>
      </c>
      <c r="B654" s="7" t="s">
        <v>1289</v>
      </c>
    </row>
    <row r="655" spans="1:2" hidden="1" x14ac:dyDescent="0.25">
      <c r="A655" s="7" t="s">
        <v>8748</v>
      </c>
      <c r="B655" s="7" t="s">
        <v>1291</v>
      </c>
    </row>
    <row r="656" spans="1:2" hidden="1" x14ac:dyDescent="0.25">
      <c r="A656" s="7" t="s">
        <v>8679</v>
      </c>
      <c r="B656" s="7" t="s">
        <v>1293</v>
      </c>
    </row>
    <row r="657" spans="1:2" hidden="1" x14ac:dyDescent="0.25">
      <c r="A657" s="7" t="s">
        <v>8209</v>
      </c>
      <c r="B657" s="7" t="s">
        <v>1295</v>
      </c>
    </row>
    <row r="658" spans="1:2" hidden="1" x14ac:dyDescent="0.25">
      <c r="A658" s="7" t="s">
        <v>8866</v>
      </c>
      <c r="B658" s="7" t="s">
        <v>1297</v>
      </c>
    </row>
    <row r="659" spans="1:2" hidden="1" x14ac:dyDescent="0.25">
      <c r="A659" s="7" t="s">
        <v>8780</v>
      </c>
      <c r="B659" s="7" t="s">
        <v>1299</v>
      </c>
    </row>
    <row r="660" spans="1:2" hidden="1" x14ac:dyDescent="0.25">
      <c r="A660" s="7" t="s">
        <v>8644</v>
      </c>
      <c r="B660" s="7" t="s">
        <v>1301</v>
      </c>
    </row>
    <row r="661" spans="1:2" hidden="1" x14ac:dyDescent="0.25">
      <c r="A661" s="7" t="s">
        <v>8624</v>
      </c>
      <c r="B661" s="7" t="s">
        <v>1303</v>
      </c>
    </row>
    <row r="662" spans="1:2" hidden="1" x14ac:dyDescent="0.25">
      <c r="A662" s="7" t="s">
        <v>8727</v>
      </c>
      <c r="B662" s="7" t="s">
        <v>1305</v>
      </c>
    </row>
    <row r="663" spans="1:2" hidden="1" x14ac:dyDescent="0.25">
      <c r="A663" s="7" t="s">
        <v>8616</v>
      </c>
      <c r="B663" s="7" t="s">
        <v>1307</v>
      </c>
    </row>
    <row r="664" spans="1:2" hidden="1" x14ac:dyDescent="0.25">
      <c r="A664" s="7" t="s">
        <v>8281</v>
      </c>
      <c r="B664" s="7" t="s">
        <v>1309</v>
      </c>
    </row>
    <row r="665" spans="1:2" hidden="1" x14ac:dyDescent="0.25">
      <c r="A665" s="7" t="s">
        <v>8851</v>
      </c>
      <c r="B665" s="7" t="s">
        <v>1311</v>
      </c>
    </row>
    <row r="666" spans="1:2" hidden="1" x14ac:dyDescent="0.25">
      <c r="A666" s="7" t="s">
        <v>8204</v>
      </c>
      <c r="B666" s="7" t="s">
        <v>1313</v>
      </c>
    </row>
    <row r="667" spans="1:2" hidden="1" x14ac:dyDescent="0.25">
      <c r="A667" s="7" t="s">
        <v>8673</v>
      </c>
      <c r="B667" s="7" t="s">
        <v>1315</v>
      </c>
    </row>
    <row r="668" spans="1:2" hidden="1" x14ac:dyDescent="0.25">
      <c r="A668" s="7" t="s">
        <v>8857</v>
      </c>
      <c r="B668" s="7" t="s">
        <v>1317</v>
      </c>
    </row>
    <row r="669" spans="1:2" hidden="1" x14ac:dyDescent="0.25">
      <c r="A669" s="7" t="s">
        <v>8234</v>
      </c>
      <c r="B669" s="7" t="s">
        <v>1319</v>
      </c>
    </row>
    <row r="670" spans="1:2" hidden="1" x14ac:dyDescent="0.25">
      <c r="A670" s="7" t="s">
        <v>8820</v>
      </c>
      <c r="B670" s="7" t="s">
        <v>1321</v>
      </c>
    </row>
    <row r="671" spans="1:2" hidden="1" x14ac:dyDescent="0.25">
      <c r="A671" s="7" t="s">
        <v>8915</v>
      </c>
      <c r="B671" s="7" t="s">
        <v>1323</v>
      </c>
    </row>
    <row r="672" spans="1:2" hidden="1" x14ac:dyDescent="0.25">
      <c r="A672" s="7" t="s">
        <v>8980</v>
      </c>
      <c r="B672" s="7" t="s">
        <v>1325</v>
      </c>
    </row>
    <row r="673" spans="1:2" hidden="1" x14ac:dyDescent="0.25">
      <c r="A673" s="7" t="s">
        <v>8741</v>
      </c>
      <c r="B673" s="7" t="s">
        <v>1327</v>
      </c>
    </row>
    <row r="674" spans="1:2" hidden="1" x14ac:dyDescent="0.25">
      <c r="A674" s="7" t="s">
        <v>8901</v>
      </c>
      <c r="B674" s="7" t="s">
        <v>1329</v>
      </c>
    </row>
    <row r="675" spans="1:2" hidden="1" x14ac:dyDescent="0.25">
      <c r="A675" s="7" t="s">
        <v>8505</v>
      </c>
      <c r="B675" s="7" t="s">
        <v>1331</v>
      </c>
    </row>
    <row r="676" spans="1:2" hidden="1" x14ac:dyDescent="0.25">
      <c r="A676" s="7" t="s">
        <v>8534</v>
      </c>
      <c r="B676" s="7" t="s">
        <v>1333</v>
      </c>
    </row>
    <row r="677" spans="1:2" hidden="1" x14ac:dyDescent="0.25">
      <c r="A677" s="7" t="s">
        <v>8955</v>
      </c>
      <c r="B677" s="7" t="s">
        <v>1335</v>
      </c>
    </row>
    <row r="678" spans="1:2" hidden="1" x14ac:dyDescent="0.25">
      <c r="A678" s="7" t="s">
        <v>8302</v>
      </c>
      <c r="B678" s="7" t="s">
        <v>1337</v>
      </c>
    </row>
    <row r="679" spans="1:2" hidden="1" x14ac:dyDescent="0.25">
      <c r="A679" s="7" t="s">
        <v>8953</v>
      </c>
      <c r="B679" s="7" t="s">
        <v>1339</v>
      </c>
    </row>
    <row r="680" spans="1:2" hidden="1" x14ac:dyDescent="0.25">
      <c r="A680" s="7" t="s">
        <v>8905</v>
      </c>
      <c r="B680" s="7" t="s">
        <v>279</v>
      </c>
    </row>
    <row r="681" spans="1:2" hidden="1" x14ac:dyDescent="0.25">
      <c r="A681" s="7" t="s">
        <v>8960</v>
      </c>
      <c r="B681" s="7" t="s">
        <v>431</v>
      </c>
    </row>
    <row r="682" spans="1:2" hidden="1" x14ac:dyDescent="0.25">
      <c r="A682" s="7" t="s">
        <v>8669</v>
      </c>
      <c r="B682" s="7" t="s">
        <v>1344</v>
      </c>
    </row>
    <row r="683" spans="1:2" hidden="1" x14ac:dyDescent="0.25">
      <c r="A683" s="7" t="s">
        <v>8565</v>
      </c>
      <c r="B683" s="7" t="s">
        <v>1346</v>
      </c>
    </row>
    <row r="684" spans="1:2" hidden="1" x14ac:dyDescent="0.25">
      <c r="A684" s="7" t="s">
        <v>8726</v>
      </c>
      <c r="B684" s="7" t="s">
        <v>1348</v>
      </c>
    </row>
    <row r="685" spans="1:2" hidden="1" x14ac:dyDescent="0.25">
      <c r="A685" s="7" t="s">
        <v>8339</v>
      </c>
      <c r="B685" s="7" t="s">
        <v>1350</v>
      </c>
    </row>
    <row r="686" spans="1:2" hidden="1" x14ac:dyDescent="0.25">
      <c r="A686" s="7" t="s">
        <v>8950</v>
      </c>
      <c r="B686" s="7" t="s">
        <v>1352</v>
      </c>
    </row>
    <row r="687" spans="1:2" hidden="1" x14ac:dyDescent="0.25">
      <c r="A687" s="7" t="s">
        <v>8416</v>
      </c>
      <c r="B687" s="7" t="s">
        <v>1354</v>
      </c>
    </row>
    <row r="688" spans="1:2" hidden="1" x14ac:dyDescent="0.25">
      <c r="A688" s="7" t="s">
        <v>8734</v>
      </c>
      <c r="B688" s="7" t="s">
        <v>1356</v>
      </c>
    </row>
    <row r="689" spans="1:2" hidden="1" x14ac:dyDescent="0.25">
      <c r="A689" s="7" t="s">
        <v>8605</v>
      </c>
      <c r="B689" s="7" t="s">
        <v>1358</v>
      </c>
    </row>
    <row r="690" spans="1:2" hidden="1" x14ac:dyDescent="0.25">
      <c r="A690" s="7" t="s">
        <v>8885</v>
      </c>
      <c r="B690" s="7" t="s">
        <v>1360</v>
      </c>
    </row>
    <row r="691" spans="1:2" hidden="1" x14ac:dyDescent="0.25">
      <c r="A691" s="7" t="s">
        <v>8873</v>
      </c>
      <c r="B691" s="7" t="s">
        <v>1362</v>
      </c>
    </row>
    <row r="692" spans="1:2" hidden="1" x14ac:dyDescent="0.25">
      <c r="A692" s="7" t="s">
        <v>8927</v>
      </c>
      <c r="B692" s="7" t="s">
        <v>1364</v>
      </c>
    </row>
    <row r="693" spans="1:2" hidden="1" x14ac:dyDescent="0.25">
      <c r="A693" s="7" t="s">
        <v>8835</v>
      </c>
      <c r="B693" s="7" t="s">
        <v>1366</v>
      </c>
    </row>
    <row r="694" spans="1:2" hidden="1" x14ac:dyDescent="0.25">
      <c r="A694" s="7" t="s">
        <v>8982</v>
      </c>
      <c r="B694" s="7" t="s">
        <v>1368</v>
      </c>
    </row>
    <row r="695" spans="1:2" hidden="1" x14ac:dyDescent="0.25">
      <c r="A695" s="7" t="s">
        <v>8766</v>
      </c>
      <c r="B695" s="7" t="s">
        <v>1370</v>
      </c>
    </row>
    <row r="696" spans="1:2" hidden="1" x14ac:dyDescent="0.25">
      <c r="A696" s="7" t="s">
        <v>8545</v>
      </c>
      <c r="B696" s="7" t="s">
        <v>1372</v>
      </c>
    </row>
    <row r="697" spans="1:2" hidden="1" x14ac:dyDescent="0.25">
      <c r="A697" s="7" t="s">
        <v>8705</v>
      </c>
      <c r="B697" s="7" t="s">
        <v>1374</v>
      </c>
    </row>
    <row r="698" spans="1:2" hidden="1" x14ac:dyDescent="0.25">
      <c r="A698" s="7" t="s">
        <v>8451</v>
      </c>
      <c r="B698" s="7" t="s">
        <v>1376</v>
      </c>
    </row>
    <row r="699" spans="1:2" hidden="1" x14ac:dyDescent="0.25">
      <c r="A699" s="7" t="s">
        <v>8941</v>
      </c>
      <c r="B699" s="7" t="s">
        <v>1378</v>
      </c>
    </row>
    <row r="700" spans="1:2" hidden="1" x14ac:dyDescent="0.25">
      <c r="A700" s="7" t="s">
        <v>8585</v>
      </c>
      <c r="B700" s="7" t="s">
        <v>1380</v>
      </c>
    </row>
    <row r="701" spans="1:2" hidden="1" x14ac:dyDescent="0.25">
      <c r="A701" s="7" t="s">
        <v>8830</v>
      </c>
      <c r="B701" s="7" t="s">
        <v>1382</v>
      </c>
    </row>
    <row r="702" spans="1:2" hidden="1" x14ac:dyDescent="0.25">
      <c r="A702" s="7" t="s">
        <v>8872</v>
      </c>
      <c r="B702" s="7" t="s">
        <v>1384</v>
      </c>
    </row>
    <row r="703" spans="1:2" hidden="1" x14ac:dyDescent="0.25">
      <c r="A703" s="7" t="s">
        <v>8221</v>
      </c>
      <c r="B703" s="7" t="s">
        <v>1386</v>
      </c>
    </row>
    <row r="704" spans="1:2" hidden="1" x14ac:dyDescent="0.25">
      <c r="A704" s="7" t="s">
        <v>8956</v>
      </c>
      <c r="B704" s="7" t="s">
        <v>1388</v>
      </c>
    </row>
    <row r="705" spans="1:2" hidden="1" x14ac:dyDescent="0.25">
      <c r="A705" s="7" t="s">
        <v>8345</v>
      </c>
      <c r="B705" s="7" t="s">
        <v>1390</v>
      </c>
    </row>
    <row r="706" spans="1:2" hidden="1" x14ac:dyDescent="0.25">
      <c r="A706" s="7" t="s">
        <v>8215</v>
      </c>
      <c r="B706" s="7" t="s">
        <v>1392</v>
      </c>
    </row>
    <row r="707" spans="1:2" hidden="1" x14ac:dyDescent="0.25">
      <c r="A707" s="7" t="s">
        <v>8557</v>
      </c>
      <c r="B707" s="7" t="s">
        <v>1394</v>
      </c>
    </row>
    <row r="708" spans="1:2" hidden="1" x14ac:dyDescent="0.25">
      <c r="A708" s="7" t="s">
        <v>8268</v>
      </c>
      <c r="B708" s="7" t="s">
        <v>1396</v>
      </c>
    </row>
    <row r="709" spans="1:2" hidden="1" x14ac:dyDescent="0.25">
      <c r="A709" s="7" t="s">
        <v>8365</v>
      </c>
      <c r="B709" s="7" t="s">
        <v>1398</v>
      </c>
    </row>
    <row r="710" spans="1:2" hidden="1" x14ac:dyDescent="0.25">
      <c r="A710" s="7" t="s">
        <v>8850</v>
      </c>
      <c r="B710" s="7" t="s">
        <v>1400</v>
      </c>
    </row>
    <row r="711" spans="1:2" hidden="1" x14ac:dyDescent="0.25">
      <c r="A711" s="7" t="s">
        <v>8587</v>
      </c>
      <c r="B711" s="7" t="s">
        <v>1402</v>
      </c>
    </row>
    <row r="712" spans="1:2" hidden="1" x14ac:dyDescent="0.25">
      <c r="A712" s="7" t="s">
        <v>8693</v>
      </c>
      <c r="B712" s="7" t="s">
        <v>1404</v>
      </c>
    </row>
    <row r="713" spans="1:2" hidden="1" x14ac:dyDescent="0.25">
      <c r="A713" s="7" t="s">
        <v>8547</v>
      </c>
      <c r="B713" s="7" t="s">
        <v>1406</v>
      </c>
    </row>
    <row r="714" spans="1:2" hidden="1" x14ac:dyDescent="0.25">
      <c r="A714" s="7" t="s">
        <v>8781</v>
      </c>
      <c r="B714" s="7" t="s">
        <v>1408</v>
      </c>
    </row>
    <row r="715" spans="1:2" hidden="1" x14ac:dyDescent="0.25">
      <c r="A715" s="7" t="s">
        <v>8811</v>
      </c>
      <c r="B715" s="7" t="s">
        <v>1410</v>
      </c>
    </row>
    <row r="716" spans="1:2" hidden="1" x14ac:dyDescent="0.25">
      <c r="A716" s="7" t="s">
        <v>8277</v>
      </c>
      <c r="B716" s="7" t="s">
        <v>1412</v>
      </c>
    </row>
    <row r="717" spans="1:2" hidden="1" x14ac:dyDescent="0.25">
      <c r="A717" s="7" t="s">
        <v>8762</v>
      </c>
      <c r="B717" s="7" t="s">
        <v>1414</v>
      </c>
    </row>
    <row r="718" spans="1:2" hidden="1" x14ac:dyDescent="0.25">
      <c r="A718" s="7" t="s">
        <v>8739</v>
      </c>
      <c r="B718" s="7" t="s">
        <v>1416</v>
      </c>
    </row>
    <row r="719" spans="1:2" hidden="1" x14ac:dyDescent="0.25">
      <c r="A719" s="7" t="s">
        <v>8989</v>
      </c>
      <c r="B719" s="7" t="s">
        <v>1418</v>
      </c>
    </row>
    <row r="720" spans="1:2" hidden="1" x14ac:dyDescent="0.25">
      <c r="A720" s="7" t="s">
        <v>8467</v>
      </c>
      <c r="B720" s="7" t="s">
        <v>1420</v>
      </c>
    </row>
    <row r="721" spans="1:2" hidden="1" x14ac:dyDescent="0.25">
      <c r="A721" s="7" t="s">
        <v>8256</v>
      </c>
      <c r="B721" s="7" t="s">
        <v>1422</v>
      </c>
    </row>
    <row r="722" spans="1:2" hidden="1" x14ac:dyDescent="0.25">
      <c r="A722" s="7" t="s">
        <v>8293</v>
      </c>
      <c r="B722" s="7" t="s">
        <v>1424</v>
      </c>
    </row>
    <row r="723" spans="1:2" hidden="1" x14ac:dyDescent="0.25">
      <c r="A723" s="7" t="s">
        <v>8876</v>
      </c>
      <c r="B723" s="7" t="s">
        <v>1426</v>
      </c>
    </row>
    <row r="724" spans="1:2" hidden="1" x14ac:dyDescent="0.25">
      <c r="A724" s="7" t="s">
        <v>8601</v>
      </c>
      <c r="B724" s="7" t="s">
        <v>1428</v>
      </c>
    </row>
    <row r="725" spans="1:2" hidden="1" x14ac:dyDescent="0.25">
      <c r="A725" s="7" t="s">
        <v>8575</v>
      </c>
      <c r="B725" s="7" t="s">
        <v>1430</v>
      </c>
    </row>
    <row r="726" spans="1:2" hidden="1" x14ac:dyDescent="0.25">
      <c r="A726" s="7" t="s">
        <v>8751</v>
      </c>
      <c r="B726" s="7" t="s">
        <v>1432</v>
      </c>
    </row>
    <row r="727" spans="1:2" hidden="1" x14ac:dyDescent="0.25">
      <c r="A727" s="7" t="s">
        <v>8300</v>
      </c>
      <c r="B727" s="7" t="s">
        <v>1434</v>
      </c>
    </row>
    <row r="728" spans="1:2" hidden="1" x14ac:dyDescent="0.25">
      <c r="A728" s="7" t="s">
        <v>8590</v>
      </c>
      <c r="B728" s="7" t="s">
        <v>1436</v>
      </c>
    </row>
    <row r="729" spans="1:2" hidden="1" x14ac:dyDescent="0.25">
      <c r="A729" s="7" t="s">
        <v>8790</v>
      </c>
      <c r="B729" s="7" t="s">
        <v>1438</v>
      </c>
    </row>
    <row r="730" spans="1:2" hidden="1" x14ac:dyDescent="0.25">
      <c r="A730" s="7" t="s">
        <v>8619</v>
      </c>
      <c r="B730" s="7" t="s">
        <v>1440</v>
      </c>
    </row>
    <row r="731" spans="1:2" hidden="1" x14ac:dyDescent="0.25">
      <c r="A731" s="7" t="s">
        <v>8483</v>
      </c>
      <c r="B731" s="7" t="s">
        <v>1442</v>
      </c>
    </row>
    <row r="732" spans="1:2" hidden="1" x14ac:dyDescent="0.25">
      <c r="A732" s="7" t="s">
        <v>8798</v>
      </c>
      <c r="B732" s="7" t="s">
        <v>1444</v>
      </c>
    </row>
    <row r="733" spans="1:2" hidden="1" x14ac:dyDescent="0.25">
      <c r="A733" s="7" t="s">
        <v>8925</v>
      </c>
      <c r="B733" s="7" t="s">
        <v>8926</v>
      </c>
    </row>
    <row r="734" spans="1:2" hidden="1" x14ac:dyDescent="0.25">
      <c r="A734" s="7" t="s">
        <v>8761</v>
      </c>
      <c r="B734" s="7" t="s">
        <v>1448</v>
      </c>
    </row>
    <row r="735" spans="1:2" hidden="1" x14ac:dyDescent="0.25">
      <c r="A735" s="7" t="s">
        <v>8802</v>
      </c>
      <c r="B735" s="7" t="s">
        <v>1450</v>
      </c>
    </row>
    <row r="736" spans="1:2" hidden="1" x14ac:dyDescent="0.25">
      <c r="A736" s="7" t="s">
        <v>8793</v>
      </c>
      <c r="B736" s="7" t="s">
        <v>1452</v>
      </c>
    </row>
    <row r="737" spans="1:2" hidden="1" x14ac:dyDescent="0.25">
      <c r="A737" s="7" t="s">
        <v>8572</v>
      </c>
      <c r="B737" s="7" t="s">
        <v>1454</v>
      </c>
    </row>
    <row r="738" spans="1:2" hidden="1" x14ac:dyDescent="0.25">
      <c r="A738" s="7" t="s">
        <v>8816</v>
      </c>
      <c r="B738" s="7" t="s">
        <v>1456</v>
      </c>
    </row>
    <row r="739" spans="1:2" hidden="1" x14ac:dyDescent="0.25">
      <c r="A739" s="7" t="s">
        <v>8555</v>
      </c>
      <c r="B739" s="7" t="s">
        <v>1458</v>
      </c>
    </row>
    <row r="740" spans="1:2" hidden="1" x14ac:dyDescent="0.25">
      <c r="A740" s="7" t="s">
        <v>8852</v>
      </c>
      <c r="B740" s="7" t="s">
        <v>1460</v>
      </c>
    </row>
    <row r="741" spans="1:2" hidden="1" x14ac:dyDescent="0.25">
      <c r="A741" s="7" t="s">
        <v>8435</v>
      </c>
      <c r="B741" s="7" t="s">
        <v>1462</v>
      </c>
    </row>
    <row r="742" spans="1:2" hidden="1" x14ac:dyDescent="0.25">
      <c r="A742" s="7" t="s">
        <v>8824</v>
      </c>
      <c r="B742" s="7" t="s">
        <v>1464</v>
      </c>
    </row>
    <row r="743" spans="1:2" hidden="1" x14ac:dyDescent="0.25">
      <c r="A743" s="7" t="s">
        <v>8504</v>
      </c>
      <c r="B743" s="7" t="s">
        <v>1466</v>
      </c>
    </row>
    <row r="744" spans="1:2" hidden="1" x14ac:dyDescent="0.25">
      <c r="A744" s="7" t="s">
        <v>8966</v>
      </c>
      <c r="B744" s="7" t="s">
        <v>1468</v>
      </c>
    </row>
    <row r="745" spans="1:2" hidden="1" x14ac:dyDescent="0.25">
      <c r="A745" s="7" t="s">
        <v>8647</v>
      </c>
      <c r="B745" s="7" t="s">
        <v>1470</v>
      </c>
    </row>
    <row r="746" spans="1:2" hidden="1" x14ac:dyDescent="0.25">
      <c r="A746" s="7" t="s">
        <v>8395</v>
      </c>
      <c r="B746" s="7" t="s">
        <v>1472</v>
      </c>
    </row>
    <row r="747" spans="1:2" hidden="1" x14ac:dyDescent="0.25">
      <c r="A747" s="7" t="s">
        <v>8707</v>
      </c>
      <c r="B747" s="7" t="s">
        <v>1474</v>
      </c>
    </row>
    <row r="748" spans="1:2" hidden="1" x14ac:dyDescent="0.25">
      <c r="A748" s="7" t="s">
        <v>8668</v>
      </c>
      <c r="B748" s="7" t="s">
        <v>1476</v>
      </c>
    </row>
    <row r="749" spans="1:2" hidden="1" x14ac:dyDescent="0.25">
      <c r="A749" s="7" t="s">
        <v>8258</v>
      </c>
      <c r="B749" s="7" t="s">
        <v>1478</v>
      </c>
    </row>
    <row r="750" spans="1:2" hidden="1" x14ac:dyDescent="0.25">
      <c r="A750" s="7" t="s">
        <v>8525</v>
      </c>
      <c r="B750" s="7" t="s">
        <v>1480</v>
      </c>
    </row>
    <row r="751" spans="1:2" hidden="1" x14ac:dyDescent="0.25">
      <c r="A751" s="7" t="s">
        <v>8776</v>
      </c>
      <c r="B751" s="7" t="s">
        <v>1482</v>
      </c>
    </row>
    <row r="752" spans="1:2" hidden="1" x14ac:dyDescent="0.25">
      <c r="A752" s="7" t="s">
        <v>8494</v>
      </c>
      <c r="B752" s="7" t="s">
        <v>1484</v>
      </c>
    </row>
    <row r="753" spans="1:2" hidden="1" x14ac:dyDescent="0.25">
      <c r="A753" s="7" t="s">
        <v>8710</v>
      </c>
      <c r="B753" s="7" t="s">
        <v>1486</v>
      </c>
    </row>
    <row r="754" spans="1:2" hidden="1" x14ac:dyDescent="0.25">
      <c r="A754" s="7" t="s">
        <v>8460</v>
      </c>
      <c r="B754" s="7" t="s">
        <v>1488</v>
      </c>
    </row>
    <row r="755" spans="1:2" hidden="1" x14ac:dyDescent="0.25">
      <c r="A755" s="7" t="s">
        <v>8346</v>
      </c>
      <c r="B755" s="7" t="s">
        <v>1490</v>
      </c>
    </row>
    <row r="756" spans="1:2" hidden="1" x14ac:dyDescent="0.25">
      <c r="A756" s="7" t="s">
        <v>8880</v>
      </c>
      <c r="B756" s="7" t="s">
        <v>1492</v>
      </c>
    </row>
    <row r="757" spans="1:2" hidden="1" x14ac:dyDescent="0.25">
      <c r="A757" s="7" t="s">
        <v>8797</v>
      </c>
      <c r="B757" s="7" t="s">
        <v>1494</v>
      </c>
    </row>
    <row r="758" spans="1:2" hidden="1" x14ac:dyDescent="0.25">
      <c r="A758" s="7" t="s">
        <v>8516</v>
      </c>
      <c r="B758" s="7" t="s">
        <v>1496</v>
      </c>
    </row>
    <row r="759" spans="1:2" hidden="1" x14ac:dyDescent="0.25">
      <c r="A759" s="7" t="s">
        <v>8767</v>
      </c>
      <c r="B759" s="7" t="s">
        <v>1498</v>
      </c>
    </row>
    <row r="760" spans="1:2" hidden="1" x14ac:dyDescent="0.25">
      <c r="A760" s="7" t="s">
        <v>8839</v>
      </c>
      <c r="B760" s="7" t="s">
        <v>1500</v>
      </c>
    </row>
    <row r="761" spans="1:2" hidden="1" x14ac:dyDescent="0.25">
      <c r="A761" s="7" t="s">
        <v>8861</v>
      </c>
      <c r="B761" s="7" t="s">
        <v>1502</v>
      </c>
    </row>
    <row r="762" spans="1:2" hidden="1" x14ac:dyDescent="0.25">
      <c r="A762" s="7" t="s">
        <v>8724</v>
      </c>
      <c r="B762" s="7" t="s">
        <v>1504</v>
      </c>
    </row>
    <row r="763" spans="1:2" hidden="1" x14ac:dyDescent="0.25">
      <c r="A763" s="7" t="s">
        <v>8809</v>
      </c>
      <c r="B763" s="7" t="s">
        <v>1506</v>
      </c>
    </row>
    <row r="764" spans="1:2" hidden="1" x14ac:dyDescent="0.25">
      <c r="A764" s="7" t="s">
        <v>8237</v>
      </c>
      <c r="B764" s="7" t="s">
        <v>1508</v>
      </c>
    </row>
    <row r="765" spans="1:2" hidden="1" x14ac:dyDescent="0.25">
      <c r="A765" s="7" t="s">
        <v>8735</v>
      </c>
      <c r="B765" s="7" t="s">
        <v>1510</v>
      </c>
    </row>
    <row r="766" spans="1:2" hidden="1" x14ac:dyDescent="0.25">
      <c r="A766" s="7" t="s">
        <v>8833</v>
      </c>
      <c r="B766" s="7" t="s">
        <v>1512</v>
      </c>
    </row>
    <row r="767" spans="1:2" hidden="1" x14ac:dyDescent="0.25">
      <c r="A767" s="7" t="s">
        <v>8512</v>
      </c>
      <c r="B767" s="7" t="s">
        <v>1514</v>
      </c>
    </row>
    <row r="768" spans="1:2" hidden="1" x14ac:dyDescent="0.25">
      <c r="A768" s="7" t="s">
        <v>8831</v>
      </c>
      <c r="B768" s="7" t="s">
        <v>1516</v>
      </c>
    </row>
    <row r="769" spans="1:2" hidden="1" x14ac:dyDescent="0.25">
      <c r="A769" s="7" t="s">
        <v>8682</v>
      </c>
      <c r="B769" s="7" t="s">
        <v>1518</v>
      </c>
    </row>
    <row r="770" spans="1:2" hidden="1" x14ac:dyDescent="0.25">
      <c r="A770" s="7" t="s">
        <v>8987</v>
      </c>
      <c r="B770" s="7" t="s">
        <v>1520</v>
      </c>
    </row>
    <row r="771" spans="1:2" hidden="1" x14ac:dyDescent="0.25">
      <c r="A771" s="7" t="s">
        <v>8632</v>
      </c>
      <c r="B771" s="7" t="s">
        <v>1522</v>
      </c>
    </row>
    <row r="772" spans="1:2" hidden="1" x14ac:dyDescent="0.25">
      <c r="A772" s="7" t="s">
        <v>8598</v>
      </c>
      <c r="B772" s="7" t="s">
        <v>1524</v>
      </c>
    </row>
    <row r="773" spans="1:2" hidden="1" x14ac:dyDescent="0.25">
      <c r="A773" s="7" t="s">
        <v>8859</v>
      </c>
      <c r="B773" s="7" t="s">
        <v>1526</v>
      </c>
    </row>
    <row r="774" spans="1:2" hidden="1" x14ac:dyDescent="0.25">
      <c r="A774" s="7" t="s">
        <v>8556</v>
      </c>
      <c r="B774" s="7" t="s">
        <v>1528</v>
      </c>
    </row>
    <row r="775" spans="1:2" hidden="1" x14ac:dyDescent="0.25">
      <c r="A775" s="7" t="s">
        <v>8363</v>
      </c>
      <c r="B775" s="7" t="s">
        <v>1530</v>
      </c>
    </row>
    <row r="776" spans="1:2" hidden="1" x14ac:dyDescent="0.25">
      <c r="A776" s="7" t="s">
        <v>8685</v>
      </c>
      <c r="B776" s="7" t="s">
        <v>1532</v>
      </c>
    </row>
    <row r="777" spans="1:2" hidden="1" x14ac:dyDescent="0.25">
      <c r="A777" s="7" t="s">
        <v>8699</v>
      </c>
      <c r="B777" s="7" t="s">
        <v>1534</v>
      </c>
    </row>
    <row r="778" spans="1:2" hidden="1" x14ac:dyDescent="0.25">
      <c r="A778" s="7" t="s">
        <v>8890</v>
      </c>
      <c r="B778" s="7" t="s">
        <v>1536</v>
      </c>
    </row>
    <row r="779" spans="1:2" hidden="1" x14ac:dyDescent="0.25">
      <c r="A779" s="7" t="s">
        <v>8694</v>
      </c>
      <c r="B779" s="7" t="s">
        <v>1538</v>
      </c>
    </row>
    <row r="780" spans="1:2" hidden="1" x14ac:dyDescent="0.25">
      <c r="A780" s="7" t="s">
        <v>8284</v>
      </c>
      <c r="B780" s="7" t="s">
        <v>1540</v>
      </c>
    </row>
    <row r="781" spans="1:2" hidden="1" x14ac:dyDescent="0.25">
      <c r="A781" s="7" t="s">
        <v>8623</v>
      </c>
      <c r="B781" s="7" t="s">
        <v>1542</v>
      </c>
    </row>
    <row r="782" spans="1:2" hidden="1" x14ac:dyDescent="0.25">
      <c r="A782" s="7" t="s">
        <v>8730</v>
      </c>
      <c r="B782" s="7" t="s">
        <v>1544</v>
      </c>
    </row>
    <row r="783" spans="1:2" hidden="1" x14ac:dyDescent="0.25">
      <c r="A783" s="7" t="s">
        <v>8537</v>
      </c>
      <c r="B783" s="7" t="s">
        <v>1546</v>
      </c>
    </row>
    <row r="784" spans="1:2" hidden="1" x14ac:dyDescent="0.25">
      <c r="A784" s="7" t="s">
        <v>8755</v>
      </c>
      <c r="B784" s="7" t="s">
        <v>1548</v>
      </c>
    </row>
    <row r="785" spans="1:2" hidden="1" x14ac:dyDescent="0.25">
      <c r="A785" s="7" t="s">
        <v>8929</v>
      </c>
      <c r="B785" s="7" t="s">
        <v>1550</v>
      </c>
    </row>
    <row r="786" spans="1:2" hidden="1" x14ac:dyDescent="0.25">
      <c r="A786" s="7" t="s">
        <v>8225</v>
      </c>
      <c r="B786" s="7" t="s">
        <v>1552</v>
      </c>
    </row>
    <row r="787" spans="1:2" hidden="1" x14ac:dyDescent="0.25">
      <c r="A787" s="7" t="s">
        <v>8990</v>
      </c>
      <c r="B787" s="7" t="s">
        <v>1554</v>
      </c>
    </row>
    <row r="788" spans="1:2" hidden="1" x14ac:dyDescent="0.25">
      <c r="A788" s="7" t="s">
        <v>8546</v>
      </c>
      <c r="B788" s="7" t="s">
        <v>1556</v>
      </c>
    </row>
    <row r="789" spans="1:2" hidden="1" x14ac:dyDescent="0.25">
      <c r="A789" s="7" t="s">
        <v>8704</v>
      </c>
      <c r="B789" s="7" t="s">
        <v>1558</v>
      </c>
    </row>
    <row r="790" spans="1:2" hidden="1" x14ac:dyDescent="0.25">
      <c r="A790" s="7" t="s">
        <v>9558</v>
      </c>
    </row>
  </sheetData>
  <autoFilter ref="A1:B790" xr:uid="{5395FB32-826E-4398-97CA-9BB5EA455D1B}">
    <filterColumn colId="0">
      <filters>
        <filter val="124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A44B-C376-44FC-A00F-07D47A2C4D81}">
  <sheetPr filterMode="1"/>
  <dimension ref="A1:B841"/>
  <sheetViews>
    <sheetView workbookViewId="0">
      <selection activeCell="A32" sqref="A32"/>
    </sheetView>
  </sheetViews>
  <sheetFormatPr baseColWidth="10" defaultRowHeight="15" x14ac:dyDescent="0.25"/>
  <cols>
    <col min="1" max="1" width="14.28515625" bestFit="1" customWidth="1"/>
    <col min="2" max="2" width="16.85546875" bestFit="1" customWidth="1"/>
  </cols>
  <sheetData>
    <row r="1" spans="1:2" x14ac:dyDescent="0.25">
      <c r="A1" t="s">
        <v>11053</v>
      </c>
      <c r="B1" t="s">
        <v>11054</v>
      </c>
    </row>
    <row r="2" spans="1:2" hidden="1" x14ac:dyDescent="0.25">
      <c r="A2">
        <v>0</v>
      </c>
      <c r="B2" t="s">
        <v>8462</v>
      </c>
    </row>
    <row r="3" spans="1:2" hidden="1" x14ac:dyDescent="0.25">
      <c r="A3" t="s">
        <v>8216</v>
      </c>
      <c r="B3">
        <v>789</v>
      </c>
    </row>
    <row r="4" spans="1:2" hidden="1" x14ac:dyDescent="0.25">
      <c r="A4" t="s">
        <v>8562</v>
      </c>
      <c r="B4" t="s">
        <v>8250</v>
      </c>
    </row>
    <row r="5" spans="1:2" hidden="1" x14ac:dyDescent="0.25">
      <c r="A5" t="s">
        <v>8477</v>
      </c>
      <c r="B5" t="s">
        <v>8284</v>
      </c>
    </row>
    <row r="6" spans="1:2" hidden="1" x14ac:dyDescent="0.25">
      <c r="A6" t="s">
        <v>8526</v>
      </c>
      <c r="B6" t="s">
        <v>8417</v>
      </c>
    </row>
    <row r="7" spans="1:2" hidden="1" x14ac:dyDescent="0.25">
      <c r="A7" t="s">
        <v>8306</v>
      </c>
      <c r="B7" t="s">
        <v>8266</v>
      </c>
    </row>
    <row r="8" spans="1:2" hidden="1" x14ac:dyDescent="0.25">
      <c r="A8" t="s">
        <v>8330</v>
      </c>
      <c r="B8" t="s">
        <v>8433</v>
      </c>
    </row>
    <row r="9" spans="1:2" hidden="1" x14ac:dyDescent="0.25">
      <c r="A9" t="s">
        <v>8239</v>
      </c>
      <c r="B9" t="s">
        <v>8215</v>
      </c>
    </row>
    <row r="10" spans="1:2" hidden="1" x14ac:dyDescent="0.25">
      <c r="A10" t="s">
        <v>8697</v>
      </c>
      <c r="B10" t="s">
        <v>8613</v>
      </c>
    </row>
    <row r="11" spans="1:2" x14ac:dyDescent="0.25">
      <c r="A11" t="s">
        <v>8462</v>
      </c>
      <c r="B11" t="s">
        <v>8498</v>
      </c>
    </row>
    <row r="12" spans="1:2" x14ac:dyDescent="0.25">
      <c r="A12" t="s">
        <v>8462</v>
      </c>
      <c r="B12" t="s">
        <v>8566</v>
      </c>
    </row>
    <row r="13" spans="1:2" hidden="1" x14ac:dyDescent="0.25">
      <c r="A13" t="s">
        <v>8255</v>
      </c>
      <c r="B13" t="s">
        <v>8245</v>
      </c>
    </row>
    <row r="14" spans="1:2" hidden="1" x14ac:dyDescent="0.25">
      <c r="A14" t="s">
        <v>8344</v>
      </c>
      <c r="B14" t="s">
        <v>8295</v>
      </c>
    </row>
    <row r="15" spans="1:2" hidden="1" x14ac:dyDescent="0.25">
      <c r="A15" t="s">
        <v>8382</v>
      </c>
      <c r="B15" t="s">
        <v>8215</v>
      </c>
    </row>
    <row r="16" spans="1:2" hidden="1" x14ac:dyDescent="0.25">
      <c r="A16" t="s">
        <v>8348</v>
      </c>
      <c r="B16" t="s">
        <v>8245</v>
      </c>
    </row>
    <row r="17" spans="1:2" hidden="1" x14ac:dyDescent="0.25">
      <c r="A17" t="s">
        <v>8446</v>
      </c>
      <c r="B17" t="s">
        <v>8403</v>
      </c>
    </row>
    <row r="18" spans="1:2" hidden="1" x14ac:dyDescent="0.25">
      <c r="A18" t="s">
        <v>8226</v>
      </c>
      <c r="B18" t="s">
        <v>8387</v>
      </c>
    </row>
    <row r="19" spans="1:2" hidden="1" x14ac:dyDescent="0.25">
      <c r="A19" t="s">
        <v>8371</v>
      </c>
      <c r="B19" t="s">
        <v>8297</v>
      </c>
    </row>
    <row r="20" spans="1:2" hidden="1" x14ac:dyDescent="0.25">
      <c r="A20" t="s">
        <v>8677</v>
      </c>
      <c r="B20" t="s">
        <v>8559</v>
      </c>
    </row>
    <row r="21" spans="1:2" hidden="1" x14ac:dyDescent="0.25">
      <c r="A21" t="s">
        <v>8373</v>
      </c>
      <c r="B21" t="s">
        <v>8215</v>
      </c>
    </row>
    <row r="22" spans="1:2" hidden="1" x14ac:dyDescent="0.25">
      <c r="A22" t="s">
        <v>8978</v>
      </c>
      <c r="B22" t="s">
        <v>8299</v>
      </c>
    </row>
    <row r="23" spans="1:2" hidden="1" x14ac:dyDescent="0.25">
      <c r="A23" t="s">
        <v>8355</v>
      </c>
      <c r="B23" t="s">
        <v>8237</v>
      </c>
    </row>
    <row r="24" spans="1:2" hidden="1" x14ac:dyDescent="0.25">
      <c r="A24" t="s">
        <v>8701</v>
      </c>
      <c r="B24" t="s">
        <v>8237</v>
      </c>
    </row>
    <row r="25" spans="1:2" hidden="1" x14ac:dyDescent="0.25">
      <c r="A25" t="s">
        <v>8763</v>
      </c>
      <c r="B25" t="s">
        <v>8237</v>
      </c>
    </row>
    <row r="26" spans="1:2" hidden="1" x14ac:dyDescent="0.25">
      <c r="A26" t="s">
        <v>8764</v>
      </c>
      <c r="B26" t="s">
        <v>8237</v>
      </c>
    </row>
    <row r="27" spans="1:2" hidden="1" x14ac:dyDescent="0.25">
      <c r="A27" t="s">
        <v>8343</v>
      </c>
      <c r="B27" t="s">
        <v>8245</v>
      </c>
    </row>
    <row r="28" spans="1:2" hidden="1" x14ac:dyDescent="0.25">
      <c r="A28" t="s">
        <v>8578</v>
      </c>
      <c r="B28" t="s">
        <v>8462</v>
      </c>
    </row>
    <row r="29" spans="1:2" hidden="1" x14ac:dyDescent="0.25">
      <c r="A29" t="s">
        <v>8207</v>
      </c>
      <c r="B29" t="s">
        <v>8859</v>
      </c>
    </row>
    <row r="30" spans="1:2" hidden="1" x14ac:dyDescent="0.25">
      <c r="A30" t="s">
        <v>8854</v>
      </c>
      <c r="B30" t="s">
        <v>8237</v>
      </c>
    </row>
    <row r="31" spans="1:2" hidden="1" x14ac:dyDescent="0.25">
      <c r="A31" t="s">
        <v>8459</v>
      </c>
      <c r="B31" t="s">
        <v>8332</v>
      </c>
    </row>
    <row r="32" spans="1:2" x14ac:dyDescent="0.25">
      <c r="A32" t="s">
        <v>8264</v>
      </c>
      <c r="B32" t="s">
        <v>8859</v>
      </c>
    </row>
    <row r="33" spans="1:2" x14ac:dyDescent="0.25">
      <c r="A33" t="s">
        <v>8264</v>
      </c>
      <c r="B33" t="s">
        <v>8266</v>
      </c>
    </row>
    <row r="34" spans="1:2" hidden="1" x14ac:dyDescent="0.25">
      <c r="A34" t="s">
        <v>8568</v>
      </c>
      <c r="B34" t="s">
        <v>8261</v>
      </c>
    </row>
    <row r="35" spans="1:2" hidden="1" x14ac:dyDescent="0.25">
      <c r="A35" t="s">
        <v>8472</v>
      </c>
      <c r="B35" t="s">
        <v>8559</v>
      </c>
    </row>
    <row r="36" spans="1:2" hidden="1" x14ac:dyDescent="0.25">
      <c r="A36" t="s">
        <v>8719</v>
      </c>
      <c r="B36" t="s">
        <v>8237</v>
      </c>
    </row>
    <row r="37" spans="1:2" hidden="1" x14ac:dyDescent="0.25">
      <c r="A37" t="s">
        <v>8977</v>
      </c>
      <c r="B37" t="s">
        <v>8215</v>
      </c>
    </row>
    <row r="38" spans="1:2" hidden="1" x14ac:dyDescent="0.25">
      <c r="A38" t="s">
        <v>8867</v>
      </c>
      <c r="B38" t="s">
        <v>8237</v>
      </c>
    </row>
    <row r="39" spans="1:2" hidden="1" x14ac:dyDescent="0.25">
      <c r="A39" t="s">
        <v>8468</v>
      </c>
      <c r="B39" t="s">
        <v>8261</v>
      </c>
    </row>
    <row r="40" spans="1:2" hidden="1" x14ac:dyDescent="0.25">
      <c r="A40" t="s">
        <v>8736</v>
      </c>
      <c r="B40" t="s">
        <v>8462</v>
      </c>
    </row>
    <row r="41" spans="1:2" hidden="1" x14ac:dyDescent="0.25">
      <c r="A41" t="s">
        <v>8404</v>
      </c>
      <c r="B41" t="s">
        <v>8238</v>
      </c>
    </row>
    <row r="42" spans="1:2" hidden="1" x14ac:dyDescent="0.25">
      <c r="A42" t="s">
        <v>8808</v>
      </c>
      <c r="B42" t="s">
        <v>8328</v>
      </c>
    </row>
    <row r="43" spans="1:2" x14ac:dyDescent="0.25">
      <c r="A43" t="s">
        <v>8946</v>
      </c>
      <c r="B43" t="s">
        <v>8859</v>
      </c>
    </row>
    <row r="44" spans="1:2" x14ac:dyDescent="0.25">
      <c r="A44" t="s">
        <v>8946</v>
      </c>
      <c r="B44" t="s">
        <v>8295</v>
      </c>
    </row>
    <row r="45" spans="1:2" hidden="1" x14ac:dyDescent="0.25">
      <c r="A45" t="s">
        <v>8595</v>
      </c>
      <c r="B45" t="s">
        <v>8215</v>
      </c>
    </row>
    <row r="46" spans="1:2" hidden="1" x14ac:dyDescent="0.25">
      <c r="A46" t="s">
        <v>8270</v>
      </c>
      <c r="B46" t="s">
        <v>8816</v>
      </c>
    </row>
    <row r="47" spans="1:2" hidden="1" x14ac:dyDescent="0.25">
      <c r="A47" t="s">
        <v>8267</v>
      </c>
      <c r="B47" t="s">
        <v>8237</v>
      </c>
    </row>
    <row r="48" spans="1:2" hidden="1" x14ac:dyDescent="0.25">
      <c r="A48" t="s">
        <v>8924</v>
      </c>
      <c r="B48" t="s">
        <v>8238</v>
      </c>
    </row>
    <row r="49" spans="1:2" hidden="1" x14ac:dyDescent="0.25">
      <c r="A49" t="s">
        <v>8276</v>
      </c>
      <c r="B49" t="s">
        <v>8237</v>
      </c>
    </row>
    <row r="50" spans="1:2" hidden="1" x14ac:dyDescent="0.25">
      <c r="A50" t="s">
        <v>8559</v>
      </c>
      <c r="B50" t="s">
        <v>8259</v>
      </c>
    </row>
    <row r="51" spans="1:2" hidden="1" x14ac:dyDescent="0.25">
      <c r="A51" t="s">
        <v>8297</v>
      </c>
      <c r="B51" t="s">
        <v>8304</v>
      </c>
    </row>
    <row r="52" spans="1:2" x14ac:dyDescent="0.25">
      <c r="A52" t="s">
        <v>8932</v>
      </c>
      <c r="B52" t="s">
        <v>8859</v>
      </c>
    </row>
    <row r="53" spans="1:2" x14ac:dyDescent="0.25">
      <c r="A53" t="s">
        <v>8932</v>
      </c>
      <c r="B53" t="s">
        <v>8572</v>
      </c>
    </row>
    <row r="54" spans="1:2" hidden="1" x14ac:dyDescent="0.25">
      <c r="A54" t="s">
        <v>8961</v>
      </c>
      <c r="B54" t="s">
        <v>8392</v>
      </c>
    </row>
    <row r="55" spans="1:2" hidden="1" x14ac:dyDescent="0.25">
      <c r="A55" t="s">
        <v>8773</v>
      </c>
      <c r="B55" t="s">
        <v>8297</v>
      </c>
    </row>
    <row r="56" spans="1:2" hidden="1" x14ac:dyDescent="0.25">
      <c r="A56" t="s">
        <v>8492</v>
      </c>
      <c r="B56" t="s">
        <v>8245</v>
      </c>
    </row>
    <row r="57" spans="1:2" hidden="1" x14ac:dyDescent="0.25">
      <c r="A57" t="s">
        <v>8721</v>
      </c>
      <c r="B57" t="s">
        <v>8297</v>
      </c>
    </row>
    <row r="58" spans="1:2" hidden="1" x14ac:dyDescent="0.25">
      <c r="A58" t="s">
        <v>8376</v>
      </c>
      <c r="B58" t="s">
        <v>8403</v>
      </c>
    </row>
    <row r="59" spans="1:2" hidden="1" x14ac:dyDescent="0.25">
      <c r="A59" t="s">
        <v>8832</v>
      </c>
      <c r="B59" t="s">
        <v>8364</v>
      </c>
    </row>
    <row r="60" spans="1:2" x14ac:dyDescent="0.25">
      <c r="A60" t="s">
        <v>8393</v>
      </c>
      <c r="B60" t="s">
        <v>8462</v>
      </c>
    </row>
    <row r="61" spans="1:2" x14ac:dyDescent="0.25">
      <c r="A61" t="s">
        <v>8393</v>
      </c>
      <c r="B61" t="s">
        <v>8250</v>
      </c>
    </row>
    <row r="62" spans="1:2" x14ac:dyDescent="0.25">
      <c r="A62" t="s">
        <v>8445</v>
      </c>
      <c r="B62" t="s">
        <v>8859</v>
      </c>
    </row>
    <row r="63" spans="1:2" x14ac:dyDescent="0.25">
      <c r="A63" t="s">
        <v>8445</v>
      </c>
      <c r="B63" t="s">
        <v>8332</v>
      </c>
    </row>
    <row r="64" spans="1:2" hidden="1" x14ac:dyDescent="0.25">
      <c r="A64" t="s">
        <v>8877</v>
      </c>
      <c r="B64" t="s">
        <v>8237</v>
      </c>
    </row>
    <row r="65" spans="1:2" hidden="1" x14ac:dyDescent="0.25">
      <c r="A65" t="s">
        <v>8319</v>
      </c>
      <c r="B65" t="s">
        <v>8572</v>
      </c>
    </row>
    <row r="66" spans="1:2" hidden="1" x14ac:dyDescent="0.25">
      <c r="A66" t="s">
        <v>8594</v>
      </c>
      <c r="B66" t="s">
        <v>8237</v>
      </c>
    </row>
    <row r="67" spans="1:2" hidden="1" x14ac:dyDescent="0.25">
      <c r="A67" t="s">
        <v>8561</v>
      </c>
      <c r="B67" t="s">
        <v>8859</v>
      </c>
    </row>
    <row r="68" spans="1:2" hidden="1" x14ac:dyDescent="0.25">
      <c r="A68" t="s">
        <v>8390</v>
      </c>
      <c r="B68" t="s">
        <v>8566</v>
      </c>
    </row>
    <row r="69" spans="1:2" hidden="1" x14ac:dyDescent="0.25">
      <c r="A69" t="s">
        <v>8829</v>
      </c>
      <c r="B69" t="s">
        <v>8237</v>
      </c>
    </row>
    <row r="70" spans="1:2" hidden="1" x14ac:dyDescent="0.25">
      <c r="A70" t="s">
        <v>8315</v>
      </c>
      <c r="B70" t="s">
        <v>8572</v>
      </c>
    </row>
    <row r="71" spans="1:2" hidden="1" x14ac:dyDescent="0.25">
      <c r="A71" t="s">
        <v>8922</v>
      </c>
      <c r="B71" t="s">
        <v>8359</v>
      </c>
    </row>
    <row r="72" spans="1:2" hidden="1" x14ac:dyDescent="0.25">
      <c r="A72" t="s">
        <v>8703</v>
      </c>
      <c r="B72" t="s">
        <v>8359</v>
      </c>
    </row>
    <row r="73" spans="1:2" hidden="1" x14ac:dyDescent="0.25">
      <c r="A73" t="s">
        <v>8405</v>
      </c>
      <c r="B73" t="s">
        <v>8462</v>
      </c>
    </row>
    <row r="74" spans="1:2" hidden="1" x14ac:dyDescent="0.25">
      <c r="A74" t="s">
        <v>8949</v>
      </c>
      <c r="B74" t="s">
        <v>8403</v>
      </c>
    </row>
    <row r="75" spans="1:2" x14ac:dyDescent="0.25">
      <c r="A75" t="s">
        <v>8882</v>
      </c>
      <c r="B75" t="s">
        <v>8411</v>
      </c>
    </row>
    <row r="76" spans="1:2" x14ac:dyDescent="0.25">
      <c r="A76" t="s">
        <v>8882</v>
      </c>
      <c r="B76" t="s">
        <v>8670</v>
      </c>
    </row>
    <row r="77" spans="1:2" hidden="1" x14ac:dyDescent="0.25">
      <c r="A77" t="s">
        <v>8341</v>
      </c>
      <c r="B77" t="s">
        <v>8572</v>
      </c>
    </row>
    <row r="78" spans="1:2" hidden="1" x14ac:dyDescent="0.25">
      <c r="A78" t="s">
        <v>8986</v>
      </c>
      <c r="B78" t="s">
        <v>8670</v>
      </c>
    </row>
    <row r="79" spans="1:2" hidden="1" x14ac:dyDescent="0.25">
      <c r="A79" t="s">
        <v>8934</v>
      </c>
      <c r="B79" t="s">
        <v>8411</v>
      </c>
    </row>
    <row r="80" spans="1:2" hidden="1" x14ac:dyDescent="0.25">
      <c r="A80" t="s">
        <v>8508</v>
      </c>
      <c r="B80" t="s">
        <v>8717</v>
      </c>
    </row>
    <row r="81" spans="1:2" x14ac:dyDescent="0.25">
      <c r="A81" t="s">
        <v>8689</v>
      </c>
      <c r="B81" t="s">
        <v>8498</v>
      </c>
    </row>
    <row r="82" spans="1:2" x14ac:dyDescent="0.25">
      <c r="A82" t="s">
        <v>8689</v>
      </c>
      <c r="B82" t="s">
        <v>8670</v>
      </c>
    </row>
    <row r="83" spans="1:2" hidden="1" x14ac:dyDescent="0.25">
      <c r="A83" t="s">
        <v>8786</v>
      </c>
      <c r="B83" t="s">
        <v>8559</v>
      </c>
    </row>
    <row r="84" spans="1:2" hidden="1" x14ac:dyDescent="0.25">
      <c r="A84" t="s">
        <v>8503</v>
      </c>
      <c r="B84" t="s">
        <v>8859</v>
      </c>
    </row>
    <row r="85" spans="1:2" hidden="1" x14ac:dyDescent="0.25">
      <c r="A85" t="s">
        <v>8984</v>
      </c>
      <c r="B85" t="s">
        <v>8859</v>
      </c>
    </row>
    <row r="86" spans="1:2" hidden="1" x14ac:dyDescent="0.25">
      <c r="A86" t="s">
        <v>8690</v>
      </c>
      <c r="B86" t="s">
        <v>8352</v>
      </c>
    </row>
    <row r="87" spans="1:2" hidden="1" x14ac:dyDescent="0.25">
      <c r="A87" t="s">
        <v>8954</v>
      </c>
      <c r="B87" t="s">
        <v>8238</v>
      </c>
    </row>
    <row r="88" spans="1:2" hidden="1" x14ac:dyDescent="0.25">
      <c r="A88" t="s">
        <v>8855</v>
      </c>
      <c r="B88" t="s">
        <v>8297</v>
      </c>
    </row>
    <row r="89" spans="1:2" hidden="1" x14ac:dyDescent="0.25">
      <c r="A89" t="s">
        <v>8243</v>
      </c>
      <c r="B89" t="s">
        <v>8859</v>
      </c>
    </row>
    <row r="90" spans="1:2" hidden="1" x14ac:dyDescent="0.25">
      <c r="A90" t="s">
        <v>8973</v>
      </c>
      <c r="B90" t="s">
        <v>8717</v>
      </c>
    </row>
    <row r="91" spans="1:2" hidden="1" x14ac:dyDescent="0.25">
      <c r="A91" t="s">
        <v>8753</v>
      </c>
      <c r="B91" t="s">
        <v>8566</v>
      </c>
    </row>
    <row r="92" spans="1:2" hidden="1" x14ac:dyDescent="0.25">
      <c r="A92" t="s">
        <v>8686</v>
      </c>
      <c r="B92" t="s">
        <v>8404</v>
      </c>
    </row>
    <row r="93" spans="1:2" hidden="1" x14ac:dyDescent="0.25">
      <c r="A93" t="s">
        <v>8514</v>
      </c>
      <c r="B93" t="s">
        <v>8284</v>
      </c>
    </row>
    <row r="94" spans="1:2" hidden="1" x14ac:dyDescent="0.25">
      <c r="A94" t="s">
        <v>8893</v>
      </c>
      <c r="B94" t="s">
        <v>8237</v>
      </c>
    </row>
    <row r="95" spans="1:2" hidden="1" x14ac:dyDescent="0.25">
      <c r="A95" t="s">
        <v>8498</v>
      </c>
      <c r="B95" t="s">
        <v>8245</v>
      </c>
    </row>
    <row r="96" spans="1:2" hidden="1" x14ac:dyDescent="0.25">
      <c r="A96" t="s">
        <v>8485</v>
      </c>
      <c r="B96" t="s">
        <v>8237</v>
      </c>
    </row>
    <row r="97" spans="1:2" hidden="1" x14ac:dyDescent="0.25">
      <c r="A97" t="s">
        <v>8916</v>
      </c>
      <c r="B97" t="s">
        <v>8237</v>
      </c>
    </row>
    <row r="98" spans="1:2" hidden="1" x14ac:dyDescent="0.25">
      <c r="A98" t="s">
        <v>8317</v>
      </c>
      <c r="B98" t="s">
        <v>8297</v>
      </c>
    </row>
    <row r="99" spans="1:2" hidden="1" x14ac:dyDescent="0.25">
      <c r="A99" t="s">
        <v>8501</v>
      </c>
      <c r="B99" t="s">
        <v>8297</v>
      </c>
    </row>
    <row r="100" spans="1:2" hidden="1" x14ac:dyDescent="0.25">
      <c r="A100" t="s">
        <v>8691</v>
      </c>
      <c r="B100" t="s">
        <v>8816</v>
      </c>
    </row>
    <row r="101" spans="1:2" hidden="1" x14ac:dyDescent="0.25">
      <c r="A101" t="s">
        <v>8817</v>
      </c>
      <c r="B101" t="s">
        <v>8613</v>
      </c>
    </row>
    <row r="102" spans="1:2" hidden="1" x14ac:dyDescent="0.25">
      <c r="A102" t="s">
        <v>8636</v>
      </c>
      <c r="B102" t="s">
        <v>8215</v>
      </c>
    </row>
    <row r="103" spans="1:2" hidden="1" x14ac:dyDescent="0.25">
      <c r="A103" t="s">
        <v>8589</v>
      </c>
      <c r="B103" t="s">
        <v>8266</v>
      </c>
    </row>
    <row r="104" spans="1:2" hidden="1" x14ac:dyDescent="0.25">
      <c r="A104" t="s">
        <v>8645</v>
      </c>
      <c r="B104" t="s">
        <v>8859</v>
      </c>
    </row>
    <row r="105" spans="1:2" hidden="1" x14ac:dyDescent="0.25">
      <c r="A105" t="s">
        <v>8580</v>
      </c>
      <c r="B105" t="s">
        <v>8425</v>
      </c>
    </row>
    <row r="106" spans="1:2" hidden="1" x14ac:dyDescent="0.25">
      <c r="A106" t="s">
        <v>8698</v>
      </c>
      <c r="B106" t="s">
        <v>8237</v>
      </c>
    </row>
    <row r="107" spans="1:2" hidden="1" x14ac:dyDescent="0.25">
      <c r="A107" t="s">
        <v>8552</v>
      </c>
      <c r="B107" t="s">
        <v>8237</v>
      </c>
    </row>
    <row r="108" spans="1:2" hidden="1" x14ac:dyDescent="0.25">
      <c r="A108" t="s">
        <v>8898</v>
      </c>
      <c r="B108" t="s">
        <v>8295</v>
      </c>
    </row>
    <row r="109" spans="1:2" hidden="1" x14ac:dyDescent="0.25">
      <c r="A109" t="s">
        <v>8541</v>
      </c>
      <c r="B109" t="s">
        <v>8297</v>
      </c>
    </row>
    <row r="110" spans="1:2" hidden="1" x14ac:dyDescent="0.25">
      <c r="A110" t="s">
        <v>8778</v>
      </c>
      <c r="B110" t="s">
        <v>8425</v>
      </c>
    </row>
    <row r="111" spans="1:2" hidden="1" x14ac:dyDescent="0.25">
      <c r="A111" t="s">
        <v>8328</v>
      </c>
      <c r="B111" t="s">
        <v>8245</v>
      </c>
    </row>
    <row r="112" spans="1:2" hidden="1" x14ac:dyDescent="0.25">
      <c r="A112" t="s">
        <v>8646</v>
      </c>
      <c r="B112" t="s">
        <v>8297</v>
      </c>
    </row>
    <row r="113" spans="1:2" x14ac:dyDescent="0.25">
      <c r="A113" t="s">
        <v>8394</v>
      </c>
      <c r="B113" t="s">
        <v>8462</v>
      </c>
    </row>
    <row r="114" spans="1:2" x14ac:dyDescent="0.25">
      <c r="A114" t="s">
        <v>8394</v>
      </c>
      <c r="B114" t="s">
        <v>8404</v>
      </c>
    </row>
    <row r="115" spans="1:2" hidden="1" x14ac:dyDescent="0.25">
      <c r="A115" t="s">
        <v>8312</v>
      </c>
      <c r="B115" t="s">
        <v>8555</v>
      </c>
    </row>
    <row r="116" spans="1:2" x14ac:dyDescent="0.25">
      <c r="A116" t="s">
        <v>8409</v>
      </c>
      <c r="B116" t="s">
        <v>8403</v>
      </c>
    </row>
    <row r="117" spans="1:2" x14ac:dyDescent="0.25">
      <c r="A117" t="s">
        <v>8409</v>
      </c>
      <c r="B117" t="s">
        <v>8816</v>
      </c>
    </row>
    <row r="118" spans="1:2" hidden="1" x14ac:dyDescent="0.25">
      <c r="A118" t="s">
        <v>8642</v>
      </c>
      <c r="B118" t="s">
        <v>8297</v>
      </c>
    </row>
    <row r="119" spans="1:2" hidden="1" x14ac:dyDescent="0.25">
      <c r="A119" t="s">
        <v>8818</v>
      </c>
      <c r="B119" t="s">
        <v>8295</v>
      </c>
    </row>
    <row r="120" spans="1:2" hidden="1" x14ac:dyDescent="0.25">
      <c r="A120" t="s">
        <v>8316</v>
      </c>
      <c r="B120" t="s">
        <v>8392</v>
      </c>
    </row>
    <row r="121" spans="1:2" hidden="1" x14ac:dyDescent="0.25">
      <c r="A121" t="s">
        <v>8253</v>
      </c>
      <c r="B121" t="s">
        <v>8295</v>
      </c>
    </row>
    <row r="122" spans="1:2" hidden="1" x14ac:dyDescent="0.25">
      <c r="A122" t="s">
        <v>8923</v>
      </c>
      <c r="B122" t="s">
        <v>8462</v>
      </c>
    </row>
    <row r="123" spans="1:2" x14ac:dyDescent="0.25">
      <c r="A123" t="s">
        <v>8400</v>
      </c>
      <c r="B123" t="s">
        <v>8359</v>
      </c>
    </row>
    <row r="124" spans="1:2" x14ac:dyDescent="0.25">
      <c r="A124" t="s">
        <v>8400</v>
      </c>
      <c r="B124" t="s">
        <v>8498</v>
      </c>
    </row>
    <row r="125" spans="1:2" x14ac:dyDescent="0.25">
      <c r="A125" t="s">
        <v>8400</v>
      </c>
      <c r="B125" t="s">
        <v>8462</v>
      </c>
    </row>
    <row r="126" spans="1:2" hidden="1" x14ac:dyDescent="0.25">
      <c r="A126" t="s">
        <v>8245</v>
      </c>
      <c r="B126" t="s">
        <v>8216</v>
      </c>
    </row>
    <row r="127" spans="1:2" hidden="1" x14ac:dyDescent="0.25">
      <c r="A127" t="s">
        <v>8423</v>
      </c>
      <c r="B127" t="s">
        <v>8215</v>
      </c>
    </row>
    <row r="128" spans="1:2" hidden="1" x14ac:dyDescent="0.25">
      <c r="A128" t="s">
        <v>8205</v>
      </c>
      <c r="B128" t="s">
        <v>8637</v>
      </c>
    </row>
    <row r="129" spans="1:2" hidden="1" x14ac:dyDescent="0.25">
      <c r="A129" t="s">
        <v>8248</v>
      </c>
      <c r="B129" t="s">
        <v>8411</v>
      </c>
    </row>
    <row r="130" spans="1:2" hidden="1" x14ac:dyDescent="0.25">
      <c r="A130" t="s">
        <v>8287</v>
      </c>
      <c r="B130" t="s">
        <v>8316</v>
      </c>
    </row>
    <row r="131" spans="1:2" hidden="1" x14ac:dyDescent="0.25">
      <c r="A131" t="s">
        <v>8236</v>
      </c>
      <c r="B131" t="s">
        <v>8237</v>
      </c>
    </row>
    <row r="132" spans="1:2" hidden="1" x14ac:dyDescent="0.25">
      <c r="A132" t="s">
        <v>8367</v>
      </c>
      <c r="B132" t="s">
        <v>8284</v>
      </c>
    </row>
    <row r="133" spans="1:2" hidden="1" x14ac:dyDescent="0.25">
      <c r="A133" t="s">
        <v>8772</v>
      </c>
      <c r="B133" t="s">
        <v>8215</v>
      </c>
    </row>
    <row r="134" spans="1:2" hidden="1" x14ac:dyDescent="0.25">
      <c r="A134" t="s">
        <v>8810</v>
      </c>
      <c r="B134" t="s">
        <v>8297</v>
      </c>
    </row>
    <row r="135" spans="1:2" hidden="1" x14ac:dyDescent="0.25">
      <c r="A135" t="s">
        <v>8881</v>
      </c>
      <c r="B135" t="s">
        <v>8215</v>
      </c>
    </row>
    <row r="136" spans="1:2" hidden="1" x14ac:dyDescent="0.25">
      <c r="A136" t="s">
        <v>8974</v>
      </c>
      <c r="B136" t="s">
        <v>8555</v>
      </c>
    </row>
    <row r="137" spans="1:2" hidden="1" x14ac:dyDescent="0.25">
      <c r="A137" t="s">
        <v>8983</v>
      </c>
      <c r="B137" t="s">
        <v>8392</v>
      </c>
    </row>
    <row r="138" spans="1:2" hidden="1" x14ac:dyDescent="0.25">
      <c r="A138" t="s">
        <v>8362</v>
      </c>
      <c r="B138" t="s">
        <v>8216</v>
      </c>
    </row>
    <row r="139" spans="1:2" hidden="1" x14ac:dyDescent="0.25">
      <c r="A139" t="s">
        <v>8511</v>
      </c>
      <c r="B139" t="s">
        <v>8255</v>
      </c>
    </row>
    <row r="140" spans="1:2" hidden="1" x14ac:dyDescent="0.25">
      <c r="A140" t="s">
        <v>8550</v>
      </c>
      <c r="B140" t="s">
        <v>8251</v>
      </c>
    </row>
    <row r="141" spans="1:2" hidden="1" x14ac:dyDescent="0.25">
      <c r="A141" t="s">
        <v>8900</v>
      </c>
      <c r="B141" t="s">
        <v>8250</v>
      </c>
    </row>
    <row r="142" spans="1:2" hidden="1" x14ac:dyDescent="0.25">
      <c r="A142" t="s">
        <v>8670</v>
      </c>
      <c r="B142" t="s">
        <v>8362</v>
      </c>
    </row>
    <row r="143" spans="1:2" hidden="1" x14ac:dyDescent="0.25">
      <c r="A143" t="s">
        <v>8718</v>
      </c>
      <c r="B143" t="s">
        <v>8433</v>
      </c>
    </row>
    <row r="144" spans="1:2" hidden="1" x14ac:dyDescent="0.25">
      <c r="A144" t="s">
        <v>8794</v>
      </c>
      <c r="B144" t="s">
        <v>8566</v>
      </c>
    </row>
    <row r="145" spans="1:2" hidden="1" x14ac:dyDescent="0.25">
      <c r="A145" t="s">
        <v>8849</v>
      </c>
      <c r="B145" t="s">
        <v>8215</v>
      </c>
    </row>
    <row r="146" spans="1:2" x14ac:dyDescent="0.25">
      <c r="A146" t="s">
        <v>8437</v>
      </c>
      <c r="B146" t="s">
        <v>8237</v>
      </c>
    </row>
    <row r="147" spans="1:2" x14ac:dyDescent="0.25">
      <c r="A147" t="s">
        <v>8437</v>
      </c>
      <c r="B147" t="s">
        <v>8403</v>
      </c>
    </row>
    <row r="148" spans="1:2" hidden="1" x14ac:dyDescent="0.25">
      <c r="A148" t="s">
        <v>8823</v>
      </c>
      <c r="B148" t="s">
        <v>8215</v>
      </c>
    </row>
    <row r="149" spans="1:2" hidden="1" x14ac:dyDescent="0.25">
      <c r="A149" t="s">
        <v>8769</v>
      </c>
      <c r="B149" t="s">
        <v>8359</v>
      </c>
    </row>
    <row r="150" spans="1:2" hidden="1" x14ac:dyDescent="0.25">
      <c r="A150" t="s">
        <v>8299</v>
      </c>
      <c r="B150" t="s">
        <v>8259</v>
      </c>
    </row>
    <row r="151" spans="1:2" hidden="1" x14ac:dyDescent="0.25">
      <c r="A151" t="s">
        <v>8375</v>
      </c>
      <c r="B151" t="s">
        <v>8266</v>
      </c>
    </row>
    <row r="152" spans="1:2" hidden="1" x14ac:dyDescent="0.25">
      <c r="A152" t="s">
        <v>8265</v>
      </c>
      <c r="B152" t="s">
        <v>8403</v>
      </c>
    </row>
    <row r="153" spans="1:2" hidden="1" x14ac:dyDescent="0.25">
      <c r="A153" t="s">
        <v>8288</v>
      </c>
      <c r="B153" t="s">
        <v>8284</v>
      </c>
    </row>
    <row r="154" spans="1:2" x14ac:dyDescent="0.25">
      <c r="A154" t="s">
        <v>8584</v>
      </c>
      <c r="B154" t="s">
        <v>8559</v>
      </c>
    </row>
    <row r="155" spans="1:2" x14ac:dyDescent="0.25">
      <c r="A155" t="s">
        <v>8584</v>
      </c>
      <c r="B155" t="s">
        <v>8352</v>
      </c>
    </row>
    <row r="156" spans="1:2" hidden="1" x14ac:dyDescent="0.25">
      <c r="A156" t="s">
        <v>8491</v>
      </c>
      <c r="B156" t="s">
        <v>8237</v>
      </c>
    </row>
    <row r="157" spans="1:2" hidden="1" x14ac:dyDescent="0.25">
      <c r="A157" t="s">
        <v>8495</v>
      </c>
      <c r="B157" t="s">
        <v>8237</v>
      </c>
    </row>
    <row r="158" spans="1:2" x14ac:dyDescent="0.25">
      <c r="A158" t="s">
        <v>8469</v>
      </c>
      <c r="B158" t="s">
        <v>8403</v>
      </c>
    </row>
    <row r="159" spans="1:2" x14ac:dyDescent="0.25">
      <c r="A159" t="s">
        <v>8469</v>
      </c>
      <c r="B159" t="s">
        <v>8816</v>
      </c>
    </row>
    <row r="160" spans="1:2" hidden="1" x14ac:dyDescent="0.25">
      <c r="A160" t="s">
        <v>8841</v>
      </c>
      <c r="B160" t="s">
        <v>8859</v>
      </c>
    </row>
    <row r="161" spans="1:2" hidden="1" x14ac:dyDescent="0.25">
      <c r="A161" t="s">
        <v>8806</v>
      </c>
      <c r="B161" t="s">
        <v>8433</v>
      </c>
    </row>
    <row r="162" spans="1:2" hidden="1" x14ac:dyDescent="0.25">
      <c r="A162" t="s">
        <v>8713</v>
      </c>
      <c r="B162" t="s">
        <v>8352</v>
      </c>
    </row>
    <row r="163" spans="1:2" hidden="1" x14ac:dyDescent="0.25">
      <c r="A163" t="s">
        <v>8432</v>
      </c>
      <c r="B163" t="s">
        <v>8237</v>
      </c>
    </row>
    <row r="164" spans="1:2" hidden="1" x14ac:dyDescent="0.25">
      <c r="A164" t="s">
        <v>8665</v>
      </c>
      <c r="B164" t="s">
        <v>8237</v>
      </c>
    </row>
    <row r="165" spans="1:2" hidden="1" x14ac:dyDescent="0.25">
      <c r="A165" t="s">
        <v>8342</v>
      </c>
      <c r="B165" t="s">
        <v>8237</v>
      </c>
    </row>
    <row r="166" spans="1:2" x14ac:dyDescent="0.25">
      <c r="A166" t="s">
        <v>8523</v>
      </c>
      <c r="B166" t="s">
        <v>8425</v>
      </c>
    </row>
    <row r="167" spans="1:2" x14ac:dyDescent="0.25">
      <c r="A167" t="s">
        <v>8523</v>
      </c>
      <c r="B167" t="s">
        <v>8250</v>
      </c>
    </row>
    <row r="168" spans="1:2" hidden="1" x14ac:dyDescent="0.25">
      <c r="A168" t="s">
        <v>8591</v>
      </c>
      <c r="B168" t="s">
        <v>8297</v>
      </c>
    </row>
    <row r="169" spans="1:2" hidden="1" x14ac:dyDescent="0.25">
      <c r="A169" t="s">
        <v>8657</v>
      </c>
      <c r="B169" t="s">
        <v>8237</v>
      </c>
    </row>
    <row r="170" spans="1:2" hidden="1" x14ac:dyDescent="0.25">
      <c r="A170" t="s">
        <v>8347</v>
      </c>
      <c r="B170" t="s">
        <v>8215</v>
      </c>
    </row>
    <row r="171" spans="1:2" hidden="1" x14ac:dyDescent="0.25">
      <c r="A171" t="s">
        <v>8257</v>
      </c>
      <c r="B171" t="s">
        <v>8237</v>
      </c>
    </row>
    <row r="172" spans="1:2" hidden="1" x14ac:dyDescent="0.25">
      <c r="A172" t="s">
        <v>8807</v>
      </c>
      <c r="B172" t="s">
        <v>8392</v>
      </c>
    </row>
    <row r="173" spans="1:2" hidden="1" x14ac:dyDescent="0.25">
      <c r="A173" t="s">
        <v>8661</v>
      </c>
      <c r="B173" t="s">
        <v>8411</v>
      </c>
    </row>
    <row r="174" spans="1:2" hidden="1" x14ac:dyDescent="0.25">
      <c r="A174" t="s">
        <v>8662</v>
      </c>
      <c r="B174" t="s">
        <v>8475</v>
      </c>
    </row>
    <row r="175" spans="1:2" hidden="1" x14ac:dyDescent="0.25">
      <c r="A175" t="s">
        <v>8261</v>
      </c>
      <c r="B175" t="s">
        <v>8566</v>
      </c>
    </row>
    <row r="176" spans="1:2" hidden="1" x14ac:dyDescent="0.25">
      <c r="A176" t="s">
        <v>8383</v>
      </c>
      <c r="B176" t="s">
        <v>8215</v>
      </c>
    </row>
    <row r="177" spans="1:2" hidden="1" x14ac:dyDescent="0.25">
      <c r="A177" t="s">
        <v>8947</v>
      </c>
      <c r="B177" t="s">
        <v>8237</v>
      </c>
    </row>
    <row r="178" spans="1:2" hidden="1" x14ac:dyDescent="0.25">
      <c r="A178" t="s">
        <v>8415</v>
      </c>
      <c r="B178" t="s">
        <v>8237</v>
      </c>
    </row>
    <row r="179" spans="1:2" hidden="1" x14ac:dyDescent="0.25">
      <c r="A179" t="s">
        <v>8507</v>
      </c>
      <c r="B179" t="s">
        <v>8425</v>
      </c>
    </row>
    <row r="180" spans="1:2" hidden="1" x14ac:dyDescent="0.25">
      <c r="A180" t="s">
        <v>8637</v>
      </c>
      <c r="B180" t="s">
        <v>8245</v>
      </c>
    </row>
    <row r="181" spans="1:2" hidden="1" x14ac:dyDescent="0.25">
      <c r="A181" t="s">
        <v>8481</v>
      </c>
      <c r="B181" t="s">
        <v>8359</v>
      </c>
    </row>
    <row r="182" spans="1:2" hidden="1" x14ac:dyDescent="0.25">
      <c r="A182" t="s">
        <v>8399</v>
      </c>
      <c r="B182" t="s">
        <v>8284</v>
      </c>
    </row>
    <row r="183" spans="1:2" x14ac:dyDescent="0.25">
      <c r="A183" t="s">
        <v>8711</v>
      </c>
      <c r="B183" t="s">
        <v>8362</v>
      </c>
    </row>
    <row r="184" spans="1:2" x14ac:dyDescent="0.25">
      <c r="A184" t="s">
        <v>8711</v>
      </c>
      <c r="B184" t="s">
        <v>8417</v>
      </c>
    </row>
    <row r="185" spans="1:2" x14ac:dyDescent="0.25">
      <c r="A185" t="s">
        <v>8747</v>
      </c>
      <c r="B185" t="s">
        <v>8613</v>
      </c>
    </row>
    <row r="186" spans="1:2" x14ac:dyDescent="0.25">
      <c r="A186" t="s">
        <v>8747</v>
      </c>
      <c r="B186" t="s">
        <v>8403</v>
      </c>
    </row>
    <row r="187" spans="1:2" hidden="1" x14ac:dyDescent="0.25">
      <c r="A187" t="s">
        <v>8664</v>
      </c>
      <c r="B187" t="s">
        <v>8297</v>
      </c>
    </row>
    <row r="188" spans="1:2" hidden="1" x14ac:dyDescent="0.25">
      <c r="A188" t="s">
        <v>8227</v>
      </c>
      <c r="B188" t="s">
        <v>8425</v>
      </c>
    </row>
    <row r="189" spans="1:2" hidden="1" x14ac:dyDescent="0.25">
      <c r="A189" t="s">
        <v>8242</v>
      </c>
      <c r="B189" t="s">
        <v>8859</v>
      </c>
    </row>
    <row r="190" spans="1:2" x14ac:dyDescent="0.25">
      <c r="A190" t="s">
        <v>8919</v>
      </c>
      <c r="B190" t="s">
        <v>8328</v>
      </c>
    </row>
    <row r="191" spans="1:2" x14ac:dyDescent="0.25">
      <c r="A191" t="s">
        <v>8919</v>
      </c>
      <c r="B191" t="s">
        <v>8492</v>
      </c>
    </row>
    <row r="192" spans="1:2" hidden="1" x14ac:dyDescent="0.25">
      <c r="A192" t="s">
        <v>8813</v>
      </c>
      <c r="B192" t="s">
        <v>8462</v>
      </c>
    </row>
    <row r="193" spans="1:2" hidden="1" x14ac:dyDescent="0.25">
      <c r="A193" t="s">
        <v>8746</v>
      </c>
      <c r="B193" t="s">
        <v>8297</v>
      </c>
    </row>
    <row r="194" spans="1:2" x14ac:dyDescent="0.25">
      <c r="A194" t="s">
        <v>8892</v>
      </c>
      <c r="B194" t="s">
        <v>8362</v>
      </c>
    </row>
    <row r="195" spans="1:2" x14ac:dyDescent="0.25">
      <c r="A195" t="s">
        <v>8892</v>
      </c>
      <c r="B195" t="s">
        <v>8417</v>
      </c>
    </row>
    <row r="196" spans="1:2" hidden="1" x14ac:dyDescent="0.25">
      <c r="A196" t="s">
        <v>8911</v>
      </c>
      <c r="B196" t="s">
        <v>8359</v>
      </c>
    </row>
    <row r="197" spans="1:2" hidden="1" x14ac:dyDescent="0.25">
      <c r="A197" t="s">
        <v>8529</v>
      </c>
      <c r="B197" t="s">
        <v>8237</v>
      </c>
    </row>
    <row r="198" spans="1:2" hidden="1" x14ac:dyDescent="0.25">
      <c r="A198" t="s">
        <v>8729</v>
      </c>
      <c r="B198" t="s">
        <v>8343</v>
      </c>
    </row>
    <row r="199" spans="1:2" hidden="1" x14ac:dyDescent="0.25">
      <c r="A199" t="s">
        <v>8834</v>
      </c>
      <c r="B199" t="s">
        <v>8215</v>
      </c>
    </row>
    <row r="200" spans="1:2" hidden="1" x14ac:dyDescent="0.25">
      <c r="A200" t="s">
        <v>8904</v>
      </c>
      <c r="B200" t="s">
        <v>8348</v>
      </c>
    </row>
    <row r="201" spans="1:2" hidden="1" x14ac:dyDescent="0.25">
      <c r="A201" t="s">
        <v>8289</v>
      </c>
      <c r="B201" t="s">
        <v>8348</v>
      </c>
    </row>
    <row r="202" spans="1:2" hidden="1" x14ac:dyDescent="0.25">
      <c r="A202" t="s">
        <v>8715</v>
      </c>
      <c r="B202" t="s">
        <v>8392</v>
      </c>
    </row>
    <row r="203" spans="1:2" x14ac:dyDescent="0.25">
      <c r="A203" t="s">
        <v>8740</v>
      </c>
      <c r="B203" t="s">
        <v>8425</v>
      </c>
    </row>
    <row r="204" spans="1:2" x14ac:dyDescent="0.25">
      <c r="A204" t="s">
        <v>8740</v>
      </c>
      <c r="B204" t="s">
        <v>8328</v>
      </c>
    </row>
    <row r="205" spans="1:2" hidden="1" x14ac:dyDescent="0.25">
      <c r="A205" t="s">
        <v>8958</v>
      </c>
      <c r="B205" t="s">
        <v>8316</v>
      </c>
    </row>
    <row r="206" spans="1:2" hidden="1" x14ac:dyDescent="0.25">
      <c r="A206" t="s">
        <v>8777</v>
      </c>
      <c r="B206" t="s">
        <v>8215</v>
      </c>
    </row>
    <row r="207" spans="1:2" hidden="1" x14ac:dyDescent="0.25">
      <c r="A207" t="s">
        <v>8681</v>
      </c>
      <c r="B207" t="s">
        <v>8498</v>
      </c>
    </row>
    <row r="208" spans="1:2" hidden="1" x14ac:dyDescent="0.25">
      <c r="A208" t="s">
        <v>8354</v>
      </c>
      <c r="B208" t="s">
        <v>8237</v>
      </c>
    </row>
    <row r="209" spans="1:2" hidden="1" x14ac:dyDescent="0.25">
      <c r="A209" t="s">
        <v>8593</v>
      </c>
      <c r="B209" t="s">
        <v>8404</v>
      </c>
    </row>
    <row r="210" spans="1:2" hidden="1" x14ac:dyDescent="0.25">
      <c r="A210" t="s">
        <v>8906</v>
      </c>
      <c r="B210" t="s">
        <v>8238</v>
      </c>
    </row>
    <row r="211" spans="1:2" hidden="1" x14ac:dyDescent="0.25">
      <c r="A211" t="s">
        <v>8327</v>
      </c>
      <c r="B211" t="s">
        <v>8237</v>
      </c>
    </row>
    <row r="212" spans="1:2" hidden="1" x14ac:dyDescent="0.25">
      <c r="A212" t="s">
        <v>8407</v>
      </c>
      <c r="B212" t="s">
        <v>8238</v>
      </c>
    </row>
    <row r="213" spans="1:2" hidden="1" x14ac:dyDescent="0.25">
      <c r="A213" t="s">
        <v>8921</v>
      </c>
      <c r="B213" t="s">
        <v>8237</v>
      </c>
    </row>
    <row r="214" spans="1:2" hidden="1" x14ac:dyDescent="0.25">
      <c r="A214" t="s">
        <v>8444</v>
      </c>
      <c r="B214" t="s">
        <v>8297</v>
      </c>
    </row>
    <row r="215" spans="1:2" hidden="1" x14ac:dyDescent="0.25">
      <c r="A215" t="s">
        <v>8622</v>
      </c>
      <c r="B215" t="s">
        <v>8297</v>
      </c>
    </row>
    <row r="216" spans="1:2" x14ac:dyDescent="0.25">
      <c r="A216" t="s">
        <v>8539</v>
      </c>
      <c r="B216" t="s">
        <v>8717</v>
      </c>
    </row>
    <row r="217" spans="1:2" x14ac:dyDescent="0.25">
      <c r="A217" t="s">
        <v>8539</v>
      </c>
      <c r="B217" t="s">
        <v>8498</v>
      </c>
    </row>
    <row r="218" spans="1:2" hidden="1" x14ac:dyDescent="0.25">
      <c r="A218" t="s">
        <v>8208</v>
      </c>
      <c r="B218" t="s">
        <v>8316</v>
      </c>
    </row>
    <row r="219" spans="1:2" hidden="1" x14ac:dyDescent="0.25">
      <c r="A219" t="s">
        <v>8626</v>
      </c>
      <c r="B219" t="s">
        <v>8425</v>
      </c>
    </row>
    <row r="220" spans="1:2" hidden="1" x14ac:dyDescent="0.25">
      <c r="A220" t="s">
        <v>8218</v>
      </c>
      <c r="B220" t="s">
        <v>8566</v>
      </c>
    </row>
    <row r="221" spans="1:2" hidden="1" x14ac:dyDescent="0.25">
      <c r="A221" t="s">
        <v>8235</v>
      </c>
      <c r="B221" t="s">
        <v>8403</v>
      </c>
    </row>
    <row r="222" spans="1:2" hidden="1" x14ac:dyDescent="0.25">
      <c r="A222" t="s">
        <v>8463</v>
      </c>
      <c r="B222" t="s">
        <v>8215</v>
      </c>
    </row>
    <row r="223" spans="1:2" hidden="1" x14ac:dyDescent="0.25">
      <c r="A223" t="s">
        <v>8653</v>
      </c>
      <c r="B223" t="s">
        <v>8359</v>
      </c>
    </row>
    <row r="224" spans="1:2" hidden="1" x14ac:dyDescent="0.25">
      <c r="A224" t="s">
        <v>8310</v>
      </c>
      <c r="B224" t="s">
        <v>8284</v>
      </c>
    </row>
    <row r="225" spans="1:2" hidden="1" x14ac:dyDescent="0.25">
      <c r="A225" t="s">
        <v>8972</v>
      </c>
      <c r="B225" t="s">
        <v>8555</v>
      </c>
    </row>
    <row r="226" spans="1:2" hidden="1" x14ac:dyDescent="0.25">
      <c r="A226" t="s">
        <v>8957</v>
      </c>
      <c r="B226" t="s">
        <v>8238</v>
      </c>
    </row>
    <row r="227" spans="1:2" hidden="1" x14ac:dyDescent="0.25">
      <c r="A227" t="s">
        <v>8706</v>
      </c>
      <c r="B227" t="s">
        <v>8237</v>
      </c>
    </row>
    <row r="228" spans="1:2" hidden="1" x14ac:dyDescent="0.25">
      <c r="A228" t="s">
        <v>8599</v>
      </c>
      <c r="B228" t="s">
        <v>8237</v>
      </c>
    </row>
    <row r="229" spans="1:2" x14ac:dyDescent="0.25">
      <c r="A229" t="s">
        <v>8745</v>
      </c>
      <c r="B229">
        <v>33</v>
      </c>
    </row>
    <row r="230" spans="1:2" x14ac:dyDescent="0.25">
      <c r="A230" t="s">
        <v>8745</v>
      </c>
      <c r="B230" t="s">
        <v>8295</v>
      </c>
    </row>
    <row r="231" spans="1:2" x14ac:dyDescent="0.25">
      <c r="A231" t="s">
        <v>8749</v>
      </c>
      <c r="B231" t="s">
        <v>8717</v>
      </c>
    </row>
    <row r="232" spans="1:2" x14ac:dyDescent="0.25">
      <c r="A232" t="s">
        <v>8749</v>
      </c>
      <c r="B232" t="s">
        <v>8492</v>
      </c>
    </row>
    <row r="233" spans="1:2" hidden="1" x14ac:dyDescent="0.25">
      <c r="A233" t="s">
        <v>8391</v>
      </c>
      <c r="B233" t="s">
        <v>8816</v>
      </c>
    </row>
    <row r="234" spans="1:2" hidden="1" x14ac:dyDescent="0.25">
      <c r="A234" t="s">
        <v>8574</v>
      </c>
      <c r="B234" t="s">
        <v>8425</v>
      </c>
    </row>
    <row r="235" spans="1:2" hidden="1" x14ac:dyDescent="0.25">
      <c r="A235" t="s">
        <v>8596</v>
      </c>
      <c r="B235" t="s">
        <v>8411</v>
      </c>
    </row>
    <row r="236" spans="1:2" hidden="1" x14ac:dyDescent="0.25">
      <c r="A236" t="s">
        <v>8506</v>
      </c>
      <c r="B236" t="s">
        <v>8261</v>
      </c>
    </row>
    <row r="237" spans="1:2" hidden="1" x14ac:dyDescent="0.25">
      <c r="A237" t="s">
        <v>8442</v>
      </c>
      <c r="B237" t="s">
        <v>8670</v>
      </c>
    </row>
    <row r="238" spans="1:2" hidden="1" x14ac:dyDescent="0.25">
      <c r="A238" t="s">
        <v>8359</v>
      </c>
      <c r="B238" t="s">
        <v>8475</v>
      </c>
    </row>
    <row r="239" spans="1:2" hidden="1" x14ac:dyDescent="0.25">
      <c r="A239" t="s">
        <v>8331</v>
      </c>
      <c r="B239" t="s">
        <v>8284</v>
      </c>
    </row>
    <row r="240" spans="1:2" hidden="1" x14ac:dyDescent="0.25">
      <c r="A240" t="s">
        <v>8309</v>
      </c>
      <c r="B240" t="s">
        <v>8237</v>
      </c>
    </row>
    <row r="241" spans="1:2" hidden="1" x14ac:dyDescent="0.25">
      <c r="A241" t="s">
        <v>8471</v>
      </c>
      <c r="B241" t="s">
        <v>8215</v>
      </c>
    </row>
    <row r="242" spans="1:2" hidden="1" x14ac:dyDescent="0.25">
      <c r="A242" t="s">
        <v>8443</v>
      </c>
      <c r="B242" t="s">
        <v>8215</v>
      </c>
    </row>
    <row r="243" spans="1:2" hidden="1" x14ac:dyDescent="0.25">
      <c r="A243" t="s">
        <v>8366</v>
      </c>
      <c r="B243" t="s">
        <v>8215</v>
      </c>
    </row>
    <row r="244" spans="1:2" hidden="1" x14ac:dyDescent="0.25">
      <c r="A244" t="s">
        <v>8479</v>
      </c>
      <c r="B244" t="s">
        <v>8237</v>
      </c>
    </row>
    <row r="245" spans="1:2" hidden="1" x14ac:dyDescent="0.25">
      <c r="A245" t="s">
        <v>8603</v>
      </c>
      <c r="B245" t="s">
        <v>8284</v>
      </c>
    </row>
    <row r="246" spans="1:2" hidden="1" x14ac:dyDescent="0.25">
      <c r="A246" t="s">
        <v>8884</v>
      </c>
      <c r="B246" t="s">
        <v>8492</v>
      </c>
    </row>
    <row r="247" spans="1:2" hidden="1" x14ac:dyDescent="0.25">
      <c r="A247" t="s">
        <v>8935</v>
      </c>
      <c r="B247" t="s">
        <v>8237</v>
      </c>
    </row>
    <row r="248" spans="1:2" hidden="1" x14ac:dyDescent="0.25">
      <c r="A248" t="s">
        <v>8795</v>
      </c>
      <c r="B248" t="s">
        <v>8417</v>
      </c>
    </row>
    <row r="249" spans="1:2" hidden="1" x14ac:dyDescent="0.25">
      <c r="A249" t="s">
        <v>8280</v>
      </c>
      <c r="B249" t="s">
        <v>8216</v>
      </c>
    </row>
    <row r="250" spans="1:2" hidden="1" x14ac:dyDescent="0.25">
      <c r="A250" t="s">
        <v>8370</v>
      </c>
      <c r="B250" t="s">
        <v>8498</v>
      </c>
    </row>
    <row r="251" spans="1:2" hidden="1" x14ac:dyDescent="0.25">
      <c r="A251" t="s">
        <v>8887</v>
      </c>
      <c r="B251" t="s">
        <v>8215</v>
      </c>
    </row>
    <row r="252" spans="1:2" hidden="1" x14ac:dyDescent="0.25">
      <c r="A252" t="s">
        <v>8641</v>
      </c>
      <c r="B252" t="s">
        <v>8284</v>
      </c>
    </row>
    <row r="253" spans="1:2" hidden="1" x14ac:dyDescent="0.25">
      <c r="A253" t="s">
        <v>8962</v>
      </c>
      <c r="B253" t="s">
        <v>8328</v>
      </c>
    </row>
    <row r="254" spans="1:2" hidden="1" x14ac:dyDescent="0.25">
      <c r="A254" t="s">
        <v>8971</v>
      </c>
      <c r="B254" t="s">
        <v>8498</v>
      </c>
    </row>
    <row r="255" spans="1:2" hidden="1" x14ac:dyDescent="0.25">
      <c r="A255" t="s">
        <v>8266</v>
      </c>
      <c r="B255" t="s">
        <v>8566</v>
      </c>
    </row>
    <row r="256" spans="1:2" hidden="1" x14ac:dyDescent="0.25">
      <c r="A256" t="s">
        <v>8420</v>
      </c>
      <c r="B256" t="s">
        <v>8261</v>
      </c>
    </row>
    <row r="257" spans="1:2" hidden="1" x14ac:dyDescent="0.25">
      <c r="A257" t="s">
        <v>8231</v>
      </c>
      <c r="B257" t="s">
        <v>8237</v>
      </c>
    </row>
    <row r="258" spans="1:2" hidden="1" x14ac:dyDescent="0.25">
      <c r="A258" t="s">
        <v>8602</v>
      </c>
      <c r="B258" t="s">
        <v>8237</v>
      </c>
    </row>
    <row r="259" spans="1:2" hidden="1" x14ac:dyDescent="0.25">
      <c r="A259" t="s">
        <v>8979</v>
      </c>
      <c r="B259" t="s">
        <v>8859</v>
      </c>
    </row>
    <row r="260" spans="1:2" hidden="1" x14ac:dyDescent="0.25">
      <c r="A260" t="s">
        <v>8349</v>
      </c>
      <c r="B260" t="s">
        <v>8340</v>
      </c>
    </row>
    <row r="261" spans="1:2" hidden="1" x14ac:dyDescent="0.25">
      <c r="A261" t="s">
        <v>8320</v>
      </c>
      <c r="B261" t="s">
        <v>8261</v>
      </c>
    </row>
    <row r="262" spans="1:2" hidden="1" x14ac:dyDescent="0.25">
      <c r="A262" t="s">
        <v>8563</v>
      </c>
      <c r="B262" t="s">
        <v>8498</v>
      </c>
    </row>
    <row r="263" spans="1:2" hidden="1" x14ac:dyDescent="0.25">
      <c r="A263" t="s">
        <v>8683</v>
      </c>
      <c r="B263" t="s">
        <v>8364</v>
      </c>
    </row>
    <row r="264" spans="1:2" x14ac:dyDescent="0.25">
      <c r="A264" t="s">
        <v>8976</v>
      </c>
      <c r="B264" t="s">
        <v>8425</v>
      </c>
    </row>
    <row r="265" spans="1:2" x14ac:dyDescent="0.25">
      <c r="A265" t="s">
        <v>8976</v>
      </c>
      <c r="B265" t="s">
        <v>8250</v>
      </c>
    </row>
    <row r="266" spans="1:2" hidden="1" x14ac:dyDescent="0.25">
      <c r="A266" t="s">
        <v>8521</v>
      </c>
      <c r="B266" t="s">
        <v>8352</v>
      </c>
    </row>
    <row r="267" spans="1:2" hidden="1" x14ac:dyDescent="0.25">
      <c r="A267" t="s">
        <v>8785</v>
      </c>
      <c r="B267" t="s">
        <v>8352</v>
      </c>
    </row>
    <row r="268" spans="1:2" hidden="1" x14ac:dyDescent="0.25">
      <c r="A268" t="s">
        <v>8211</v>
      </c>
      <c r="B268" t="s">
        <v>8212</v>
      </c>
    </row>
    <row r="269" spans="1:2" hidden="1" x14ac:dyDescent="0.25">
      <c r="A269" t="s">
        <v>8728</v>
      </c>
      <c r="B269" t="s">
        <v>8237</v>
      </c>
    </row>
    <row r="270" spans="1:2" hidden="1" x14ac:dyDescent="0.25">
      <c r="A270" t="s">
        <v>8385</v>
      </c>
      <c r="B270" t="s">
        <v>8566</v>
      </c>
    </row>
    <row r="271" spans="1:2" hidden="1" x14ac:dyDescent="0.25">
      <c r="A271" t="s">
        <v>8579</v>
      </c>
      <c r="B271" t="s">
        <v>8403</v>
      </c>
    </row>
    <row r="272" spans="1:2" hidden="1" x14ac:dyDescent="0.25">
      <c r="A272" t="s">
        <v>8457</v>
      </c>
      <c r="B272" t="s">
        <v>8403</v>
      </c>
    </row>
    <row r="273" spans="1:2" hidden="1" x14ac:dyDescent="0.25">
      <c r="A273" t="s">
        <v>8313</v>
      </c>
      <c r="B273" t="s">
        <v>8215</v>
      </c>
    </row>
    <row r="274" spans="1:2" hidden="1" x14ac:dyDescent="0.25">
      <c r="A274" t="s">
        <v>8522</v>
      </c>
      <c r="B274" t="s">
        <v>8859</v>
      </c>
    </row>
    <row r="275" spans="1:2" hidden="1" x14ac:dyDescent="0.25">
      <c r="A275" t="s">
        <v>8610</v>
      </c>
      <c r="B275" t="s">
        <v>8816</v>
      </c>
    </row>
    <row r="276" spans="1:2" hidden="1" x14ac:dyDescent="0.25">
      <c r="A276" t="s">
        <v>8606</v>
      </c>
      <c r="B276" t="s">
        <v>8295</v>
      </c>
    </row>
    <row r="277" spans="1:2" hidden="1" x14ac:dyDescent="0.25">
      <c r="A277" t="s">
        <v>8965</v>
      </c>
      <c r="B277" t="s">
        <v>8859</v>
      </c>
    </row>
    <row r="278" spans="1:2" hidden="1" x14ac:dyDescent="0.25">
      <c r="A278" t="s">
        <v>8896</v>
      </c>
      <c r="B278" t="s">
        <v>8417</v>
      </c>
    </row>
    <row r="279" spans="1:2" hidden="1" x14ac:dyDescent="0.25">
      <c r="A279" t="s">
        <v>8607</v>
      </c>
      <c r="B279" t="s">
        <v>8498</v>
      </c>
    </row>
    <row r="280" spans="1:2" hidden="1" x14ac:dyDescent="0.25">
      <c r="A280" t="s">
        <v>8894</v>
      </c>
      <c r="B280" t="s">
        <v>8403</v>
      </c>
    </row>
    <row r="281" spans="1:2" hidden="1" x14ac:dyDescent="0.25">
      <c r="A281" t="s">
        <v>8695</v>
      </c>
      <c r="B281" t="s">
        <v>8411</v>
      </c>
    </row>
    <row r="282" spans="1:2" hidden="1" x14ac:dyDescent="0.25">
      <c r="A282" t="s">
        <v>8933</v>
      </c>
      <c r="B282" t="s">
        <v>8215</v>
      </c>
    </row>
    <row r="283" spans="1:2" hidden="1" x14ac:dyDescent="0.25">
      <c r="A283" t="s">
        <v>8269</v>
      </c>
      <c r="B283" t="s">
        <v>8403</v>
      </c>
    </row>
    <row r="284" spans="1:2" hidden="1" x14ac:dyDescent="0.25">
      <c r="A284" t="s">
        <v>8386</v>
      </c>
      <c r="B284" t="s">
        <v>8221</v>
      </c>
    </row>
    <row r="285" spans="1:2" hidden="1" x14ac:dyDescent="0.25">
      <c r="A285" t="s">
        <v>8864</v>
      </c>
      <c r="B285" t="s">
        <v>8559</v>
      </c>
    </row>
    <row r="286" spans="1:2" hidden="1" x14ac:dyDescent="0.25">
      <c r="A286" t="s">
        <v>8968</v>
      </c>
      <c r="B286" t="s">
        <v>8316</v>
      </c>
    </row>
    <row r="287" spans="1:2" hidden="1" x14ac:dyDescent="0.25">
      <c r="A287" t="s">
        <v>8675</v>
      </c>
      <c r="B287" t="s">
        <v>8259</v>
      </c>
    </row>
    <row r="288" spans="1:2" hidden="1" x14ac:dyDescent="0.25">
      <c r="A288" t="s">
        <v>8840</v>
      </c>
      <c r="B288" t="s">
        <v>8859</v>
      </c>
    </row>
    <row r="289" spans="1:2" hidden="1" x14ac:dyDescent="0.25">
      <c r="A289" t="s">
        <v>8908</v>
      </c>
      <c r="B289" t="s">
        <v>8492</v>
      </c>
    </row>
    <row r="290" spans="1:2" hidden="1" x14ac:dyDescent="0.25">
      <c r="A290" t="s">
        <v>8643</v>
      </c>
      <c r="B290" t="s">
        <v>8316</v>
      </c>
    </row>
    <row r="291" spans="1:2" hidden="1" x14ac:dyDescent="0.25">
      <c r="A291" t="s">
        <v>8592</v>
      </c>
      <c r="B291" t="s">
        <v>8215</v>
      </c>
    </row>
    <row r="292" spans="1:2" hidden="1" x14ac:dyDescent="0.25">
      <c r="A292" t="s">
        <v>8518</v>
      </c>
      <c r="B292" t="s">
        <v>8215</v>
      </c>
    </row>
    <row r="293" spans="1:2" hidden="1" x14ac:dyDescent="0.25">
      <c r="A293" t="s">
        <v>8676</v>
      </c>
      <c r="B293" t="s">
        <v>8462</v>
      </c>
    </row>
    <row r="294" spans="1:2" hidden="1" x14ac:dyDescent="0.25">
      <c r="A294" t="s">
        <v>8659</v>
      </c>
      <c r="B294" t="s">
        <v>8261</v>
      </c>
    </row>
    <row r="295" spans="1:2" hidden="1" x14ac:dyDescent="0.25">
      <c r="A295" t="s">
        <v>8426</v>
      </c>
      <c r="B295" t="s">
        <v>8215</v>
      </c>
    </row>
    <row r="296" spans="1:2" hidden="1" x14ac:dyDescent="0.25">
      <c r="A296" t="s">
        <v>8323</v>
      </c>
      <c r="B296" t="s">
        <v>8215</v>
      </c>
    </row>
    <row r="297" spans="1:2" hidden="1" x14ac:dyDescent="0.25">
      <c r="A297" t="s">
        <v>8714</v>
      </c>
      <c r="B297" t="s">
        <v>8215</v>
      </c>
    </row>
    <row r="298" spans="1:2" hidden="1" x14ac:dyDescent="0.25">
      <c r="A298" t="s">
        <v>8465</v>
      </c>
      <c r="B298" t="s">
        <v>8237</v>
      </c>
    </row>
    <row r="299" spans="1:2" hidden="1" x14ac:dyDescent="0.25">
      <c r="A299" t="s">
        <v>8458</v>
      </c>
      <c r="B299" t="s">
        <v>8566</v>
      </c>
    </row>
    <row r="300" spans="1:2" hidden="1" x14ac:dyDescent="0.25">
      <c r="A300" t="s">
        <v>8760</v>
      </c>
      <c r="B300" t="s">
        <v>8859</v>
      </c>
    </row>
    <row r="301" spans="1:2" hidden="1" x14ac:dyDescent="0.25">
      <c r="A301" t="s">
        <v>8612</v>
      </c>
      <c r="B301" t="s">
        <v>8403</v>
      </c>
    </row>
    <row r="302" spans="1:2" hidden="1" x14ac:dyDescent="0.25">
      <c r="A302" t="s">
        <v>8907</v>
      </c>
      <c r="B302" t="s">
        <v>8498</v>
      </c>
    </row>
    <row r="303" spans="1:2" hidden="1" x14ac:dyDescent="0.25">
      <c r="A303" t="s">
        <v>8789</v>
      </c>
      <c r="B303" t="s">
        <v>8392</v>
      </c>
    </row>
    <row r="304" spans="1:2" hidden="1" x14ac:dyDescent="0.25">
      <c r="A304" t="s">
        <v>8981</v>
      </c>
      <c r="B304" t="s">
        <v>8237</v>
      </c>
    </row>
    <row r="305" spans="1:2" hidden="1" x14ac:dyDescent="0.25">
      <c r="A305" t="s">
        <v>8551</v>
      </c>
      <c r="B305" t="s">
        <v>8237</v>
      </c>
    </row>
    <row r="306" spans="1:2" hidden="1" x14ac:dyDescent="0.25">
      <c r="A306" t="s">
        <v>8283</v>
      </c>
      <c r="B306" t="s">
        <v>8859</v>
      </c>
    </row>
    <row r="307" spans="1:2" hidden="1" x14ac:dyDescent="0.25">
      <c r="A307" t="s">
        <v>8952</v>
      </c>
      <c r="B307" t="s">
        <v>8297</v>
      </c>
    </row>
    <row r="308" spans="1:2" hidden="1" x14ac:dyDescent="0.25">
      <c r="A308" t="s">
        <v>8244</v>
      </c>
      <c r="B308" t="s">
        <v>8295</v>
      </c>
    </row>
    <row r="309" spans="1:2" hidden="1" x14ac:dyDescent="0.25">
      <c r="A309" t="s">
        <v>8378</v>
      </c>
      <c r="B309" t="s">
        <v>8403</v>
      </c>
    </row>
    <row r="310" spans="1:2" hidden="1" x14ac:dyDescent="0.25">
      <c r="A310" t="s">
        <v>8369</v>
      </c>
      <c r="B310" t="s">
        <v>8572</v>
      </c>
    </row>
    <row r="311" spans="1:2" hidden="1" x14ac:dyDescent="0.25">
      <c r="A311" t="s">
        <v>8278</v>
      </c>
      <c r="B311" t="s">
        <v>8566</v>
      </c>
    </row>
    <row r="312" spans="1:2" hidden="1" x14ac:dyDescent="0.25">
      <c r="A312" t="s">
        <v>8497</v>
      </c>
      <c r="B312" t="s">
        <v>8403</v>
      </c>
    </row>
    <row r="313" spans="1:2" hidden="1" x14ac:dyDescent="0.25">
      <c r="A313" t="s">
        <v>8275</v>
      </c>
      <c r="B313" t="s">
        <v>8403</v>
      </c>
    </row>
    <row r="314" spans="1:2" x14ac:dyDescent="0.25">
      <c r="A314" t="s">
        <v>8775</v>
      </c>
      <c r="B314" t="s">
        <v>8284</v>
      </c>
    </row>
    <row r="315" spans="1:2" x14ac:dyDescent="0.25">
      <c r="A315" t="s">
        <v>8775</v>
      </c>
      <c r="B315" t="s">
        <v>8215</v>
      </c>
    </row>
    <row r="316" spans="1:2" hidden="1" x14ac:dyDescent="0.25">
      <c r="A316" t="s">
        <v>8582</v>
      </c>
      <c r="B316" t="s">
        <v>8403</v>
      </c>
    </row>
    <row r="317" spans="1:2" hidden="1" x14ac:dyDescent="0.25">
      <c r="A317" t="s">
        <v>8538</v>
      </c>
      <c r="B317" t="s">
        <v>8297</v>
      </c>
    </row>
    <row r="318" spans="1:2" hidden="1" x14ac:dyDescent="0.25">
      <c r="A318" t="s">
        <v>8384</v>
      </c>
      <c r="B318" t="s">
        <v>8295</v>
      </c>
    </row>
    <row r="319" spans="1:2" hidden="1" x14ac:dyDescent="0.25">
      <c r="A319" t="s">
        <v>8782</v>
      </c>
      <c r="B319" t="s">
        <v>8403</v>
      </c>
    </row>
    <row r="320" spans="1:2" hidden="1" x14ac:dyDescent="0.25">
      <c r="A320" t="s">
        <v>8648</v>
      </c>
      <c r="B320" t="s">
        <v>8343</v>
      </c>
    </row>
    <row r="321" spans="1:2" hidden="1" x14ac:dyDescent="0.25">
      <c r="A321" t="s">
        <v>8784</v>
      </c>
      <c r="B321" t="s">
        <v>8566</v>
      </c>
    </row>
    <row r="322" spans="1:2" hidden="1" x14ac:dyDescent="0.25">
      <c r="A322" t="s">
        <v>8856</v>
      </c>
      <c r="B322" t="s">
        <v>8392</v>
      </c>
    </row>
    <row r="323" spans="1:2" hidden="1" x14ac:dyDescent="0.25">
      <c r="A323" t="s">
        <v>8628</v>
      </c>
      <c r="B323" t="s">
        <v>8212</v>
      </c>
    </row>
    <row r="324" spans="1:2" x14ac:dyDescent="0.25">
      <c r="A324" t="s">
        <v>8334</v>
      </c>
      <c r="B324" t="s">
        <v>8284</v>
      </c>
    </row>
    <row r="325" spans="1:2" x14ac:dyDescent="0.25">
      <c r="A325" t="s">
        <v>8334</v>
      </c>
      <c r="B325" t="s">
        <v>8215</v>
      </c>
    </row>
    <row r="326" spans="1:2" x14ac:dyDescent="0.25">
      <c r="A326" t="s">
        <v>8821</v>
      </c>
      <c r="B326" t="s">
        <v>8498</v>
      </c>
    </row>
    <row r="327" spans="1:2" x14ac:dyDescent="0.25">
      <c r="A327" t="s">
        <v>8821</v>
      </c>
      <c r="B327" t="s">
        <v>8462</v>
      </c>
    </row>
    <row r="328" spans="1:2" hidden="1" x14ac:dyDescent="0.25">
      <c r="A328" t="s">
        <v>8524</v>
      </c>
      <c r="B328" t="s">
        <v>8295</v>
      </c>
    </row>
    <row r="329" spans="1:2" hidden="1" x14ac:dyDescent="0.25">
      <c r="A329" t="s">
        <v>8452</v>
      </c>
      <c r="B329" t="s">
        <v>8613</v>
      </c>
    </row>
    <row r="330" spans="1:2" hidden="1" x14ac:dyDescent="0.25">
      <c r="A330" t="s">
        <v>8577</v>
      </c>
      <c r="B330" t="s">
        <v>8816</v>
      </c>
    </row>
    <row r="331" spans="1:2" hidden="1" x14ac:dyDescent="0.25">
      <c r="A331" t="s">
        <v>8480</v>
      </c>
      <c r="B331" t="s">
        <v>8566</v>
      </c>
    </row>
    <row r="332" spans="1:2" hidden="1" x14ac:dyDescent="0.25">
      <c r="A332" t="s">
        <v>8742</v>
      </c>
      <c r="B332" t="s">
        <v>8245</v>
      </c>
    </row>
    <row r="333" spans="1:2" x14ac:dyDescent="0.25">
      <c r="A333" t="s">
        <v>8576</v>
      </c>
      <c r="B333" t="s">
        <v>8689</v>
      </c>
    </row>
    <row r="334" spans="1:2" x14ac:dyDescent="0.25">
      <c r="A334" t="s">
        <v>8576</v>
      </c>
      <c r="B334" t="s">
        <v>8304</v>
      </c>
    </row>
    <row r="335" spans="1:2" hidden="1" x14ac:dyDescent="0.25">
      <c r="A335" t="s">
        <v>8663</v>
      </c>
      <c r="B335" t="s">
        <v>8392</v>
      </c>
    </row>
    <row r="336" spans="1:2" hidden="1" x14ac:dyDescent="0.25">
      <c r="A336" t="s">
        <v>8500</v>
      </c>
      <c r="B336" t="s">
        <v>8403</v>
      </c>
    </row>
    <row r="337" spans="1:2" hidden="1" x14ac:dyDescent="0.25">
      <c r="A337" t="s">
        <v>8886</v>
      </c>
      <c r="B337" t="s">
        <v>8433</v>
      </c>
    </row>
    <row r="338" spans="1:2" hidden="1" x14ac:dyDescent="0.25">
      <c r="A338" t="s">
        <v>8433</v>
      </c>
      <c r="B338" t="s">
        <v>8245</v>
      </c>
    </row>
    <row r="339" spans="1:2" hidden="1" x14ac:dyDescent="0.25">
      <c r="A339" t="s">
        <v>8738</v>
      </c>
      <c r="B339" t="s">
        <v>8392</v>
      </c>
    </row>
    <row r="340" spans="1:2" hidden="1" x14ac:dyDescent="0.25">
      <c r="A340" t="s">
        <v>8544</v>
      </c>
      <c r="B340" t="s">
        <v>8392</v>
      </c>
    </row>
    <row r="341" spans="1:2" hidden="1" x14ac:dyDescent="0.25">
      <c r="A341" t="s">
        <v>8453</v>
      </c>
      <c r="B341" t="s">
        <v>8215</v>
      </c>
    </row>
    <row r="342" spans="1:2" hidden="1" x14ac:dyDescent="0.25">
      <c r="A342" t="s">
        <v>8466</v>
      </c>
      <c r="B342" t="s">
        <v>8717</v>
      </c>
    </row>
    <row r="343" spans="1:2" hidden="1" x14ac:dyDescent="0.25">
      <c r="A343" t="s">
        <v>8356</v>
      </c>
      <c r="B343" t="s">
        <v>8404</v>
      </c>
    </row>
    <row r="344" spans="1:2" hidden="1" x14ac:dyDescent="0.25">
      <c r="A344" t="s">
        <v>8836</v>
      </c>
      <c r="B344" t="s">
        <v>8411</v>
      </c>
    </row>
    <row r="345" spans="1:2" hidden="1" x14ac:dyDescent="0.25">
      <c r="A345" t="s">
        <v>8279</v>
      </c>
      <c r="B345" t="s">
        <v>8403</v>
      </c>
    </row>
    <row r="346" spans="1:2" hidden="1" x14ac:dyDescent="0.25">
      <c r="A346" t="s">
        <v>8600</v>
      </c>
      <c r="B346" t="s">
        <v>8816</v>
      </c>
    </row>
    <row r="347" spans="1:2" hidden="1" x14ac:dyDescent="0.25">
      <c r="A347" t="s">
        <v>8674</v>
      </c>
      <c r="B347" t="s">
        <v>8859</v>
      </c>
    </row>
    <row r="348" spans="1:2" hidden="1" x14ac:dyDescent="0.25">
      <c r="A348" t="s">
        <v>8889</v>
      </c>
      <c r="B348" t="s">
        <v>8216</v>
      </c>
    </row>
    <row r="349" spans="1:2" hidden="1" x14ac:dyDescent="0.25">
      <c r="A349" t="s">
        <v>8496</v>
      </c>
      <c r="B349" t="s">
        <v>8215</v>
      </c>
    </row>
    <row r="350" spans="1:2" x14ac:dyDescent="0.25">
      <c r="A350" t="s">
        <v>8991</v>
      </c>
      <c r="B350" t="s">
        <v>8343</v>
      </c>
    </row>
    <row r="351" spans="1:2" x14ac:dyDescent="0.25">
      <c r="A351" t="s">
        <v>8991</v>
      </c>
      <c r="B351" t="s">
        <v>8717</v>
      </c>
    </row>
    <row r="352" spans="1:2" hidden="1" x14ac:dyDescent="0.25">
      <c r="A352" t="s">
        <v>8805</v>
      </c>
      <c r="B352" t="s">
        <v>8859</v>
      </c>
    </row>
    <row r="353" spans="1:2" hidden="1" x14ac:dyDescent="0.25">
      <c r="A353" t="s">
        <v>8368</v>
      </c>
      <c r="B353" t="s">
        <v>8689</v>
      </c>
    </row>
    <row r="354" spans="1:2" hidden="1" x14ac:dyDescent="0.25">
      <c r="A354" t="s">
        <v>8825</v>
      </c>
      <c r="B354" t="s">
        <v>8295</v>
      </c>
    </row>
    <row r="355" spans="1:2" hidden="1" x14ac:dyDescent="0.25">
      <c r="A355" t="s">
        <v>8403</v>
      </c>
      <c r="B355" t="s">
        <v>8566</v>
      </c>
    </row>
    <row r="356" spans="1:2" hidden="1" x14ac:dyDescent="0.25">
      <c r="A356" t="s">
        <v>8332</v>
      </c>
      <c r="B356" t="s">
        <v>8343</v>
      </c>
    </row>
    <row r="357" spans="1:2" hidden="1" x14ac:dyDescent="0.25">
      <c r="A357" t="s">
        <v>8441</v>
      </c>
      <c r="B357" t="s">
        <v>8717</v>
      </c>
    </row>
    <row r="358" spans="1:2" hidden="1" x14ac:dyDescent="0.25">
      <c r="A358" t="s">
        <v>8828</v>
      </c>
      <c r="B358" t="s">
        <v>8392</v>
      </c>
    </row>
    <row r="359" spans="1:2" hidden="1" x14ac:dyDescent="0.25">
      <c r="A359" t="s">
        <v>8418</v>
      </c>
      <c r="B359" t="s">
        <v>8716</v>
      </c>
    </row>
    <row r="360" spans="1:2" hidden="1" x14ac:dyDescent="0.25">
      <c r="A360" t="s">
        <v>8614</v>
      </c>
      <c r="B360" t="s">
        <v>8255</v>
      </c>
    </row>
    <row r="361" spans="1:2" hidden="1" x14ac:dyDescent="0.25">
      <c r="A361" t="s">
        <v>8774</v>
      </c>
      <c r="B361" t="s">
        <v>8316</v>
      </c>
    </row>
    <row r="362" spans="1:2" hidden="1" x14ac:dyDescent="0.25">
      <c r="A362" t="s">
        <v>8655</v>
      </c>
      <c r="B362" t="s">
        <v>8297</v>
      </c>
    </row>
    <row r="363" spans="1:2" hidden="1" x14ac:dyDescent="0.25">
      <c r="A363" t="s">
        <v>8263</v>
      </c>
      <c r="B363" t="s">
        <v>8462</v>
      </c>
    </row>
    <row r="364" spans="1:2" hidden="1" x14ac:dyDescent="0.25">
      <c r="A364" t="s">
        <v>8920</v>
      </c>
      <c r="B364" t="s">
        <v>8237</v>
      </c>
    </row>
    <row r="365" spans="1:2" hidden="1" x14ac:dyDescent="0.25">
      <c r="A365" t="s">
        <v>8230</v>
      </c>
      <c r="B365" t="s">
        <v>8392</v>
      </c>
    </row>
    <row r="366" spans="1:2" hidden="1" x14ac:dyDescent="0.25">
      <c r="A366" t="s">
        <v>8249</v>
      </c>
      <c r="B366" t="s">
        <v>8259</v>
      </c>
    </row>
    <row r="367" spans="1:2" hidden="1" x14ac:dyDescent="0.25">
      <c r="A367" t="s">
        <v>8717</v>
      </c>
      <c r="B367" t="s">
        <v>8245</v>
      </c>
    </row>
    <row r="368" spans="1:2" hidden="1" x14ac:dyDescent="0.25">
      <c r="A368" t="s">
        <v>8520</v>
      </c>
      <c r="B368" t="s">
        <v>8316</v>
      </c>
    </row>
    <row r="369" spans="1:2" hidden="1" x14ac:dyDescent="0.25">
      <c r="A369" t="s">
        <v>8502</v>
      </c>
      <c r="B369" t="s">
        <v>8425</v>
      </c>
    </row>
    <row r="370" spans="1:2" hidden="1" x14ac:dyDescent="0.25">
      <c r="A370" t="s">
        <v>8609</v>
      </c>
      <c r="B370" t="s">
        <v>8284</v>
      </c>
    </row>
    <row r="371" spans="1:2" hidden="1" x14ac:dyDescent="0.25">
      <c r="A371" t="s">
        <v>8770</v>
      </c>
      <c r="B371" t="s">
        <v>8403</v>
      </c>
    </row>
    <row r="372" spans="1:2" hidden="1" x14ac:dyDescent="0.25">
      <c r="A372" t="s">
        <v>8733</v>
      </c>
      <c r="B372" t="s">
        <v>8343</v>
      </c>
    </row>
    <row r="373" spans="1:2" hidden="1" x14ac:dyDescent="0.25">
      <c r="A373" t="s">
        <v>8804</v>
      </c>
      <c r="B373" t="s">
        <v>8348</v>
      </c>
    </row>
    <row r="374" spans="1:2" hidden="1" x14ac:dyDescent="0.25">
      <c r="A374" t="s">
        <v>8519</v>
      </c>
      <c r="B374" t="s">
        <v>8352</v>
      </c>
    </row>
    <row r="375" spans="1:2" hidden="1" x14ac:dyDescent="0.25">
      <c r="A375" t="s">
        <v>8899</v>
      </c>
      <c r="B375" t="s">
        <v>8304</v>
      </c>
    </row>
    <row r="376" spans="1:2" hidden="1" x14ac:dyDescent="0.25">
      <c r="A376" t="s">
        <v>8569</v>
      </c>
      <c r="B376" t="s">
        <v>8964</v>
      </c>
    </row>
    <row r="377" spans="1:2" hidden="1" x14ac:dyDescent="0.25">
      <c r="A377" t="s">
        <v>8732</v>
      </c>
      <c r="B377" t="s">
        <v>8392</v>
      </c>
    </row>
    <row r="378" spans="1:2" hidden="1" x14ac:dyDescent="0.25">
      <c r="A378" t="s">
        <v>8361</v>
      </c>
      <c r="B378" t="s">
        <v>8475</v>
      </c>
    </row>
    <row r="379" spans="1:2" hidden="1" x14ac:dyDescent="0.25">
      <c r="A379" t="s">
        <v>8680</v>
      </c>
      <c r="B379" t="s">
        <v>8637</v>
      </c>
    </row>
    <row r="380" spans="1:2" hidden="1" x14ac:dyDescent="0.25">
      <c r="A380" t="s">
        <v>8963</v>
      </c>
      <c r="B380" t="s">
        <v>8237</v>
      </c>
    </row>
    <row r="381" spans="1:2" hidden="1" x14ac:dyDescent="0.25">
      <c r="A381" t="s">
        <v>8692</v>
      </c>
      <c r="B381" t="s">
        <v>8245</v>
      </c>
    </row>
    <row r="382" spans="1:2" hidden="1" x14ac:dyDescent="0.25">
      <c r="A382" t="s">
        <v>8372</v>
      </c>
      <c r="B382" t="s">
        <v>8403</v>
      </c>
    </row>
    <row r="383" spans="1:2" hidden="1" x14ac:dyDescent="0.25">
      <c r="A383" t="s">
        <v>8298</v>
      </c>
      <c r="B383" t="s">
        <v>8572</v>
      </c>
    </row>
    <row r="384" spans="1:2" hidden="1" x14ac:dyDescent="0.25">
      <c r="A384" t="s">
        <v>8800</v>
      </c>
      <c r="B384" t="s">
        <v>8613</v>
      </c>
    </row>
    <row r="385" spans="1:2" x14ac:dyDescent="0.25">
      <c r="A385" t="s">
        <v>8286</v>
      </c>
      <c r="B385" t="s">
        <v>8403</v>
      </c>
    </row>
    <row r="386" spans="1:2" x14ac:dyDescent="0.25">
      <c r="A386" t="s">
        <v>8286</v>
      </c>
      <c r="B386" t="s">
        <v>8572</v>
      </c>
    </row>
    <row r="387" spans="1:2" hidden="1" x14ac:dyDescent="0.25">
      <c r="A387" t="s">
        <v>8581</v>
      </c>
      <c r="B387" t="s">
        <v>8689</v>
      </c>
    </row>
    <row r="388" spans="1:2" hidden="1" x14ac:dyDescent="0.25">
      <c r="A388" t="s">
        <v>8307</v>
      </c>
      <c r="B388" t="s">
        <v>8250</v>
      </c>
    </row>
    <row r="389" spans="1:2" hidden="1" x14ac:dyDescent="0.25">
      <c r="A389" t="s">
        <v>8424</v>
      </c>
      <c r="B389" t="s">
        <v>8343</v>
      </c>
    </row>
    <row r="390" spans="1:2" hidden="1" x14ac:dyDescent="0.25">
      <c r="A390" t="s">
        <v>8417</v>
      </c>
      <c r="B390" t="s">
        <v>8362</v>
      </c>
    </row>
    <row r="391" spans="1:2" x14ac:dyDescent="0.25">
      <c r="A391" t="s">
        <v>8801</v>
      </c>
      <c r="B391" t="s">
        <v>8816</v>
      </c>
    </row>
    <row r="392" spans="1:2" x14ac:dyDescent="0.25">
      <c r="A392" t="s">
        <v>8801</v>
      </c>
      <c r="B392" t="s">
        <v>8295</v>
      </c>
    </row>
    <row r="393" spans="1:2" hidden="1" x14ac:dyDescent="0.25">
      <c r="A393" t="s">
        <v>8329</v>
      </c>
      <c r="B393" t="s">
        <v>8411</v>
      </c>
    </row>
    <row r="394" spans="1:2" hidden="1" x14ac:dyDescent="0.25">
      <c r="A394" t="s">
        <v>8625</v>
      </c>
      <c r="B394" t="s">
        <v>8237</v>
      </c>
    </row>
    <row r="395" spans="1:2" hidden="1" x14ac:dyDescent="0.25">
      <c r="A395" t="s">
        <v>8799</v>
      </c>
      <c r="B395" t="s">
        <v>8492</v>
      </c>
    </row>
    <row r="396" spans="1:2" hidden="1" x14ac:dyDescent="0.25">
      <c r="A396" t="s">
        <v>8654</v>
      </c>
      <c r="B396" t="s">
        <v>8613</v>
      </c>
    </row>
    <row r="397" spans="1:2" hidden="1" x14ac:dyDescent="0.25">
      <c r="A397" t="s">
        <v>8627</v>
      </c>
      <c r="B397" t="s">
        <v>8403</v>
      </c>
    </row>
    <row r="398" spans="1:2" hidden="1" x14ac:dyDescent="0.25">
      <c r="A398" t="s">
        <v>8621</v>
      </c>
      <c r="B398" t="s">
        <v>8352</v>
      </c>
    </row>
    <row r="399" spans="1:2" hidden="1" x14ac:dyDescent="0.25">
      <c r="A399" t="s">
        <v>8756</v>
      </c>
      <c r="B399" t="s">
        <v>8297</v>
      </c>
    </row>
    <row r="400" spans="1:2" hidden="1" x14ac:dyDescent="0.25">
      <c r="A400" t="s">
        <v>8678</v>
      </c>
      <c r="B400" t="s">
        <v>8297</v>
      </c>
    </row>
    <row r="401" spans="1:2" hidden="1" x14ac:dyDescent="0.25">
      <c r="A401" t="s">
        <v>8967</v>
      </c>
      <c r="B401" t="s">
        <v>8238</v>
      </c>
    </row>
    <row r="402" spans="1:2" hidden="1" x14ac:dyDescent="0.25">
      <c r="A402" t="s">
        <v>8377</v>
      </c>
      <c r="B402" t="s">
        <v>8237</v>
      </c>
    </row>
    <row r="403" spans="1:2" hidden="1" x14ac:dyDescent="0.25">
      <c r="A403" t="s">
        <v>8410</v>
      </c>
      <c r="B403" t="s">
        <v>8791</v>
      </c>
    </row>
    <row r="404" spans="1:2" hidden="1" x14ac:dyDescent="0.25">
      <c r="A404" t="s">
        <v>8945</v>
      </c>
      <c r="B404">
        <v>471</v>
      </c>
    </row>
    <row r="405" spans="1:2" hidden="1" x14ac:dyDescent="0.25">
      <c r="A405" t="s">
        <v>8411</v>
      </c>
      <c r="B405" t="s">
        <v>8670</v>
      </c>
    </row>
    <row r="406" spans="1:2" hidden="1" x14ac:dyDescent="0.25">
      <c r="A406" t="s">
        <v>8296</v>
      </c>
      <c r="B406" t="s">
        <v>8284</v>
      </c>
    </row>
    <row r="407" spans="1:2" hidden="1" x14ac:dyDescent="0.25">
      <c r="A407" t="s">
        <v>8543</v>
      </c>
      <c r="B407" t="s">
        <v>8237</v>
      </c>
    </row>
    <row r="408" spans="1:2" hidden="1" x14ac:dyDescent="0.25">
      <c r="A408" t="s">
        <v>8754</v>
      </c>
      <c r="B408" t="s">
        <v>8284</v>
      </c>
    </row>
    <row r="409" spans="1:2" hidden="1" x14ac:dyDescent="0.25">
      <c r="A409" t="s">
        <v>8301</v>
      </c>
      <c r="B409" t="s">
        <v>8403</v>
      </c>
    </row>
    <row r="410" spans="1:2" hidden="1" x14ac:dyDescent="0.25">
      <c r="A410" t="s">
        <v>8389</v>
      </c>
      <c r="B410" t="s">
        <v>8403</v>
      </c>
    </row>
    <row r="411" spans="1:2" hidden="1" x14ac:dyDescent="0.25">
      <c r="A411" t="s">
        <v>8671</v>
      </c>
      <c r="B411" t="s">
        <v>8559</v>
      </c>
    </row>
    <row r="412" spans="1:2" hidden="1" x14ac:dyDescent="0.25">
      <c r="A412" t="s">
        <v>8634</v>
      </c>
      <c r="B412" t="s">
        <v>8433</v>
      </c>
    </row>
    <row r="413" spans="1:2" hidden="1" x14ac:dyDescent="0.25">
      <c r="A413" t="s">
        <v>8333</v>
      </c>
      <c r="B413" t="s">
        <v>8216</v>
      </c>
    </row>
    <row r="414" spans="1:2" hidden="1" x14ac:dyDescent="0.25">
      <c r="A414" t="s">
        <v>8847</v>
      </c>
      <c r="B414" t="s">
        <v>8237</v>
      </c>
    </row>
    <row r="415" spans="1:2" x14ac:dyDescent="0.25">
      <c r="A415" t="s">
        <v>8930</v>
      </c>
      <c r="B415" t="s">
        <v>8403</v>
      </c>
    </row>
    <row r="416" spans="1:2" x14ac:dyDescent="0.25">
      <c r="A416" t="s">
        <v>8930</v>
      </c>
      <c r="B416" t="s">
        <v>8613</v>
      </c>
    </row>
    <row r="417" spans="1:2" x14ac:dyDescent="0.25">
      <c r="A417" t="s">
        <v>8930</v>
      </c>
      <c r="B417" t="s">
        <v>8566</v>
      </c>
    </row>
    <row r="418" spans="1:2" x14ac:dyDescent="0.25">
      <c r="A418" t="s">
        <v>8837</v>
      </c>
      <c r="B418" t="s">
        <v>8343</v>
      </c>
    </row>
    <row r="419" spans="1:2" x14ac:dyDescent="0.25">
      <c r="A419" t="s">
        <v>8837</v>
      </c>
      <c r="B419" t="s">
        <v>8717</v>
      </c>
    </row>
    <row r="420" spans="1:2" hidden="1" x14ac:dyDescent="0.25">
      <c r="A420" t="s">
        <v>8871</v>
      </c>
      <c r="B420" t="s">
        <v>8559</v>
      </c>
    </row>
    <row r="421" spans="1:2" hidden="1" x14ac:dyDescent="0.25">
      <c r="A421" t="s">
        <v>8708</v>
      </c>
      <c r="B421" t="s">
        <v>8237</v>
      </c>
    </row>
    <row r="422" spans="1:2" hidden="1" x14ac:dyDescent="0.25">
      <c r="A422" t="s">
        <v>8822</v>
      </c>
      <c r="B422" t="s">
        <v>8237</v>
      </c>
    </row>
    <row r="423" spans="1:2" hidden="1" x14ac:dyDescent="0.25">
      <c r="A423" t="s">
        <v>8322</v>
      </c>
      <c r="B423" t="s">
        <v>8403</v>
      </c>
    </row>
    <row r="424" spans="1:2" hidden="1" x14ac:dyDescent="0.25">
      <c r="A424" t="s">
        <v>8969</v>
      </c>
      <c r="B424" t="s">
        <v>8359</v>
      </c>
    </row>
    <row r="425" spans="1:2" hidden="1" x14ac:dyDescent="0.25">
      <c r="A425" t="s">
        <v>8326</v>
      </c>
      <c r="B425" t="s">
        <v>8498</v>
      </c>
    </row>
    <row r="426" spans="1:2" hidden="1" x14ac:dyDescent="0.25">
      <c r="A426" t="s">
        <v>8499</v>
      </c>
      <c r="B426" t="s">
        <v>8215</v>
      </c>
    </row>
    <row r="427" spans="1:2" hidden="1" x14ac:dyDescent="0.25">
      <c r="A427" t="s">
        <v>8232</v>
      </c>
      <c r="B427" t="s">
        <v>8425</v>
      </c>
    </row>
    <row r="428" spans="1:2" hidden="1" x14ac:dyDescent="0.25">
      <c r="A428" t="s">
        <v>8489</v>
      </c>
      <c r="B428" t="s">
        <v>8670</v>
      </c>
    </row>
    <row r="429" spans="1:2" hidden="1" x14ac:dyDescent="0.25">
      <c r="A429" t="s">
        <v>8206</v>
      </c>
      <c r="B429" t="s">
        <v>8238</v>
      </c>
    </row>
    <row r="430" spans="1:2" hidden="1" x14ac:dyDescent="0.25">
      <c r="A430" t="s">
        <v>8846</v>
      </c>
      <c r="B430" t="s">
        <v>8284</v>
      </c>
    </row>
    <row r="431" spans="1:2" hidden="1" x14ac:dyDescent="0.25">
      <c r="A431" t="s">
        <v>8262</v>
      </c>
      <c r="B431" t="s">
        <v>8295</v>
      </c>
    </row>
    <row r="432" spans="1:2" hidden="1" x14ac:dyDescent="0.25">
      <c r="A432" t="s">
        <v>8608</v>
      </c>
      <c r="B432" t="s">
        <v>8717</v>
      </c>
    </row>
    <row r="433" spans="1:2" hidden="1" x14ac:dyDescent="0.25">
      <c r="A433" t="s">
        <v>8397</v>
      </c>
      <c r="B433" t="s">
        <v>8250</v>
      </c>
    </row>
    <row r="434" spans="1:2" hidden="1" x14ac:dyDescent="0.25">
      <c r="A434" t="s">
        <v>8909</v>
      </c>
      <c r="B434" t="s">
        <v>8403</v>
      </c>
    </row>
    <row r="435" spans="1:2" hidden="1" x14ac:dyDescent="0.25">
      <c r="A435" t="s">
        <v>8428</v>
      </c>
      <c r="B435" t="s">
        <v>8637</v>
      </c>
    </row>
    <row r="436" spans="1:2" hidden="1" x14ac:dyDescent="0.25">
      <c r="A436" t="s">
        <v>8615</v>
      </c>
      <c r="B436" t="s">
        <v>8250</v>
      </c>
    </row>
    <row r="437" spans="1:2" x14ac:dyDescent="0.25">
      <c r="A437" t="s">
        <v>8815</v>
      </c>
      <c r="B437" t="s">
        <v>8859</v>
      </c>
    </row>
    <row r="438" spans="1:2" x14ac:dyDescent="0.25">
      <c r="A438" t="s">
        <v>8815</v>
      </c>
      <c r="B438" t="s">
        <v>8572</v>
      </c>
    </row>
    <row r="439" spans="1:2" hidden="1" x14ac:dyDescent="0.25">
      <c r="A439" t="s">
        <v>8350</v>
      </c>
      <c r="B439" t="s">
        <v>8328</v>
      </c>
    </row>
    <row r="440" spans="1:2" hidden="1" x14ac:dyDescent="0.25">
      <c r="A440" t="s">
        <v>8928</v>
      </c>
      <c r="B440" t="s">
        <v>8613</v>
      </c>
    </row>
    <row r="441" spans="1:2" hidden="1" x14ac:dyDescent="0.25">
      <c r="A441" t="s">
        <v>8532</v>
      </c>
      <c r="B441" t="s">
        <v>8566</v>
      </c>
    </row>
    <row r="442" spans="1:2" hidden="1" x14ac:dyDescent="0.25">
      <c r="A442" t="s">
        <v>8630</v>
      </c>
      <c r="B442" t="s">
        <v>8215</v>
      </c>
    </row>
    <row r="443" spans="1:2" hidden="1" x14ac:dyDescent="0.25">
      <c r="A443" t="s">
        <v>8381</v>
      </c>
      <c r="B443" t="s">
        <v>8215</v>
      </c>
    </row>
    <row r="444" spans="1:2" hidden="1" x14ac:dyDescent="0.25">
      <c r="A444" t="s">
        <v>8396</v>
      </c>
      <c r="B444" t="s">
        <v>8403</v>
      </c>
    </row>
    <row r="445" spans="1:2" hidden="1" x14ac:dyDescent="0.25">
      <c r="A445" t="s">
        <v>8406</v>
      </c>
      <c r="B445" t="s">
        <v>8295</v>
      </c>
    </row>
    <row r="446" spans="1:2" hidden="1" x14ac:dyDescent="0.25">
      <c r="A446" t="s">
        <v>8725</v>
      </c>
      <c r="B446" t="s">
        <v>8613</v>
      </c>
    </row>
    <row r="447" spans="1:2" hidden="1" x14ac:dyDescent="0.25">
      <c r="A447" t="s">
        <v>8620</v>
      </c>
      <c r="B447" t="s">
        <v>8215</v>
      </c>
    </row>
    <row r="448" spans="1:2" hidden="1" x14ac:dyDescent="0.25">
      <c r="A448" t="s">
        <v>8553</v>
      </c>
      <c r="B448" t="s">
        <v>8700</v>
      </c>
    </row>
    <row r="449" spans="1:2" hidden="1" x14ac:dyDescent="0.25">
      <c r="A449" t="s">
        <v>8274</v>
      </c>
      <c r="B449" t="s">
        <v>8215</v>
      </c>
    </row>
    <row r="450" spans="1:2" hidden="1" x14ac:dyDescent="0.25">
      <c r="A450" t="s">
        <v>8305</v>
      </c>
      <c r="B450" t="s">
        <v>8498</v>
      </c>
    </row>
    <row r="451" spans="1:2" hidden="1" x14ac:dyDescent="0.25">
      <c r="A451" t="s">
        <v>8758</v>
      </c>
      <c r="B451" t="s">
        <v>8295</v>
      </c>
    </row>
    <row r="452" spans="1:2" hidden="1" x14ac:dyDescent="0.25">
      <c r="A452" t="s">
        <v>8421</v>
      </c>
      <c r="B452" t="s">
        <v>8392</v>
      </c>
    </row>
    <row r="453" spans="1:2" hidden="1" x14ac:dyDescent="0.25">
      <c r="A453" t="s">
        <v>8294</v>
      </c>
      <c r="B453" t="s">
        <v>8348</v>
      </c>
    </row>
    <row r="454" spans="1:2" hidden="1" x14ac:dyDescent="0.25">
      <c r="A454" t="s">
        <v>8651</v>
      </c>
      <c r="B454" t="s">
        <v>8215</v>
      </c>
    </row>
    <row r="455" spans="1:2" hidden="1" x14ac:dyDescent="0.25">
      <c r="A455" t="s">
        <v>8752</v>
      </c>
      <c r="B455" t="s">
        <v>8295</v>
      </c>
    </row>
    <row r="456" spans="1:2" hidden="1" x14ac:dyDescent="0.25">
      <c r="A456" t="s">
        <v>8419</v>
      </c>
      <c r="B456" t="s">
        <v>8404</v>
      </c>
    </row>
    <row r="457" spans="1:2" hidden="1" x14ac:dyDescent="0.25">
      <c r="A457" t="s">
        <v>8937</v>
      </c>
      <c r="B457" t="s">
        <v>8215</v>
      </c>
    </row>
    <row r="458" spans="1:2" hidden="1" x14ac:dyDescent="0.25">
      <c r="A458" t="s">
        <v>8490</v>
      </c>
      <c r="B458" t="s">
        <v>8295</v>
      </c>
    </row>
    <row r="459" spans="1:2" x14ac:dyDescent="0.25">
      <c r="A459" t="s">
        <v>8787</v>
      </c>
      <c r="B459" t="s">
        <v>8348</v>
      </c>
    </row>
    <row r="460" spans="1:2" x14ac:dyDescent="0.25">
      <c r="A460" t="s">
        <v>8787</v>
      </c>
      <c r="B460" t="s">
        <v>8637</v>
      </c>
    </row>
    <row r="461" spans="1:2" hidden="1" x14ac:dyDescent="0.25">
      <c r="A461" t="s">
        <v>8709</v>
      </c>
      <c r="B461" t="s">
        <v>8462</v>
      </c>
    </row>
    <row r="462" spans="1:2" x14ac:dyDescent="0.25">
      <c r="A462" t="s">
        <v>8476</v>
      </c>
      <c r="B462" t="s">
        <v>8475</v>
      </c>
    </row>
    <row r="463" spans="1:2" x14ac:dyDescent="0.25">
      <c r="A463" t="s">
        <v>8476</v>
      </c>
      <c r="B463" t="s">
        <v>8237</v>
      </c>
    </row>
    <row r="464" spans="1:2" hidden="1" x14ac:dyDescent="0.25">
      <c r="A464" t="s">
        <v>8842</v>
      </c>
      <c r="B464" t="s">
        <v>8689</v>
      </c>
    </row>
    <row r="465" spans="1:2" x14ac:dyDescent="0.25">
      <c r="A465" t="s">
        <v>8517</v>
      </c>
      <c r="B465" t="s">
        <v>8411</v>
      </c>
    </row>
    <row r="466" spans="1:2" x14ac:dyDescent="0.25">
      <c r="A466" t="s">
        <v>8517</v>
      </c>
      <c r="B466" t="s">
        <v>8297</v>
      </c>
    </row>
    <row r="467" spans="1:2" hidden="1" x14ac:dyDescent="0.25">
      <c r="A467" t="s">
        <v>8436</v>
      </c>
      <c r="B467" t="s">
        <v>8403</v>
      </c>
    </row>
    <row r="468" spans="1:2" x14ac:dyDescent="0.25">
      <c r="A468" t="s">
        <v>8869</v>
      </c>
      <c r="B468" t="s">
        <v>8328</v>
      </c>
    </row>
    <row r="469" spans="1:2" x14ac:dyDescent="0.25">
      <c r="A469" t="s">
        <v>8869</v>
      </c>
      <c r="B469" t="s">
        <v>8245</v>
      </c>
    </row>
    <row r="470" spans="1:2" x14ac:dyDescent="0.25">
      <c r="A470" t="s">
        <v>8597</v>
      </c>
      <c r="B470" t="s">
        <v>8411</v>
      </c>
    </row>
    <row r="471" spans="1:2" x14ac:dyDescent="0.25">
      <c r="A471" t="s">
        <v>8597</v>
      </c>
      <c r="B471" t="s">
        <v>8304</v>
      </c>
    </row>
    <row r="472" spans="1:2" hidden="1" x14ac:dyDescent="0.25">
      <c r="A472" t="s">
        <v>8792</v>
      </c>
      <c r="B472" t="s">
        <v>8237</v>
      </c>
    </row>
    <row r="473" spans="1:2" hidden="1" x14ac:dyDescent="0.25">
      <c r="A473" t="s">
        <v>8586</v>
      </c>
      <c r="B473" t="s">
        <v>8250</v>
      </c>
    </row>
    <row r="474" spans="1:2" hidden="1" x14ac:dyDescent="0.25">
      <c r="A474" t="s">
        <v>8513</v>
      </c>
      <c r="B474" t="s">
        <v>8215</v>
      </c>
    </row>
    <row r="475" spans="1:2" hidden="1" x14ac:dyDescent="0.25">
      <c r="A475" t="s">
        <v>8486</v>
      </c>
      <c r="B475" t="s">
        <v>8237</v>
      </c>
    </row>
    <row r="476" spans="1:2" x14ac:dyDescent="0.25">
      <c r="A476" t="s">
        <v>8652</v>
      </c>
      <c r="B476" t="s">
        <v>8403</v>
      </c>
    </row>
    <row r="477" spans="1:2" x14ac:dyDescent="0.25">
      <c r="A477" t="s">
        <v>8652</v>
      </c>
      <c r="B477" t="s">
        <v>8295</v>
      </c>
    </row>
    <row r="478" spans="1:2" hidden="1" x14ac:dyDescent="0.25">
      <c r="A478" t="s">
        <v>8398</v>
      </c>
      <c r="B478" t="s">
        <v>8417</v>
      </c>
    </row>
    <row r="479" spans="1:2" hidden="1" x14ac:dyDescent="0.25">
      <c r="A479" t="s">
        <v>8233</v>
      </c>
      <c r="B479" t="s">
        <v>8404</v>
      </c>
    </row>
    <row r="480" spans="1:2" hidden="1" x14ac:dyDescent="0.25">
      <c r="A480" t="s">
        <v>8431</v>
      </c>
      <c r="B480" t="s">
        <v>8566</v>
      </c>
    </row>
    <row r="481" spans="1:2" hidden="1" x14ac:dyDescent="0.25">
      <c r="A481" t="s">
        <v>8914</v>
      </c>
      <c r="B481" t="s">
        <v>8359</v>
      </c>
    </row>
    <row r="482" spans="1:2" hidden="1" x14ac:dyDescent="0.25">
      <c r="A482" t="s">
        <v>8940</v>
      </c>
      <c r="B482" t="s">
        <v>8284</v>
      </c>
    </row>
    <row r="483" spans="1:2" hidden="1" x14ac:dyDescent="0.25">
      <c r="A483" t="s">
        <v>8413</v>
      </c>
      <c r="B483" t="s">
        <v>8284</v>
      </c>
    </row>
    <row r="484" spans="1:2" hidden="1" x14ac:dyDescent="0.25">
      <c r="A484" t="s">
        <v>8638</v>
      </c>
      <c r="B484" t="s">
        <v>8359</v>
      </c>
    </row>
    <row r="485" spans="1:2" hidden="1" x14ac:dyDescent="0.25">
      <c r="A485" t="s">
        <v>8942</v>
      </c>
      <c r="B485" t="s">
        <v>8237</v>
      </c>
    </row>
    <row r="486" spans="1:2" hidden="1" x14ac:dyDescent="0.25">
      <c r="A486" t="s">
        <v>8530</v>
      </c>
      <c r="B486" t="s">
        <v>8237</v>
      </c>
    </row>
    <row r="487" spans="1:2" x14ac:dyDescent="0.25">
      <c r="A487" t="s">
        <v>8788</v>
      </c>
      <c r="B487" t="s">
        <v>8335</v>
      </c>
    </row>
    <row r="488" spans="1:2" x14ac:dyDescent="0.25">
      <c r="A488" t="s">
        <v>8788</v>
      </c>
      <c r="B488" t="s">
        <v>8489</v>
      </c>
    </row>
    <row r="489" spans="1:2" hidden="1" x14ac:dyDescent="0.25">
      <c r="A489" t="s">
        <v>8272</v>
      </c>
      <c r="B489" t="s">
        <v>8417</v>
      </c>
    </row>
    <row r="490" spans="1:2" x14ac:dyDescent="0.25">
      <c r="A490" t="s">
        <v>8527</v>
      </c>
      <c r="B490" t="s">
        <v>8250</v>
      </c>
    </row>
    <row r="491" spans="1:2" x14ac:dyDescent="0.25">
      <c r="A491" t="s">
        <v>8527</v>
      </c>
      <c r="B491" t="s">
        <v>8425</v>
      </c>
    </row>
    <row r="492" spans="1:2" hidden="1" x14ac:dyDescent="0.25">
      <c r="A492" t="s">
        <v>8337</v>
      </c>
      <c r="B492" t="s">
        <v>8717</v>
      </c>
    </row>
    <row r="493" spans="1:2" hidden="1" x14ac:dyDescent="0.25">
      <c r="A493" t="s">
        <v>8812</v>
      </c>
      <c r="B493" t="s">
        <v>8964</v>
      </c>
    </row>
    <row r="494" spans="1:2" hidden="1" x14ac:dyDescent="0.25">
      <c r="A494" t="s">
        <v>8573</v>
      </c>
      <c r="B494" t="s">
        <v>8404</v>
      </c>
    </row>
    <row r="495" spans="1:2" hidden="1" x14ac:dyDescent="0.25">
      <c r="A495" t="s">
        <v>8870</v>
      </c>
      <c r="B495" t="s">
        <v>8295</v>
      </c>
    </row>
    <row r="496" spans="1:2" hidden="1" x14ac:dyDescent="0.25">
      <c r="A496" t="s">
        <v>8771</v>
      </c>
      <c r="B496" t="s">
        <v>8237</v>
      </c>
    </row>
    <row r="497" spans="1:2" hidden="1" x14ac:dyDescent="0.25">
      <c r="A497" t="s">
        <v>8722</v>
      </c>
      <c r="B497" t="s">
        <v>8237</v>
      </c>
    </row>
    <row r="498" spans="1:2" hidden="1" x14ac:dyDescent="0.25">
      <c r="A498" t="s">
        <v>8865</v>
      </c>
      <c r="B498" t="s">
        <v>8411</v>
      </c>
    </row>
    <row r="499" spans="1:2" hidden="1" x14ac:dyDescent="0.25">
      <c r="A499" t="s">
        <v>8515</v>
      </c>
      <c r="B499" t="s">
        <v>8304</v>
      </c>
    </row>
    <row r="500" spans="1:2" hidden="1" x14ac:dyDescent="0.25">
      <c r="A500" t="s">
        <v>8314</v>
      </c>
      <c r="B500" t="s">
        <v>8215</v>
      </c>
    </row>
    <row r="501" spans="1:2" hidden="1" x14ac:dyDescent="0.25">
      <c r="A501" t="s">
        <v>8779</v>
      </c>
      <c r="B501" t="s">
        <v>8237</v>
      </c>
    </row>
    <row r="502" spans="1:2" hidden="1" x14ac:dyDescent="0.25">
      <c r="A502" t="s">
        <v>8903</v>
      </c>
      <c r="B502" t="s">
        <v>8403</v>
      </c>
    </row>
    <row r="503" spans="1:2" hidden="1" x14ac:dyDescent="0.25">
      <c r="A503" t="s">
        <v>8425</v>
      </c>
      <c r="B503" t="s">
        <v>8250</v>
      </c>
    </row>
    <row r="504" spans="1:2" hidden="1" x14ac:dyDescent="0.25">
      <c r="A504" t="s">
        <v>8696</v>
      </c>
      <c r="B504" t="s">
        <v>8433</v>
      </c>
    </row>
    <row r="505" spans="1:2" hidden="1" x14ac:dyDescent="0.25">
      <c r="A505" t="s">
        <v>8731</v>
      </c>
      <c r="B505" t="s">
        <v>8417</v>
      </c>
    </row>
    <row r="506" spans="1:2" hidden="1" x14ac:dyDescent="0.25">
      <c r="A506" t="s">
        <v>8917</v>
      </c>
      <c r="B506" t="s">
        <v>8237</v>
      </c>
    </row>
    <row r="507" spans="1:2" hidden="1" x14ac:dyDescent="0.25">
      <c r="A507" t="s">
        <v>8617</v>
      </c>
      <c r="B507" t="s">
        <v>8297</v>
      </c>
    </row>
    <row r="508" spans="1:2" hidden="1" x14ac:dyDescent="0.25">
      <c r="A508" t="s">
        <v>8863</v>
      </c>
      <c r="B508" t="s">
        <v>8238</v>
      </c>
    </row>
    <row r="509" spans="1:2" hidden="1" x14ac:dyDescent="0.25">
      <c r="A509" t="s">
        <v>8888</v>
      </c>
      <c r="B509" t="s">
        <v>8297</v>
      </c>
    </row>
    <row r="510" spans="1:2" hidden="1" x14ac:dyDescent="0.25">
      <c r="A510" t="s">
        <v>8219</v>
      </c>
      <c r="B510" t="s">
        <v>8387</v>
      </c>
    </row>
    <row r="511" spans="1:2" hidden="1" x14ac:dyDescent="0.25">
      <c r="A511" t="s">
        <v>8629</v>
      </c>
      <c r="B511" t="s">
        <v>8392</v>
      </c>
    </row>
    <row r="512" spans="1:2" hidden="1" x14ac:dyDescent="0.25">
      <c r="A512" t="s">
        <v>8860</v>
      </c>
      <c r="B512" t="s">
        <v>8828</v>
      </c>
    </row>
    <row r="513" spans="1:2" hidden="1" x14ac:dyDescent="0.25">
      <c r="A513" t="s">
        <v>8897</v>
      </c>
      <c r="B513" t="s">
        <v>8215</v>
      </c>
    </row>
    <row r="514" spans="1:2" hidden="1" x14ac:dyDescent="0.25">
      <c r="A514" t="s">
        <v>8247</v>
      </c>
      <c r="B514" t="s">
        <v>8237</v>
      </c>
    </row>
    <row r="515" spans="1:2" hidden="1" x14ac:dyDescent="0.25">
      <c r="A515" t="s">
        <v>8712</v>
      </c>
      <c r="B515" t="s">
        <v>8352</v>
      </c>
    </row>
    <row r="516" spans="1:2" hidden="1" x14ac:dyDescent="0.25">
      <c r="A516" t="s">
        <v>8878</v>
      </c>
      <c r="B516" t="s">
        <v>8433</v>
      </c>
    </row>
    <row r="517" spans="1:2" hidden="1" x14ac:dyDescent="0.25">
      <c r="A517" t="s">
        <v>8814</v>
      </c>
      <c r="B517" t="s">
        <v>8299</v>
      </c>
    </row>
    <row r="518" spans="1:2" hidden="1" x14ac:dyDescent="0.25">
      <c r="A518" t="s">
        <v>8845</v>
      </c>
      <c r="B518" t="s">
        <v>8498</v>
      </c>
    </row>
    <row r="519" spans="1:2" hidden="1" x14ac:dyDescent="0.25">
      <c r="A519" t="s">
        <v>8558</v>
      </c>
      <c r="B519" t="s">
        <v>8403</v>
      </c>
    </row>
    <row r="520" spans="1:2" hidden="1" x14ac:dyDescent="0.25">
      <c r="A520" t="s">
        <v>8716</v>
      </c>
      <c r="B520" t="s">
        <v>8245</v>
      </c>
    </row>
    <row r="521" spans="1:2" hidden="1" x14ac:dyDescent="0.25">
      <c r="A521" t="s">
        <v>8975</v>
      </c>
      <c r="B521" t="s">
        <v>8670</v>
      </c>
    </row>
    <row r="522" spans="1:2" hidden="1" x14ac:dyDescent="0.25">
      <c r="A522" t="s">
        <v>8414</v>
      </c>
      <c r="B522" t="s">
        <v>8250</v>
      </c>
    </row>
    <row r="523" spans="1:2" hidden="1" x14ac:dyDescent="0.25">
      <c r="A523" t="s">
        <v>8254</v>
      </c>
      <c r="B523" t="s">
        <v>8859</v>
      </c>
    </row>
    <row r="524" spans="1:2" hidden="1" x14ac:dyDescent="0.25">
      <c r="A524" t="s">
        <v>8750</v>
      </c>
      <c r="B524" t="s">
        <v>8462</v>
      </c>
    </row>
    <row r="525" spans="1:2" hidden="1" x14ac:dyDescent="0.25">
      <c r="A525" t="s">
        <v>8251</v>
      </c>
      <c r="B525" t="s">
        <v>8245</v>
      </c>
    </row>
    <row r="526" spans="1:2" hidden="1" x14ac:dyDescent="0.25">
      <c r="A526" t="s">
        <v>8944</v>
      </c>
      <c r="B526" t="s">
        <v>8215</v>
      </c>
    </row>
    <row r="527" spans="1:2" hidden="1" x14ac:dyDescent="0.25">
      <c r="A527" t="s">
        <v>8461</v>
      </c>
      <c r="B527" t="s">
        <v>8340</v>
      </c>
    </row>
    <row r="528" spans="1:2" hidden="1" x14ac:dyDescent="0.25">
      <c r="A528" t="s">
        <v>8639</v>
      </c>
      <c r="B528" t="s">
        <v>8717</v>
      </c>
    </row>
    <row r="529" spans="1:2" hidden="1" x14ac:dyDescent="0.25">
      <c r="A529" t="s">
        <v>8360</v>
      </c>
      <c r="B529" t="s">
        <v>8348</v>
      </c>
    </row>
    <row r="530" spans="1:2" x14ac:dyDescent="0.25">
      <c r="A530" t="s">
        <v>8667</v>
      </c>
      <c r="B530" t="s">
        <v>8348</v>
      </c>
    </row>
    <row r="531" spans="1:2" x14ac:dyDescent="0.25">
      <c r="A531" t="s">
        <v>8667</v>
      </c>
      <c r="B531" t="s">
        <v>8212</v>
      </c>
    </row>
    <row r="532" spans="1:2" hidden="1" x14ac:dyDescent="0.25">
      <c r="A532" t="s">
        <v>8509</v>
      </c>
      <c r="B532" t="s">
        <v>8859</v>
      </c>
    </row>
    <row r="533" spans="1:2" hidden="1" x14ac:dyDescent="0.25">
      <c r="A533" t="s">
        <v>8358</v>
      </c>
      <c r="B533" t="s">
        <v>8295</v>
      </c>
    </row>
    <row r="534" spans="1:2" hidden="1" x14ac:dyDescent="0.25">
      <c r="A534" t="s">
        <v>8210</v>
      </c>
      <c r="B534" t="s">
        <v>8215</v>
      </c>
    </row>
    <row r="535" spans="1:2" x14ac:dyDescent="0.25">
      <c r="A535" t="s">
        <v>8874</v>
      </c>
      <c r="B535" t="s">
        <v>8489</v>
      </c>
    </row>
    <row r="536" spans="1:2" x14ac:dyDescent="0.25">
      <c r="A536" t="s">
        <v>8874</v>
      </c>
      <c r="B536" t="s">
        <v>8670</v>
      </c>
    </row>
    <row r="537" spans="1:2" hidden="1" x14ac:dyDescent="0.25">
      <c r="A537" t="s">
        <v>8408</v>
      </c>
      <c r="B537" t="s">
        <v>8237</v>
      </c>
    </row>
    <row r="538" spans="1:2" hidden="1" x14ac:dyDescent="0.25">
      <c r="A538" t="s">
        <v>8918</v>
      </c>
      <c r="B538" t="s">
        <v>8613</v>
      </c>
    </row>
    <row r="539" spans="1:2" hidden="1" x14ac:dyDescent="0.25">
      <c r="A539" t="s">
        <v>8853</v>
      </c>
      <c r="B539" t="s">
        <v>8828</v>
      </c>
    </row>
    <row r="540" spans="1:2" hidden="1" x14ac:dyDescent="0.25">
      <c r="A540" t="s">
        <v>8939</v>
      </c>
      <c r="B540" t="s">
        <v>8392</v>
      </c>
    </row>
    <row r="541" spans="1:2" hidden="1" x14ac:dyDescent="0.25">
      <c r="A541" t="s">
        <v>8891</v>
      </c>
      <c r="B541" t="s">
        <v>8237</v>
      </c>
    </row>
    <row r="542" spans="1:2" hidden="1" x14ac:dyDescent="0.25">
      <c r="A542" t="s">
        <v>8895</v>
      </c>
      <c r="B542" t="s">
        <v>8237</v>
      </c>
    </row>
    <row r="543" spans="1:2" hidden="1" x14ac:dyDescent="0.25">
      <c r="A543" t="s">
        <v>8936</v>
      </c>
      <c r="B543" t="s">
        <v>8462</v>
      </c>
    </row>
    <row r="544" spans="1:2" hidden="1" x14ac:dyDescent="0.25">
      <c r="A544" t="s">
        <v>8374</v>
      </c>
      <c r="B544" t="s">
        <v>8237</v>
      </c>
    </row>
    <row r="545" spans="1:2" hidden="1" x14ac:dyDescent="0.25">
      <c r="A545" t="s">
        <v>8768</v>
      </c>
      <c r="B545" t="s">
        <v>8403</v>
      </c>
    </row>
    <row r="546" spans="1:2" hidden="1" x14ac:dyDescent="0.25">
      <c r="A546" t="s">
        <v>8848</v>
      </c>
      <c r="B546" t="s">
        <v>8352</v>
      </c>
    </row>
    <row r="547" spans="1:2" hidden="1" x14ac:dyDescent="0.25">
      <c r="A547" t="s">
        <v>8470</v>
      </c>
      <c r="B547" t="s">
        <v>8284</v>
      </c>
    </row>
    <row r="548" spans="1:2" hidden="1" x14ac:dyDescent="0.25">
      <c r="A548" t="s">
        <v>8438</v>
      </c>
      <c r="B548" t="s">
        <v>8637</v>
      </c>
    </row>
    <row r="549" spans="1:2" hidden="1" x14ac:dyDescent="0.25">
      <c r="A549" t="s">
        <v>8291</v>
      </c>
      <c r="B549" t="s">
        <v>8717</v>
      </c>
    </row>
    <row r="550" spans="1:2" hidden="1" x14ac:dyDescent="0.25">
      <c r="A550" t="s">
        <v>8948</v>
      </c>
      <c r="B550" t="s">
        <v>8404</v>
      </c>
    </row>
    <row r="551" spans="1:2" hidden="1" x14ac:dyDescent="0.25">
      <c r="A551" t="s">
        <v>8688</v>
      </c>
      <c r="B551" t="s">
        <v>8237</v>
      </c>
    </row>
    <row r="552" spans="1:2" hidden="1" x14ac:dyDescent="0.25">
      <c r="A552" t="s">
        <v>8868</v>
      </c>
      <c r="B552" t="s">
        <v>8299</v>
      </c>
    </row>
    <row r="553" spans="1:2" hidden="1" x14ac:dyDescent="0.25">
      <c r="A553" t="s">
        <v>8649</v>
      </c>
      <c r="B553" t="s">
        <v>8237</v>
      </c>
    </row>
    <row r="554" spans="1:2" hidden="1" x14ac:dyDescent="0.25">
      <c r="A554" t="s">
        <v>8252</v>
      </c>
      <c r="B554" t="s">
        <v>8215</v>
      </c>
    </row>
    <row r="555" spans="1:2" x14ac:dyDescent="0.25">
      <c r="A555" t="s">
        <v>8700</v>
      </c>
      <c r="B555" t="s">
        <v>8433</v>
      </c>
    </row>
    <row r="556" spans="1:2" x14ac:dyDescent="0.25">
      <c r="A556" t="s">
        <v>8700</v>
      </c>
      <c r="B556" t="s">
        <v>8245</v>
      </c>
    </row>
    <row r="557" spans="1:2" hidden="1" x14ac:dyDescent="0.25">
      <c r="A557" t="s">
        <v>8938</v>
      </c>
      <c r="B557" t="s">
        <v>8392</v>
      </c>
    </row>
    <row r="558" spans="1:2" hidden="1" x14ac:dyDescent="0.25">
      <c r="A558" t="s">
        <v>8448</v>
      </c>
      <c r="B558" t="s">
        <v>8238</v>
      </c>
    </row>
    <row r="559" spans="1:2" hidden="1" x14ac:dyDescent="0.25">
      <c r="A559" t="s">
        <v>8687</v>
      </c>
      <c r="B559" t="s">
        <v>8498</v>
      </c>
    </row>
    <row r="560" spans="1:2" hidden="1" x14ac:dyDescent="0.25">
      <c r="A560" t="s">
        <v>8212</v>
      </c>
      <c r="B560" t="s">
        <v>8670</v>
      </c>
    </row>
    <row r="561" spans="1:2" hidden="1" x14ac:dyDescent="0.25">
      <c r="A561" t="s">
        <v>8335</v>
      </c>
      <c r="B561" t="s">
        <v>8670</v>
      </c>
    </row>
    <row r="562" spans="1:2" hidden="1" x14ac:dyDescent="0.25">
      <c r="A562" t="s">
        <v>8902</v>
      </c>
      <c r="B562" t="s">
        <v>8304</v>
      </c>
    </row>
    <row r="563" spans="1:2" hidden="1" x14ac:dyDescent="0.25">
      <c r="A563" t="s">
        <v>8702</v>
      </c>
      <c r="B563" t="s">
        <v>8215</v>
      </c>
    </row>
    <row r="564" spans="1:2" hidden="1" x14ac:dyDescent="0.25">
      <c r="A564" t="s">
        <v>8213</v>
      </c>
      <c r="B564" t="s">
        <v>8215</v>
      </c>
    </row>
    <row r="565" spans="1:2" hidden="1" x14ac:dyDescent="0.25">
      <c r="A565" t="s">
        <v>8542</v>
      </c>
      <c r="B565" t="s">
        <v>8284</v>
      </c>
    </row>
    <row r="566" spans="1:2" hidden="1" x14ac:dyDescent="0.25">
      <c r="A566" t="s">
        <v>8613</v>
      </c>
      <c r="B566" t="s">
        <v>8221</v>
      </c>
    </row>
    <row r="567" spans="1:2" hidden="1" x14ac:dyDescent="0.25">
      <c r="A567" t="s">
        <v>8910</v>
      </c>
      <c r="B567" t="s">
        <v>8250</v>
      </c>
    </row>
    <row r="568" spans="1:2" hidden="1" x14ac:dyDescent="0.25">
      <c r="A568" t="s">
        <v>8660</v>
      </c>
      <c r="B568" t="s">
        <v>8295</v>
      </c>
    </row>
    <row r="569" spans="1:2" hidden="1" x14ac:dyDescent="0.25">
      <c r="A569" t="s">
        <v>8913</v>
      </c>
      <c r="B569" t="s">
        <v>8411</v>
      </c>
    </row>
    <row r="570" spans="1:2" hidden="1" x14ac:dyDescent="0.25">
      <c r="A570" t="s">
        <v>8992</v>
      </c>
      <c r="B570" t="s">
        <v>8250</v>
      </c>
    </row>
    <row r="571" spans="1:2" hidden="1" x14ac:dyDescent="0.25">
      <c r="A571" t="s">
        <v>8427</v>
      </c>
      <c r="B571" t="s">
        <v>8404</v>
      </c>
    </row>
    <row r="572" spans="1:2" hidden="1" x14ac:dyDescent="0.25">
      <c r="A572" t="s">
        <v>8241</v>
      </c>
      <c r="B572" t="s">
        <v>8859</v>
      </c>
    </row>
    <row r="573" spans="1:2" hidden="1" x14ac:dyDescent="0.25">
      <c r="A573" t="s">
        <v>8672</v>
      </c>
      <c r="B573" t="s">
        <v>8295</v>
      </c>
    </row>
    <row r="574" spans="1:2" hidden="1" x14ac:dyDescent="0.25">
      <c r="A574" t="s">
        <v>8228</v>
      </c>
      <c r="B574" t="s">
        <v>8237</v>
      </c>
    </row>
    <row r="575" spans="1:2" hidden="1" x14ac:dyDescent="0.25">
      <c r="A575" t="s">
        <v>8447</v>
      </c>
      <c r="B575" t="s">
        <v>8816</v>
      </c>
    </row>
    <row r="576" spans="1:2" hidden="1" x14ac:dyDescent="0.25">
      <c r="A576" t="s">
        <v>8531</v>
      </c>
      <c r="B576" t="s">
        <v>8364</v>
      </c>
    </row>
    <row r="577" spans="1:2" hidden="1" x14ac:dyDescent="0.25">
      <c r="A577" t="s">
        <v>8951</v>
      </c>
      <c r="B577" t="s">
        <v>8297</v>
      </c>
    </row>
    <row r="578" spans="1:2" hidden="1" x14ac:dyDescent="0.25">
      <c r="A578" t="s">
        <v>8528</v>
      </c>
      <c r="B578" t="s">
        <v>8295</v>
      </c>
    </row>
    <row r="579" spans="1:2" hidden="1" x14ac:dyDescent="0.25">
      <c r="A579" t="s">
        <v>8879</v>
      </c>
      <c r="B579" t="s">
        <v>8403</v>
      </c>
    </row>
    <row r="580" spans="1:2" hidden="1" x14ac:dyDescent="0.25">
      <c r="A580" t="s">
        <v>8658</v>
      </c>
      <c r="B580" t="s">
        <v>8237</v>
      </c>
    </row>
    <row r="581" spans="1:2" hidden="1" x14ac:dyDescent="0.25">
      <c r="A581" t="s">
        <v>8844</v>
      </c>
      <c r="B581" t="s">
        <v>8237</v>
      </c>
    </row>
    <row r="582" spans="1:2" hidden="1" x14ac:dyDescent="0.25">
      <c r="A582" t="s">
        <v>8510</v>
      </c>
      <c r="B582" t="s">
        <v>8304</v>
      </c>
    </row>
    <row r="583" spans="1:2" hidden="1" x14ac:dyDescent="0.25">
      <c r="A583" t="s">
        <v>8379</v>
      </c>
      <c r="B583" t="s">
        <v>8717</v>
      </c>
    </row>
    <row r="584" spans="1:2" hidden="1" x14ac:dyDescent="0.25">
      <c r="A584" t="s">
        <v>8554</v>
      </c>
      <c r="B584" t="s">
        <v>8295</v>
      </c>
    </row>
    <row r="585" spans="1:2" hidden="1" x14ac:dyDescent="0.25">
      <c r="A585" t="s">
        <v>8282</v>
      </c>
      <c r="B585" t="s">
        <v>8348</v>
      </c>
    </row>
    <row r="586" spans="1:2" hidden="1" x14ac:dyDescent="0.25">
      <c r="A586" t="s">
        <v>8548</v>
      </c>
      <c r="B586" t="s">
        <v>8237</v>
      </c>
    </row>
    <row r="587" spans="1:2" hidden="1" x14ac:dyDescent="0.25">
      <c r="A587" t="s">
        <v>8478</v>
      </c>
      <c r="B587" t="s">
        <v>8859</v>
      </c>
    </row>
    <row r="588" spans="1:2" hidden="1" x14ac:dyDescent="0.25">
      <c r="A588" t="s">
        <v>8357</v>
      </c>
      <c r="B588" t="s">
        <v>8250</v>
      </c>
    </row>
    <row r="589" spans="1:2" hidden="1" x14ac:dyDescent="0.25">
      <c r="A589" t="s">
        <v>8318</v>
      </c>
      <c r="B589" t="s">
        <v>8295</v>
      </c>
    </row>
    <row r="590" spans="1:2" hidden="1" x14ac:dyDescent="0.25">
      <c r="A590" t="s">
        <v>8611</v>
      </c>
      <c r="B590" t="s">
        <v>8237</v>
      </c>
    </row>
    <row r="591" spans="1:2" hidden="1" x14ac:dyDescent="0.25">
      <c r="A591" t="s">
        <v>8618</v>
      </c>
      <c r="B591" t="s">
        <v>8451</v>
      </c>
    </row>
    <row r="592" spans="1:2" hidden="1" x14ac:dyDescent="0.25">
      <c r="A592" t="s">
        <v>8631</v>
      </c>
      <c r="B592" t="s">
        <v>8828</v>
      </c>
    </row>
    <row r="593" spans="1:2" hidden="1" x14ac:dyDescent="0.25">
      <c r="A593" t="s">
        <v>8260</v>
      </c>
      <c r="B593" t="s">
        <v>8237</v>
      </c>
    </row>
    <row r="594" spans="1:2" hidden="1" x14ac:dyDescent="0.25">
      <c r="A594" t="s">
        <v>8214</v>
      </c>
      <c r="B594" t="s">
        <v>8297</v>
      </c>
    </row>
    <row r="595" spans="1:2" hidden="1" x14ac:dyDescent="0.25">
      <c r="A595" t="s">
        <v>8912</v>
      </c>
      <c r="B595" t="s">
        <v>8433</v>
      </c>
    </row>
    <row r="596" spans="1:2" hidden="1" x14ac:dyDescent="0.25">
      <c r="A596" t="s">
        <v>8970</v>
      </c>
      <c r="B596" t="s">
        <v>8559</v>
      </c>
    </row>
    <row r="597" spans="1:2" hidden="1" x14ac:dyDescent="0.25">
      <c r="A597" t="s">
        <v>8549</v>
      </c>
      <c r="B597" t="s">
        <v>8237</v>
      </c>
    </row>
    <row r="598" spans="1:2" hidden="1" x14ac:dyDescent="0.25">
      <c r="A598" t="s">
        <v>8737</v>
      </c>
      <c r="B598" t="s">
        <v>8859</v>
      </c>
    </row>
    <row r="599" spans="1:2" hidden="1" x14ac:dyDescent="0.25">
      <c r="A599" t="s">
        <v>8571</v>
      </c>
      <c r="B599" t="s">
        <v>8245</v>
      </c>
    </row>
    <row r="600" spans="1:2" hidden="1" x14ac:dyDescent="0.25">
      <c r="A600" t="s">
        <v>8943</v>
      </c>
      <c r="B600" t="s">
        <v>8492</v>
      </c>
    </row>
    <row r="601" spans="1:2" hidden="1" x14ac:dyDescent="0.25">
      <c r="A601" t="s">
        <v>8650</v>
      </c>
      <c r="B601" t="s">
        <v>8295</v>
      </c>
    </row>
    <row r="602" spans="1:2" hidden="1" x14ac:dyDescent="0.25">
      <c r="A602" t="s">
        <v>8303</v>
      </c>
      <c r="B602" t="s">
        <v>8237</v>
      </c>
    </row>
    <row r="603" spans="1:2" hidden="1" x14ac:dyDescent="0.25">
      <c r="A603" t="s">
        <v>8353</v>
      </c>
      <c r="B603" t="s">
        <v>8284</v>
      </c>
    </row>
    <row r="604" spans="1:2" hidden="1" x14ac:dyDescent="0.25">
      <c r="A604" t="s">
        <v>8560</v>
      </c>
      <c r="B604" t="s">
        <v>8284</v>
      </c>
    </row>
    <row r="605" spans="1:2" hidden="1" x14ac:dyDescent="0.25">
      <c r="A605" t="s">
        <v>8454</v>
      </c>
      <c r="B605" t="s">
        <v>8250</v>
      </c>
    </row>
    <row r="606" spans="1:2" hidden="1" x14ac:dyDescent="0.25">
      <c r="A606" t="s">
        <v>8412</v>
      </c>
      <c r="B606" t="s">
        <v>8297</v>
      </c>
    </row>
    <row r="607" spans="1:2" hidden="1" x14ac:dyDescent="0.25">
      <c r="A607" t="s">
        <v>8803</v>
      </c>
      <c r="B607" t="s">
        <v>8566</v>
      </c>
    </row>
    <row r="608" spans="1:2" hidden="1" x14ac:dyDescent="0.25">
      <c r="A608" t="s">
        <v>8796</v>
      </c>
      <c r="B608" t="s">
        <v>8237</v>
      </c>
    </row>
    <row r="609" spans="1:2" hidden="1" x14ac:dyDescent="0.25">
      <c r="A609" t="s">
        <v>8217</v>
      </c>
      <c r="B609" t="s">
        <v>8216</v>
      </c>
    </row>
    <row r="610" spans="1:2" hidden="1" x14ac:dyDescent="0.25">
      <c r="A610" t="s">
        <v>8292</v>
      </c>
      <c r="B610" t="s">
        <v>8250</v>
      </c>
    </row>
    <row r="611" spans="1:2" hidden="1" x14ac:dyDescent="0.25">
      <c r="A611" t="s">
        <v>8858</v>
      </c>
      <c r="B611" t="s">
        <v>8364</v>
      </c>
    </row>
    <row r="612" spans="1:2" hidden="1" x14ac:dyDescent="0.25">
      <c r="A612" t="s">
        <v>8473</v>
      </c>
      <c r="B612" t="s">
        <v>8237</v>
      </c>
    </row>
    <row r="613" spans="1:2" hidden="1" x14ac:dyDescent="0.25">
      <c r="A613" t="s">
        <v>8223</v>
      </c>
      <c r="B613" t="s">
        <v>8250</v>
      </c>
    </row>
    <row r="614" spans="1:2" hidden="1" x14ac:dyDescent="0.25">
      <c r="A614" t="s">
        <v>8325</v>
      </c>
      <c r="B614" t="s">
        <v>8295</v>
      </c>
    </row>
    <row r="615" spans="1:2" hidden="1" x14ac:dyDescent="0.25">
      <c r="A615" t="s">
        <v>8827</v>
      </c>
      <c r="B615" t="s">
        <v>8237</v>
      </c>
    </row>
    <row r="616" spans="1:2" hidden="1" x14ac:dyDescent="0.25">
      <c r="A616" t="s">
        <v>8240</v>
      </c>
      <c r="B616" t="s">
        <v>8304</v>
      </c>
    </row>
    <row r="617" spans="1:2" hidden="1" x14ac:dyDescent="0.25">
      <c r="A617" t="s">
        <v>8364</v>
      </c>
      <c r="B617" t="s">
        <v>8670</v>
      </c>
    </row>
    <row r="618" spans="1:2" hidden="1" x14ac:dyDescent="0.25">
      <c r="A618" t="s">
        <v>8308</v>
      </c>
      <c r="B618" t="s">
        <v>8404</v>
      </c>
    </row>
    <row r="619" spans="1:2" hidden="1" x14ac:dyDescent="0.25">
      <c r="A619" t="s">
        <v>8640</v>
      </c>
      <c r="B619" t="s">
        <v>8215</v>
      </c>
    </row>
    <row r="620" spans="1:2" hidden="1" x14ac:dyDescent="0.25">
      <c r="A620" t="s">
        <v>8720</v>
      </c>
      <c r="B620" t="s">
        <v>8237</v>
      </c>
    </row>
    <row r="621" spans="1:2" hidden="1" x14ac:dyDescent="0.25">
      <c r="A621" t="s">
        <v>8759</v>
      </c>
      <c r="B621" t="s">
        <v>8284</v>
      </c>
    </row>
    <row r="622" spans="1:2" hidden="1" x14ac:dyDescent="0.25">
      <c r="A622" t="s">
        <v>8482</v>
      </c>
      <c r="B622" t="s">
        <v>8237</v>
      </c>
    </row>
    <row r="623" spans="1:2" hidden="1" x14ac:dyDescent="0.25">
      <c r="A623" t="s">
        <v>8959</v>
      </c>
      <c r="B623" t="s">
        <v>8237</v>
      </c>
    </row>
    <row r="624" spans="1:2" hidden="1" x14ac:dyDescent="0.25">
      <c r="A624" t="s">
        <v>8535</v>
      </c>
      <c r="B624" t="s">
        <v>8215</v>
      </c>
    </row>
    <row r="625" spans="1:2" hidden="1" x14ac:dyDescent="0.25">
      <c r="A625" t="s">
        <v>8988</v>
      </c>
      <c r="B625" t="s">
        <v>8304</v>
      </c>
    </row>
    <row r="626" spans="1:2" hidden="1" x14ac:dyDescent="0.25">
      <c r="A626" t="s">
        <v>8564</v>
      </c>
      <c r="B626" t="s">
        <v>8304</v>
      </c>
    </row>
    <row r="627" spans="1:2" hidden="1" x14ac:dyDescent="0.25">
      <c r="A627" t="s">
        <v>8583</v>
      </c>
      <c r="B627" t="s">
        <v>8237</v>
      </c>
    </row>
    <row r="628" spans="1:2" hidden="1" x14ac:dyDescent="0.25">
      <c r="A628" t="s">
        <v>8338</v>
      </c>
      <c r="B628" t="s">
        <v>8261</v>
      </c>
    </row>
    <row r="629" spans="1:2" hidden="1" x14ac:dyDescent="0.25">
      <c r="A629" t="s">
        <v>8533</v>
      </c>
      <c r="B629" t="s">
        <v>8237</v>
      </c>
    </row>
    <row r="630" spans="1:2" hidden="1" x14ac:dyDescent="0.25">
      <c r="A630" t="s">
        <v>8224</v>
      </c>
      <c r="B630" t="s">
        <v>8237</v>
      </c>
    </row>
    <row r="631" spans="1:2" hidden="1" x14ac:dyDescent="0.25">
      <c r="A631" t="s">
        <v>8250</v>
      </c>
      <c r="B631" t="s">
        <v>8221</v>
      </c>
    </row>
    <row r="632" spans="1:2" hidden="1" x14ac:dyDescent="0.25">
      <c r="A632" t="s">
        <v>8387</v>
      </c>
      <c r="B632" t="s">
        <v>8392</v>
      </c>
    </row>
    <row r="633" spans="1:2" hidden="1" x14ac:dyDescent="0.25">
      <c r="A633" t="s">
        <v>8666</v>
      </c>
      <c r="B633" t="s">
        <v>8791</v>
      </c>
    </row>
    <row r="634" spans="1:2" hidden="1" x14ac:dyDescent="0.25">
      <c r="A634" t="s">
        <v>8295</v>
      </c>
      <c r="B634" t="s">
        <v>8221</v>
      </c>
    </row>
    <row r="635" spans="1:2" hidden="1" x14ac:dyDescent="0.25">
      <c r="A635" t="s">
        <v>8566</v>
      </c>
      <c r="B635" t="s">
        <v>8221</v>
      </c>
    </row>
    <row r="636" spans="1:2" hidden="1" x14ac:dyDescent="0.25">
      <c r="A636" t="s">
        <v>8744</v>
      </c>
      <c r="B636" t="s">
        <v>8284</v>
      </c>
    </row>
    <row r="637" spans="1:2" hidden="1" x14ac:dyDescent="0.25">
      <c r="A637" t="s">
        <v>8455</v>
      </c>
      <c r="B637" t="s">
        <v>8689</v>
      </c>
    </row>
    <row r="638" spans="1:2" hidden="1" x14ac:dyDescent="0.25">
      <c r="A638" t="s">
        <v>8271</v>
      </c>
      <c r="B638" t="s">
        <v>8637</v>
      </c>
    </row>
    <row r="639" spans="1:2" hidden="1" x14ac:dyDescent="0.25">
      <c r="A639" t="s">
        <v>8588</v>
      </c>
      <c r="B639" t="s">
        <v>8403</v>
      </c>
    </row>
    <row r="640" spans="1:2" hidden="1" x14ac:dyDescent="0.25">
      <c r="A640" t="s">
        <v>8931</v>
      </c>
      <c r="B640" t="s">
        <v>8237</v>
      </c>
    </row>
    <row r="641" spans="1:2" hidden="1" x14ac:dyDescent="0.25">
      <c r="A641" t="s">
        <v>8656</v>
      </c>
      <c r="B641" t="s">
        <v>8237</v>
      </c>
    </row>
    <row r="642" spans="1:2" hidden="1" x14ac:dyDescent="0.25">
      <c r="A642" t="s">
        <v>8843</v>
      </c>
      <c r="B642" t="s">
        <v>8237</v>
      </c>
    </row>
    <row r="643" spans="1:2" hidden="1" x14ac:dyDescent="0.25">
      <c r="A643" t="s">
        <v>8439</v>
      </c>
      <c r="B643" t="s">
        <v>8237</v>
      </c>
    </row>
    <row r="644" spans="1:2" hidden="1" x14ac:dyDescent="0.25">
      <c r="A644" t="s">
        <v>8311</v>
      </c>
      <c r="B644" t="s">
        <v>8284</v>
      </c>
    </row>
    <row r="645" spans="1:2" hidden="1" x14ac:dyDescent="0.25">
      <c r="A645" t="s">
        <v>8883</v>
      </c>
      <c r="B645" t="s">
        <v>8284</v>
      </c>
    </row>
    <row r="646" spans="1:2" hidden="1" x14ac:dyDescent="0.25">
      <c r="A646" t="s">
        <v>8488</v>
      </c>
      <c r="B646" t="s">
        <v>8237</v>
      </c>
    </row>
    <row r="647" spans="1:2" x14ac:dyDescent="0.25">
      <c r="A647" t="s">
        <v>8838</v>
      </c>
      <c r="B647" t="s">
        <v>8828</v>
      </c>
    </row>
    <row r="648" spans="1:2" x14ac:dyDescent="0.25">
      <c r="A648" t="s">
        <v>8838</v>
      </c>
      <c r="B648" t="s">
        <v>8700</v>
      </c>
    </row>
    <row r="649" spans="1:2" hidden="1" x14ac:dyDescent="0.25">
      <c r="A649" t="s">
        <v>8449</v>
      </c>
      <c r="B649" t="s">
        <v>8237</v>
      </c>
    </row>
    <row r="650" spans="1:2" hidden="1" x14ac:dyDescent="0.25">
      <c r="A650" t="s">
        <v>8783</v>
      </c>
      <c r="B650" t="s">
        <v>8237</v>
      </c>
    </row>
    <row r="651" spans="1:2" hidden="1" x14ac:dyDescent="0.25">
      <c r="A651" t="s">
        <v>8570</v>
      </c>
      <c r="B651" t="s">
        <v>8359</v>
      </c>
    </row>
    <row r="652" spans="1:2" hidden="1" x14ac:dyDescent="0.25">
      <c r="A652" t="s">
        <v>8475</v>
      </c>
      <c r="B652" t="s">
        <v>8221</v>
      </c>
    </row>
    <row r="653" spans="1:2" hidden="1" x14ac:dyDescent="0.25">
      <c r="A653" t="s">
        <v>8757</v>
      </c>
      <c r="B653" t="s">
        <v>8215</v>
      </c>
    </row>
    <row r="654" spans="1:2" hidden="1" x14ac:dyDescent="0.25">
      <c r="A654" t="s">
        <v>8536</v>
      </c>
      <c r="B654" t="s">
        <v>8237</v>
      </c>
    </row>
    <row r="655" spans="1:2" hidden="1" x14ac:dyDescent="0.25">
      <c r="A655" t="s">
        <v>8304</v>
      </c>
      <c r="B655" t="s">
        <v>8362</v>
      </c>
    </row>
    <row r="656" spans="1:2" hidden="1" x14ac:dyDescent="0.25">
      <c r="A656" t="s">
        <v>8440</v>
      </c>
      <c r="B656" t="s">
        <v>8462</v>
      </c>
    </row>
    <row r="657" spans="1:2" hidden="1" x14ac:dyDescent="0.25">
      <c r="A657" t="s">
        <v>8743</v>
      </c>
      <c r="B657" t="s">
        <v>8348</v>
      </c>
    </row>
    <row r="658" spans="1:2" hidden="1" x14ac:dyDescent="0.25">
      <c r="A658" t="s">
        <v>8875</v>
      </c>
      <c r="B658" t="s">
        <v>8237</v>
      </c>
    </row>
    <row r="659" spans="1:2" hidden="1" x14ac:dyDescent="0.25">
      <c r="A659" t="s">
        <v>8723</v>
      </c>
      <c r="B659" t="s">
        <v>8237</v>
      </c>
    </row>
    <row r="660" spans="1:2" hidden="1" x14ac:dyDescent="0.25">
      <c r="A660" t="s">
        <v>8819</v>
      </c>
      <c r="B660" t="s">
        <v>8404</v>
      </c>
    </row>
    <row r="661" spans="1:2" hidden="1" x14ac:dyDescent="0.25">
      <c r="A661" t="s">
        <v>8765</v>
      </c>
      <c r="B661" t="s">
        <v>8237</v>
      </c>
    </row>
    <row r="662" spans="1:2" hidden="1" x14ac:dyDescent="0.25">
      <c r="A662" t="s">
        <v>8487</v>
      </c>
      <c r="B662" t="s">
        <v>8284</v>
      </c>
    </row>
    <row r="663" spans="1:2" hidden="1" x14ac:dyDescent="0.25">
      <c r="A663" t="s">
        <v>8633</v>
      </c>
      <c r="B663" t="s">
        <v>8215</v>
      </c>
    </row>
    <row r="664" spans="1:2" hidden="1" x14ac:dyDescent="0.25">
      <c r="A664" t="s">
        <v>8484</v>
      </c>
      <c r="B664" t="s">
        <v>8284</v>
      </c>
    </row>
    <row r="665" spans="1:2" hidden="1" x14ac:dyDescent="0.25">
      <c r="A665" t="s">
        <v>8826</v>
      </c>
      <c r="B665" t="s">
        <v>8237</v>
      </c>
    </row>
    <row r="666" spans="1:2" hidden="1" x14ac:dyDescent="0.25">
      <c r="A666" t="s">
        <v>8464</v>
      </c>
      <c r="B666" t="s">
        <v>8284</v>
      </c>
    </row>
    <row r="667" spans="1:2" hidden="1" x14ac:dyDescent="0.25">
      <c r="A667" t="s">
        <v>8748</v>
      </c>
      <c r="B667" t="s">
        <v>8284</v>
      </c>
    </row>
    <row r="668" spans="1:2" hidden="1" x14ac:dyDescent="0.25">
      <c r="A668" t="s">
        <v>8679</v>
      </c>
      <c r="B668" t="s">
        <v>8237</v>
      </c>
    </row>
    <row r="669" spans="1:2" hidden="1" x14ac:dyDescent="0.25">
      <c r="A669" t="s">
        <v>8209</v>
      </c>
      <c r="B669" t="s">
        <v>8237</v>
      </c>
    </row>
    <row r="670" spans="1:2" hidden="1" x14ac:dyDescent="0.25">
      <c r="A670" t="s">
        <v>8866</v>
      </c>
      <c r="B670" t="s">
        <v>8559</v>
      </c>
    </row>
    <row r="671" spans="1:2" hidden="1" x14ac:dyDescent="0.25">
      <c r="A671" t="s">
        <v>8780</v>
      </c>
      <c r="B671" t="s">
        <v>8828</v>
      </c>
    </row>
    <row r="672" spans="1:2" hidden="1" x14ac:dyDescent="0.25">
      <c r="A672" t="s">
        <v>8644</v>
      </c>
      <c r="B672" t="s">
        <v>8295</v>
      </c>
    </row>
    <row r="673" spans="1:2" hidden="1" x14ac:dyDescent="0.25">
      <c r="A673" t="s">
        <v>8285</v>
      </c>
      <c r="B673" t="s">
        <v>8237</v>
      </c>
    </row>
    <row r="674" spans="1:2" hidden="1" x14ac:dyDescent="0.25">
      <c r="A674" t="s">
        <v>8624</v>
      </c>
      <c r="B674" t="s">
        <v>8215</v>
      </c>
    </row>
    <row r="675" spans="1:2" hidden="1" x14ac:dyDescent="0.25">
      <c r="A675" t="s">
        <v>8727</v>
      </c>
      <c r="B675" t="s">
        <v>8613</v>
      </c>
    </row>
    <row r="676" spans="1:2" hidden="1" x14ac:dyDescent="0.25">
      <c r="A676" t="s">
        <v>8616</v>
      </c>
      <c r="B676" t="s">
        <v>8613</v>
      </c>
    </row>
    <row r="677" spans="1:2" hidden="1" x14ac:dyDescent="0.25">
      <c r="A677" t="s">
        <v>8281</v>
      </c>
      <c r="B677" t="s">
        <v>8387</v>
      </c>
    </row>
    <row r="678" spans="1:2" hidden="1" x14ac:dyDescent="0.25">
      <c r="A678" t="s">
        <v>8851</v>
      </c>
      <c r="B678" t="s">
        <v>8284</v>
      </c>
    </row>
    <row r="679" spans="1:2" hidden="1" x14ac:dyDescent="0.25">
      <c r="A679" t="s">
        <v>8204</v>
      </c>
      <c r="B679" t="s">
        <v>8417</v>
      </c>
    </row>
    <row r="680" spans="1:2" hidden="1" x14ac:dyDescent="0.25">
      <c r="A680" t="s">
        <v>8673</v>
      </c>
      <c r="B680" t="s">
        <v>8237</v>
      </c>
    </row>
    <row r="681" spans="1:2" hidden="1" x14ac:dyDescent="0.25">
      <c r="A681" t="s">
        <v>8857</v>
      </c>
      <c r="B681" t="s">
        <v>8237</v>
      </c>
    </row>
    <row r="682" spans="1:2" hidden="1" x14ac:dyDescent="0.25">
      <c r="A682" t="s">
        <v>8234</v>
      </c>
      <c r="B682" t="s">
        <v>8237</v>
      </c>
    </row>
    <row r="683" spans="1:2" hidden="1" x14ac:dyDescent="0.25">
      <c r="A683" t="s">
        <v>8820</v>
      </c>
      <c r="B683" t="s">
        <v>8237</v>
      </c>
    </row>
    <row r="684" spans="1:2" hidden="1" x14ac:dyDescent="0.25">
      <c r="A684" t="s">
        <v>8259</v>
      </c>
      <c r="B684" t="s">
        <v>8216</v>
      </c>
    </row>
    <row r="685" spans="1:2" hidden="1" x14ac:dyDescent="0.25">
      <c r="A685" t="s">
        <v>8915</v>
      </c>
      <c r="B685" t="s">
        <v>8237</v>
      </c>
    </row>
    <row r="686" spans="1:2" hidden="1" x14ac:dyDescent="0.25">
      <c r="A686" t="s">
        <v>8980</v>
      </c>
      <c r="B686" t="s">
        <v>8237</v>
      </c>
    </row>
    <row r="687" spans="1:2" hidden="1" x14ac:dyDescent="0.25">
      <c r="A687" t="s">
        <v>8741</v>
      </c>
      <c r="B687" t="s">
        <v>8284</v>
      </c>
    </row>
    <row r="688" spans="1:2" hidden="1" x14ac:dyDescent="0.25">
      <c r="A688" t="s">
        <v>8901</v>
      </c>
      <c r="B688" t="s">
        <v>8284</v>
      </c>
    </row>
    <row r="689" spans="1:2" hidden="1" x14ac:dyDescent="0.25">
      <c r="A689" t="s">
        <v>8505</v>
      </c>
      <c r="B689" t="s">
        <v>8237</v>
      </c>
    </row>
    <row r="690" spans="1:2" hidden="1" x14ac:dyDescent="0.25">
      <c r="A690" t="s">
        <v>8534</v>
      </c>
      <c r="B690" t="s">
        <v>8237</v>
      </c>
    </row>
    <row r="691" spans="1:2" hidden="1" x14ac:dyDescent="0.25">
      <c r="A691" t="s">
        <v>8955</v>
      </c>
      <c r="B691" t="s">
        <v>8284</v>
      </c>
    </row>
    <row r="692" spans="1:2" x14ac:dyDescent="0.25">
      <c r="A692" t="s">
        <v>8302</v>
      </c>
      <c r="B692" t="s">
        <v>8284</v>
      </c>
    </row>
    <row r="693" spans="1:2" x14ac:dyDescent="0.25">
      <c r="A693" t="s">
        <v>8302</v>
      </c>
      <c r="B693" t="s">
        <v>8215</v>
      </c>
    </row>
    <row r="694" spans="1:2" hidden="1" x14ac:dyDescent="0.25">
      <c r="A694" t="s">
        <v>8953</v>
      </c>
      <c r="B694" t="s">
        <v>8284</v>
      </c>
    </row>
    <row r="695" spans="1:2" hidden="1" x14ac:dyDescent="0.25">
      <c r="A695" t="s">
        <v>8905</v>
      </c>
      <c r="B695" t="s">
        <v>8299</v>
      </c>
    </row>
    <row r="696" spans="1:2" hidden="1" x14ac:dyDescent="0.25">
      <c r="A696" t="s">
        <v>8635</v>
      </c>
      <c r="B696" t="s">
        <v>8462</v>
      </c>
    </row>
    <row r="697" spans="1:2" hidden="1" x14ac:dyDescent="0.25">
      <c r="A697" t="s">
        <v>8960</v>
      </c>
      <c r="B697" t="s">
        <v>8284</v>
      </c>
    </row>
    <row r="698" spans="1:2" hidden="1" x14ac:dyDescent="0.25">
      <c r="A698" t="s">
        <v>8669</v>
      </c>
      <c r="B698" t="s">
        <v>8637</v>
      </c>
    </row>
    <row r="699" spans="1:2" hidden="1" x14ac:dyDescent="0.25">
      <c r="A699" t="s">
        <v>8565</v>
      </c>
      <c r="B699" t="s">
        <v>8215</v>
      </c>
    </row>
    <row r="700" spans="1:2" hidden="1" x14ac:dyDescent="0.25">
      <c r="A700" t="s">
        <v>8726</v>
      </c>
      <c r="B700" t="s">
        <v>8237</v>
      </c>
    </row>
    <row r="701" spans="1:2" hidden="1" x14ac:dyDescent="0.25">
      <c r="A701" t="s">
        <v>8339</v>
      </c>
      <c r="B701" t="s">
        <v>8237</v>
      </c>
    </row>
    <row r="702" spans="1:2" hidden="1" x14ac:dyDescent="0.25">
      <c r="A702" t="s">
        <v>8950</v>
      </c>
      <c r="B702" t="s">
        <v>8237</v>
      </c>
    </row>
    <row r="703" spans="1:2" hidden="1" x14ac:dyDescent="0.25">
      <c r="A703" t="s">
        <v>8416</v>
      </c>
      <c r="B703" t="s">
        <v>8250</v>
      </c>
    </row>
    <row r="704" spans="1:2" hidden="1" x14ac:dyDescent="0.25">
      <c r="A704" t="s">
        <v>8734</v>
      </c>
      <c r="B704" t="s">
        <v>8237</v>
      </c>
    </row>
    <row r="705" spans="1:2" hidden="1" x14ac:dyDescent="0.25">
      <c r="A705" t="s">
        <v>8605</v>
      </c>
      <c r="B705" t="s">
        <v>8237</v>
      </c>
    </row>
    <row r="706" spans="1:2" hidden="1" x14ac:dyDescent="0.25">
      <c r="A706" t="s">
        <v>8885</v>
      </c>
      <c r="B706" t="s">
        <v>8237</v>
      </c>
    </row>
    <row r="707" spans="1:2" hidden="1" x14ac:dyDescent="0.25">
      <c r="A707" t="s">
        <v>8388</v>
      </c>
      <c r="B707" t="s">
        <v>8295</v>
      </c>
    </row>
    <row r="708" spans="1:2" hidden="1" x14ac:dyDescent="0.25">
      <c r="A708" t="s">
        <v>8873</v>
      </c>
      <c r="B708" t="s">
        <v>8215</v>
      </c>
    </row>
    <row r="709" spans="1:2" hidden="1" x14ac:dyDescent="0.25">
      <c r="A709" t="s">
        <v>8927</v>
      </c>
      <c r="B709" t="s">
        <v>8259</v>
      </c>
    </row>
    <row r="710" spans="1:2" hidden="1" x14ac:dyDescent="0.25">
      <c r="A710" t="s">
        <v>8835</v>
      </c>
      <c r="B710" t="s">
        <v>8237</v>
      </c>
    </row>
    <row r="711" spans="1:2" hidden="1" x14ac:dyDescent="0.25">
      <c r="A711" t="s">
        <v>8982</v>
      </c>
      <c r="B711" t="s">
        <v>8692</v>
      </c>
    </row>
    <row r="712" spans="1:2" hidden="1" x14ac:dyDescent="0.25">
      <c r="A712" t="s">
        <v>8766</v>
      </c>
      <c r="B712" t="s">
        <v>8498</v>
      </c>
    </row>
    <row r="713" spans="1:2" hidden="1" x14ac:dyDescent="0.25">
      <c r="A713" t="s">
        <v>8545</v>
      </c>
      <c r="B713" t="s">
        <v>8237</v>
      </c>
    </row>
    <row r="714" spans="1:2" hidden="1" x14ac:dyDescent="0.25">
      <c r="A714" t="s">
        <v>8705</v>
      </c>
      <c r="B714" t="s">
        <v>8859</v>
      </c>
    </row>
    <row r="715" spans="1:2" hidden="1" x14ac:dyDescent="0.25">
      <c r="A715" t="s">
        <v>8451</v>
      </c>
      <c r="B715" t="s">
        <v>8392</v>
      </c>
    </row>
    <row r="716" spans="1:2" hidden="1" x14ac:dyDescent="0.25">
      <c r="A716" t="s">
        <v>8941</v>
      </c>
      <c r="B716" t="s">
        <v>8692</v>
      </c>
    </row>
    <row r="717" spans="1:2" hidden="1" x14ac:dyDescent="0.25">
      <c r="A717" t="s">
        <v>8585</v>
      </c>
      <c r="B717" t="s">
        <v>8237</v>
      </c>
    </row>
    <row r="718" spans="1:2" hidden="1" x14ac:dyDescent="0.25">
      <c r="A718" t="s">
        <v>8401</v>
      </c>
      <c r="B718" t="s">
        <v>8352</v>
      </c>
    </row>
    <row r="719" spans="1:2" hidden="1" x14ac:dyDescent="0.25">
      <c r="A719" t="s">
        <v>8429</v>
      </c>
      <c r="B719" t="s">
        <v>8215</v>
      </c>
    </row>
    <row r="720" spans="1:2" hidden="1" x14ac:dyDescent="0.25">
      <c r="A720" t="s">
        <v>8830</v>
      </c>
      <c r="B720" t="s">
        <v>8216</v>
      </c>
    </row>
    <row r="721" spans="1:2" hidden="1" x14ac:dyDescent="0.25">
      <c r="A721" t="s">
        <v>8872</v>
      </c>
      <c r="B721" t="s">
        <v>8238</v>
      </c>
    </row>
    <row r="722" spans="1:2" hidden="1" x14ac:dyDescent="0.25">
      <c r="A722" t="s">
        <v>8221</v>
      </c>
      <c r="B722" t="s">
        <v>8217</v>
      </c>
    </row>
    <row r="723" spans="1:2" hidden="1" x14ac:dyDescent="0.25">
      <c r="A723" t="s">
        <v>8956</v>
      </c>
      <c r="B723" t="s">
        <v>8526</v>
      </c>
    </row>
    <row r="724" spans="1:2" hidden="1" x14ac:dyDescent="0.25">
      <c r="A724" t="s">
        <v>8345</v>
      </c>
      <c r="B724" t="s">
        <v>8816</v>
      </c>
    </row>
    <row r="725" spans="1:2" hidden="1" x14ac:dyDescent="0.25">
      <c r="A725" t="s">
        <v>8215</v>
      </c>
      <c r="B725" t="s">
        <v>8295</v>
      </c>
    </row>
    <row r="726" spans="1:2" hidden="1" x14ac:dyDescent="0.25">
      <c r="A726" t="s">
        <v>8557</v>
      </c>
      <c r="B726" t="s">
        <v>8295</v>
      </c>
    </row>
    <row r="727" spans="1:2" hidden="1" x14ac:dyDescent="0.25">
      <c r="A727" t="s">
        <v>8268</v>
      </c>
      <c r="B727" t="s">
        <v>8392</v>
      </c>
    </row>
    <row r="728" spans="1:2" hidden="1" x14ac:dyDescent="0.25">
      <c r="A728" t="s">
        <v>8365</v>
      </c>
      <c r="B728" t="s">
        <v>8284</v>
      </c>
    </row>
    <row r="729" spans="1:2" hidden="1" x14ac:dyDescent="0.25">
      <c r="A729" t="s">
        <v>8850</v>
      </c>
      <c r="B729" t="s">
        <v>8237</v>
      </c>
    </row>
    <row r="730" spans="1:2" hidden="1" x14ac:dyDescent="0.25">
      <c r="A730" t="s">
        <v>8422</v>
      </c>
      <c r="B730" t="s">
        <v>8492</v>
      </c>
    </row>
    <row r="731" spans="1:2" hidden="1" x14ac:dyDescent="0.25">
      <c r="A731" t="s">
        <v>8587</v>
      </c>
      <c r="B731" t="s">
        <v>8237</v>
      </c>
    </row>
    <row r="732" spans="1:2" hidden="1" x14ac:dyDescent="0.25">
      <c r="A732" t="s">
        <v>8693</v>
      </c>
      <c r="B732" t="s">
        <v>8237</v>
      </c>
    </row>
    <row r="733" spans="1:2" hidden="1" x14ac:dyDescent="0.25">
      <c r="A733" t="s">
        <v>8547</v>
      </c>
      <c r="B733" t="s">
        <v>8237</v>
      </c>
    </row>
    <row r="734" spans="1:2" hidden="1" x14ac:dyDescent="0.25">
      <c r="A734" t="s">
        <v>8781</v>
      </c>
      <c r="B734" t="s">
        <v>8237</v>
      </c>
    </row>
    <row r="735" spans="1:2" hidden="1" x14ac:dyDescent="0.25">
      <c r="A735" t="s">
        <v>8811</v>
      </c>
      <c r="B735" t="s">
        <v>8816</v>
      </c>
    </row>
    <row r="736" spans="1:2" hidden="1" x14ac:dyDescent="0.25">
      <c r="A736" t="s">
        <v>8277</v>
      </c>
      <c r="B736" t="s">
        <v>8295</v>
      </c>
    </row>
    <row r="737" spans="1:2" hidden="1" x14ac:dyDescent="0.25">
      <c r="A737" t="s">
        <v>8762</v>
      </c>
      <c r="B737" t="s">
        <v>8237</v>
      </c>
    </row>
    <row r="738" spans="1:2" hidden="1" x14ac:dyDescent="0.25">
      <c r="A738" t="s">
        <v>8739</v>
      </c>
      <c r="B738" t="s">
        <v>8237</v>
      </c>
    </row>
    <row r="739" spans="1:2" hidden="1" x14ac:dyDescent="0.25">
      <c r="A739" t="s">
        <v>8989</v>
      </c>
      <c r="B739" t="s">
        <v>8555</v>
      </c>
    </row>
    <row r="740" spans="1:2" hidden="1" x14ac:dyDescent="0.25">
      <c r="A740" t="s">
        <v>8467</v>
      </c>
      <c r="B740" t="s">
        <v>8215</v>
      </c>
    </row>
    <row r="741" spans="1:2" hidden="1" x14ac:dyDescent="0.25">
      <c r="A741" t="s">
        <v>8434</v>
      </c>
      <c r="B741" t="s">
        <v>8237</v>
      </c>
    </row>
    <row r="742" spans="1:2" hidden="1" x14ac:dyDescent="0.25">
      <c r="A742" t="s">
        <v>8256</v>
      </c>
      <c r="B742" t="s">
        <v>8215</v>
      </c>
    </row>
    <row r="743" spans="1:2" hidden="1" x14ac:dyDescent="0.25">
      <c r="A743" t="s">
        <v>8293</v>
      </c>
      <c r="B743" t="s">
        <v>8237</v>
      </c>
    </row>
    <row r="744" spans="1:2" hidden="1" x14ac:dyDescent="0.25">
      <c r="A744" t="s">
        <v>8876</v>
      </c>
      <c r="B744" t="s">
        <v>8284</v>
      </c>
    </row>
    <row r="745" spans="1:2" hidden="1" x14ac:dyDescent="0.25">
      <c r="A745" t="s">
        <v>8601</v>
      </c>
      <c r="B745" t="s">
        <v>8284</v>
      </c>
    </row>
    <row r="746" spans="1:2" hidden="1" x14ac:dyDescent="0.25">
      <c r="A746" t="s">
        <v>8575</v>
      </c>
      <c r="B746" t="s">
        <v>8559</v>
      </c>
    </row>
    <row r="747" spans="1:2" hidden="1" x14ac:dyDescent="0.25">
      <c r="A747" t="s">
        <v>8751</v>
      </c>
      <c r="B747" t="s">
        <v>8237</v>
      </c>
    </row>
    <row r="748" spans="1:2" hidden="1" x14ac:dyDescent="0.25">
      <c r="A748" t="s">
        <v>8300</v>
      </c>
      <c r="B748" t="s">
        <v>8387</v>
      </c>
    </row>
    <row r="749" spans="1:2" hidden="1" x14ac:dyDescent="0.25">
      <c r="A749" t="s">
        <v>8590</v>
      </c>
      <c r="B749" t="s">
        <v>8295</v>
      </c>
    </row>
    <row r="750" spans="1:2" hidden="1" x14ac:dyDescent="0.25">
      <c r="A750" t="s">
        <v>8790</v>
      </c>
      <c r="B750" t="s">
        <v>8299</v>
      </c>
    </row>
    <row r="751" spans="1:2" hidden="1" x14ac:dyDescent="0.25">
      <c r="A751" t="s">
        <v>8619</v>
      </c>
      <c r="B751" t="s">
        <v>8716</v>
      </c>
    </row>
    <row r="752" spans="1:2" hidden="1" x14ac:dyDescent="0.25">
      <c r="A752" t="s">
        <v>8456</v>
      </c>
      <c r="B752" t="s">
        <v>8475</v>
      </c>
    </row>
    <row r="753" spans="1:2" hidden="1" x14ac:dyDescent="0.25">
      <c r="A753" t="s">
        <v>8483</v>
      </c>
      <c r="B753" t="s">
        <v>8259</v>
      </c>
    </row>
    <row r="754" spans="1:2" hidden="1" x14ac:dyDescent="0.25">
      <c r="A754" t="s">
        <v>8798</v>
      </c>
      <c r="B754" t="s">
        <v>8572</v>
      </c>
    </row>
    <row r="755" spans="1:2" hidden="1" x14ac:dyDescent="0.25">
      <c r="A755" t="s">
        <v>8761</v>
      </c>
      <c r="B755" t="s">
        <v>8572</v>
      </c>
    </row>
    <row r="756" spans="1:2" hidden="1" x14ac:dyDescent="0.25">
      <c r="A756" t="s">
        <v>8802</v>
      </c>
      <c r="B756" t="s">
        <v>8572</v>
      </c>
    </row>
    <row r="757" spans="1:2" hidden="1" x14ac:dyDescent="0.25">
      <c r="A757" t="s">
        <v>8793</v>
      </c>
      <c r="B757" t="s">
        <v>8304</v>
      </c>
    </row>
    <row r="758" spans="1:2" hidden="1" x14ac:dyDescent="0.25">
      <c r="A758" t="s">
        <v>8572</v>
      </c>
      <c r="B758" t="s">
        <v>8566</v>
      </c>
    </row>
    <row r="759" spans="1:2" hidden="1" x14ac:dyDescent="0.25">
      <c r="A759" t="s">
        <v>8816</v>
      </c>
      <c r="B759" t="s">
        <v>8566</v>
      </c>
    </row>
    <row r="760" spans="1:2" hidden="1" x14ac:dyDescent="0.25">
      <c r="A760" t="s">
        <v>8555</v>
      </c>
      <c r="B760" t="s">
        <v>8295</v>
      </c>
    </row>
    <row r="761" spans="1:2" hidden="1" x14ac:dyDescent="0.25">
      <c r="A761" t="s">
        <v>8852</v>
      </c>
      <c r="B761" t="s">
        <v>8237</v>
      </c>
    </row>
    <row r="762" spans="1:2" hidden="1" x14ac:dyDescent="0.25">
      <c r="A762" t="s">
        <v>8273</v>
      </c>
      <c r="B762" t="s">
        <v>8299</v>
      </c>
    </row>
    <row r="763" spans="1:2" hidden="1" x14ac:dyDescent="0.25">
      <c r="A763" t="s">
        <v>8435</v>
      </c>
      <c r="B763" t="s">
        <v>8462</v>
      </c>
    </row>
    <row r="764" spans="1:2" hidden="1" x14ac:dyDescent="0.25">
      <c r="A764" t="s">
        <v>8824</v>
      </c>
      <c r="B764" t="s">
        <v>8411</v>
      </c>
    </row>
    <row r="765" spans="1:2" hidden="1" x14ac:dyDescent="0.25">
      <c r="A765" t="s">
        <v>8504</v>
      </c>
      <c r="B765" t="s">
        <v>8268</v>
      </c>
    </row>
    <row r="766" spans="1:2" hidden="1" x14ac:dyDescent="0.25">
      <c r="A766" t="s">
        <v>8966</v>
      </c>
      <c r="B766" t="s">
        <v>8237</v>
      </c>
    </row>
    <row r="767" spans="1:2" hidden="1" x14ac:dyDescent="0.25">
      <c r="A767" t="s">
        <v>8647</v>
      </c>
      <c r="B767" t="s">
        <v>8237</v>
      </c>
    </row>
    <row r="768" spans="1:2" hidden="1" x14ac:dyDescent="0.25">
      <c r="A768" t="s">
        <v>8395</v>
      </c>
      <c r="B768" t="s">
        <v>8261</v>
      </c>
    </row>
    <row r="769" spans="1:2" hidden="1" x14ac:dyDescent="0.25">
      <c r="A769" t="s">
        <v>8707</v>
      </c>
      <c r="B769" t="s">
        <v>8572</v>
      </c>
    </row>
    <row r="770" spans="1:2" hidden="1" x14ac:dyDescent="0.25">
      <c r="A770" t="s">
        <v>8668</v>
      </c>
      <c r="B770" t="s">
        <v>8237</v>
      </c>
    </row>
    <row r="771" spans="1:2" hidden="1" x14ac:dyDescent="0.25">
      <c r="A771" t="s">
        <v>8258</v>
      </c>
      <c r="B771" t="s">
        <v>8417</v>
      </c>
    </row>
    <row r="772" spans="1:2" hidden="1" x14ac:dyDescent="0.25">
      <c r="A772" t="s">
        <v>8525</v>
      </c>
      <c r="B772" t="s">
        <v>8237</v>
      </c>
    </row>
    <row r="773" spans="1:2" hidden="1" x14ac:dyDescent="0.25">
      <c r="A773" t="s">
        <v>8321</v>
      </c>
      <c r="B773" t="s">
        <v>8297</v>
      </c>
    </row>
    <row r="774" spans="1:2" hidden="1" x14ac:dyDescent="0.25">
      <c r="A774" t="s">
        <v>8776</v>
      </c>
      <c r="B774" t="s">
        <v>8498</v>
      </c>
    </row>
    <row r="775" spans="1:2" hidden="1" x14ac:dyDescent="0.25">
      <c r="A775" t="s">
        <v>8494</v>
      </c>
      <c r="B775" t="s">
        <v>8284</v>
      </c>
    </row>
    <row r="776" spans="1:2" hidden="1" x14ac:dyDescent="0.25">
      <c r="A776" t="s">
        <v>8710</v>
      </c>
      <c r="B776" t="s">
        <v>8245</v>
      </c>
    </row>
    <row r="777" spans="1:2" hidden="1" x14ac:dyDescent="0.25">
      <c r="A777" t="s">
        <v>8460</v>
      </c>
      <c r="B777" t="s">
        <v>8816</v>
      </c>
    </row>
    <row r="778" spans="1:2" hidden="1" x14ac:dyDescent="0.25">
      <c r="A778" t="s">
        <v>8346</v>
      </c>
      <c r="B778" t="s">
        <v>8284</v>
      </c>
    </row>
    <row r="779" spans="1:2" hidden="1" x14ac:dyDescent="0.25">
      <c r="A779" t="s">
        <v>8880</v>
      </c>
      <c r="B779" t="s">
        <v>8340</v>
      </c>
    </row>
    <row r="780" spans="1:2" hidden="1" x14ac:dyDescent="0.25">
      <c r="A780" t="s">
        <v>8797</v>
      </c>
      <c r="B780" t="s">
        <v>8498</v>
      </c>
    </row>
    <row r="781" spans="1:2" hidden="1" x14ac:dyDescent="0.25">
      <c r="A781" t="s">
        <v>8516</v>
      </c>
      <c r="B781" t="s">
        <v>8555</v>
      </c>
    </row>
    <row r="782" spans="1:2" hidden="1" x14ac:dyDescent="0.25">
      <c r="A782" t="s">
        <v>8767</v>
      </c>
      <c r="B782" t="s">
        <v>8433</v>
      </c>
    </row>
    <row r="783" spans="1:2" hidden="1" x14ac:dyDescent="0.25">
      <c r="A783" t="s">
        <v>8839</v>
      </c>
      <c r="B783" t="s">
        <v>8964</v>
      </c>
    </row>
    <row r="784" spans="1:2" hidden="1" x14ac:dyDescent="0.25">
      <c r="A784" t="s">
        <v>8340</v>
      </c>
      <c r="B784" t="s">
        <v>8245</v>
      </c>
    </row>
    <row r="785" spans="1:2" hidden="1" x14ac:dyDescent="0.25">
      <c r="A785" t="s">
        <v>8861</v>
      </c>
      <c r="B785" t="s">
        <v>8462</v>
      </c>
    </row>
    <row r="786" spans="1:2" hidden="1" x14ac:dyDescent="0.25">
      <c r="A786" t="s">
        <v>8724</v>
      </c>
      <c r="B786" t="s">
        <v>8238</v>
      </c>
    </row>
    <row r="787" spans="1:2" hidden="1" x14ac:dyDescent="0.25">
      <c r="A787" t="s">
        <v>8809</v>
      </c>
      <c r="B787" t="s">
        <v>8498</v>
      </c>
    </row>
    <row r="788" spans="1:2" hidden="1" x14ac:dyDescent="0.25">
      <c r="A788" t="s">
        <v>8237</v>
      </c>
      <c r="B788" t="s">
        <v>8475</v>
      </c>
    </row>
    <row r="789" spans="1:2" hidden="1" x14ac:dyDescent="0.25">
      <c r="A789" t="s">
        <v>8735</v>
      </c>
      <c r="B789" t="s">
        <v>8212</v>
      </c>
    </row>
    <row r="790" spans="1:2" hidden="1" x14ac:dyDescent="0.25">
      <c r="A790" t="s">
        <v>8833</v>
      </c>
      <c r="B790" t="s">
        <v>8237</v>
      </c>
    </row>
    <row r="791" spans="1:2" hidden="1" x14ac:dyDescent="0.25">
      <c r="A791" t="s">
        <v>8512</v>
      </c>
      <c r="B791" t="s">
        <v>8284</v>
      </c>
    </row>
    <row r="792" spans="1:2" hidden="1" x14ac:dyDescent="0.25">
      <c r="A792" t="s">
        <v>8831</v>
      </c>
      <c r="B792" t="s">
        <v>8261</v>
      </c>
    </row>
    <row r="793" spans="1:2" hidden="1" x14ac:dyDescent="0.25">
      <c r="A793" t="s">
        <v>8682</v>
      </c>
      <c r="B793" t="s">
        <v>8237</v>
      </c>
    </row>
    <row r="794" spans="1:2" hidden="1" x14ac:dyDescent="0.25">
      <c r="A794" t="s">
        <v>8987</v>
      </c>
      <c r="B794" t="s">
        <v>8238</v>
      </c>
    </row>
    <row r="795" spans="1:2" hidden="1" x14ac:dyDescent="0.25">
      <c r="A795" t="s">
        <v>8567</v>
      </c>
      <c r="B795" t="s">
        <v>8215</v>
      </c>
    </row>
    <row r="796" spans="1:2" hidden="1" x14ac:dyDescent="0.25">
      <c r="A796" t="s">
        <v>8632</v>
      </c>
      <c r="B796" t="s">
        <v>8498</v>
      </c>
    </row>
    <row r="797" spans="1:2" hidden="1" x14ac:dyDescent="0.25">
      <c r="A797" t="s">
        <v>8598</v>
      </c>
      <c r="B797" t="s">
        <v>8237</v>
      </c>
    </row>
    <row r="798" spans="1:2" hidden="1" x14ac:dyDescent="0.25">
      <c r="A798" t="s">
        <v>8859</v>
      </c>
      <c r="B798" t="s">
        <v>8475</v>
      </c>
    </row>
    <row r="799" spans="1:2" hidden="1" x14ac:dyDescent="0.25">
      <c r="A799" t="s">
        <v>8556</v>
      </c>
      <c r="B799" t="s">
        <v>8261</v>
      </c>
    </row>
    <row r="800" spans="1:2" hidden="1" x14ac:dyDescent="0.25">
      <c r="A800" t="s">
        <v>8363</v>
      </c>
      <c r="B800" t="s">
        <v>8261</v>
      </c>
    </row>
    <row r="801" spans="1:2" hidden="1" x14ac:dyDescent="0.25">
      <c r="A801" t="s">
        <v>8685</v>
      </c>
      <c r="B801" t="s">
        <v>8828</v>
      </c>
    </row>
    <row r="802" spans="1:2" hidden="1" x14ac:dyDescent="0.25">
      <c r="A802" t="s">
        <v>8699</v>
      </c>
      <c r="B802" t="s">
        <v>8411</v>
      </c>
    </row>
    <row r="803" spans="1:2" hidden="1" x14ac:dyDescent="0.25">
      <c r="A803" t="s">
        <v>8890</v>
      </c>
      <c r="B803" t="s">
        <v>8411</v>
      </c>
    </row>
    <row r="804" spans="1:2" hidden="1" x14ac:dyDescent="0.25">
      <c r="A804" t="s">
        <v>8694</v>
      </c>
      <c r="B804" t="s">
        <v>8238</v>
      </c>
    </row>
    <row r="805" spans="1:2" hidden="1" x14ac:dyDescent="0.25">
      <c r="A805" t="s">
        <v>8284</v>
      </c>
      <c r="B805" t="s">
        <v>8475</v>
      </c>
    </row>
    <row r="806" spans="1:2" hidden="1" x14ac:dyDescent="0.25">
      <c r="A806" t="s">
        <v>8392</v>
      </c>
      <c r="B806" t="s">
        <v>8259</v>
      </c>
    </row>
    <row r="807" spans="1:2" hidden="1" x14ac:dyDescent="0.25">
      <c r="A807" t="s">
        <v>8623</v>
      </c>
      <c r="B807" t="s">
        <v>8451</v>
      </c>
    </row>
    <row r="808" spans="1:2" hidden="1" x14ac:dyDescent="0.25">
      <c r="A808" t="s">
        <v>8730</v>
      </c>
      <c r="B808" t="s">
        <v>8348</v>
      </c>
    </row>
    <row r="809" spans="1:2" hidden="1" x14ac:dyDescent="0.25">
      <c r="A809" t="s">
        <v>8537</v>
      </c>
      <c r="B809" t="s">
        <v>8816</v>
      </c>
    </row>
    <row r="810" spans="1:2" hidden="1" x14ac:dyDescent="0.25">
      <c r="A810" t="s">
        <v>8755</v>
      </c>
      <c r="B810" t="s">
        <v>8261</v>
      </c>
    </row>
    <row r="811" spans="1:2" hidden="1" x14ac:dyDescent="0.25">
      <c r="A811" t="s">
        <v>8929</v>
      </c>
      <c r="B811" t="s">
        <v>8237</v>
      </c>
    </row>
    <row r="812" spans="1:2" hidden="1" x14ac:dyDescent="0.25">
      <c r="A812" t="s">
        <v>8225</v>
      </c>
      <c r="B812" t="s">
        <v>8411</v>
      </c>
    </row>
    <row r="813" spans="1:2" hidden="1" x14ac:dyDescent="0.25">
      <c r="A813" t="s">
        <v>8990</v>
      </c>
      <c r="B813" t="s">
        <v>8828</v>
      </c>
    </row>
    <row r="814" spans="1:2" hidden="1" x14ac:dyDescent="0.25">
      <c r="A814" t="s">
        <v>8546</v>
      </c>
      <c r="B814" t="s">
        <v>8250</v>
      </c>
    </row>
    <row r="815" spans="1:2" hidden="1" x14ac:dyDescent="0.25">
      <c r="A815" t="s">
        <v>8704</v>
      </c>
      <c r="B815" t="s">
        <v>8340</v>
      </c>
    </row>
    <row r="816" spans="1:2" hidden="1" x14ac:dyDescent="0.25">
      <c r="A816" t="s">
        <v>8238</v>
      </c>
      <c r="B816" t="s">
        <v>8362</v>
      </c>
    </row>
    <row r="817" spans="1:2" x14ac:dyDescent="0.25">
      <c r="A817" t="s">
        <v>8380</v>
      </c>
      <c r="B817" t="s">
        <v>8403</v>
      </c>
    </row>
    <row r="818" spans="1:2" x14ac:dyDescent="0.25">
      <c r="A818" t="s">
        <v>8380</v>
      </c>
      <c r="B818" t="s">
        <v>8295</v>
      </c>
    </row>
    <row r="819" spans="1:2" hidden="1" x14ac:dyDescent="0.25">
      <c r="A819" t="s">
        <v>8430</v>
      </c>
      <c r="B819" t="s">
        <v>8237</v>
      </c>
    </row>
    <row r="820" spans="1:2" hidden="1" x14ac:dyDescent="0.25">
      <c r="A820" t="s">
        <v>8604</v>
      </c>
      <c r="B820" t="s">
        <v>8572</v>
      </c>
    </row>
    <row r="821" spans="1:2" x14ac:dyDescent="0.25">
      <c r="A821" t="s">
        <v>8222</v>
      </c>
      <c r="B821" t="s">
        <v>8392</v>
      </c>
    </row>
    <row r="822" spans="1:2" x14ac:dyDescent="0.25">
      <c r="A822" t="s">
        <v>8222</v>
      </c>
      <c r="B822" t="s">
        <v>8387</v>
      </c>
    </row>
    <row r="823" spans="1:2" hidden="1" x14ac:dyDescent="0.25">
      <c r="A823" t="s">
        <v>8246</v>
      </c>
      <c r="B823" t="s">
        <v>8237</v>
      </c>
    </row>
    <row r="824" spans="1:2" hidden="1" x14ac:dyDescent="0.25">
      <c r="A824" t="s">
        <v>8474</v>
      </c>
      <c r="B824" t="s">
        <v>8403</v>
      </c>
    </row>
    <row r="825" spans="1:2" hidden="1" x14ac:dyDescent="0.25">
      <c r="A825" t="s">
        <v>8684</v>
      </c>
      <c r="B825" t="s">
        <v>8362</v>
      </c>
    </row>
    <row r="826" spans="1:2" hidden="1" x14ac:dyDescent="0.25">
      <c r="A826" t="s">
        <v>8450</v>
      </c>
      <c r="B826" t="s">
        <v>8572</v>
      </c>
    </row>
    <row r="827" spans="1:2" hidden="1" x14ac:dyDescent="0.25">
      <c r="A827" t="s">
        <v>8540</v>
      </c>
      <c r="B827" t="s">
        <v>8343</v>
      </c>
    </row>
    <row r="828" spans="1:2" hidden="1" x14ac:dyDescent="0.25">
      <c r="A828" t="s">
        <v>8220</v>
      </c>
      <c r="B828" t="s">
        <v>8238</v>
      </c>
    </row>
    <row r="829" spans="1:2" hidden="1" x14ac:dyDescent="0.25">
      <c r="A829" t="s">
        <v>8352</v>
      </c>
      <c r="B829" t="s">
        <v>8259</v>
      </c>
    </row>
    <row r="830" spans="1:2" hidden="1" x14ac:dyDescent="0.25">
      <c r="A830" t="s">
        <v>8229</v>
      </c>
      <c r="B830" t="s">
        <v>8387</v>
      </c>
    </row>
    <row r="831" spans="1:2" hidden="1" x14ac:dyDescent="0.25">
      <c r="A831" t="s">
        <v>8493</v>
      </c>
      <c r="B831" t="s">
        <v>8462</v>
      </c>
    </row>
    <row r="832" spans="1:2" hidden="1" x14ac:dyDescent="0.25">
      <c r="A832" t="s">
        <v>8862</v>
      </c>
      <c r="B832" t="s">
        <v>8392</v>
      </c>
    </row>
    <row r="833" spans="1:2" hidden="1" x14ac:dyDescent="0.25">
      <c r="A833" t="s">
        <v>8324</v>
      </c>
      <c r="B833" t="s">
        <v>8215</v>
      </c>
    </row>
    <row r="834" spans="1:2" hidden="1" x14ac:dyDescent="0.25">
      <c r="A834" t="s">
        <v>8351</v>
      </c>
      <c r="B834" t="s">
        <v>8284</v>
      </c>
    </row>
    <row r="835" spans="1:2" hidden="1" x14ac:dyDescent="0.25">
      <c r="A835" t="s">
        <v>8791</v>
      </c>
      <c r="B835" t="s">
        <v>8340</v>
      </c>
    </row>
    <row r="836" spans="1:2" hidden="1" x14ac:dyDescent="0.25">
      <c r="A836" t="s">
        <v>8290</v>
      </c>
      <c r="B836" t="s">
        <v>8295</v>
      </c>
    </row>
    <row r="837" spans="1:2" hidden="1" x14ac:dyDescent="0.25">
      <c r="A837" t="s">
        <v>8402</v>
      </c>
      <c r="B837" t="s">
        <v>8572</v>
      </c>
    </row>
    <row r="838" spans="1:2" hidden="1" x14ac:dyDescent="0.25">
      <c r="A838" t="s">
        <v>8985</v>
      </c>
      <c r="B838" t="s">
        <v>8295</v>
      </c>
    </row>
    <row r="839" spans="1:2" x14ac:dyDescent="0.25">
      <c r="A839" t="s">
        <v>8336</v>
      </c>
      <c r="B839" t="s">
        <v>8403</v>
      </c>
    </row>
    <row r="840" spans="1:2" x14ac:dyDescent="0.25">
      <c r="A840" t="s">
        <v>8336</v>
      </c>
      <c r="B840" t="s">
        <v>8261</v>
      </c>
    </row>
    <row r="841" spans="1:2" hidden="1" x14ac:dyDescent="0.25">
      <c r="A841" t="s">
        <v>8964</v>
      </c>
      <c r="B841" t="s">
        <v>8417</v>
      </c>
    </row>
  </sheetData>
  <autoFilter ref="A1:B841" xr:uid="{8D45A44B-C376-44FC-A00F-07D47A2C4D81}">
    <filterColumn colId="0">
      <colorFilter dxfId="10"/>
    </filterColumn>
    <sortState xmlns:xlrd2="http://schemas.microsoft.com/office/spreadsheetml/2017/richdata2" ref="A2:B841">
      <sortCondition ref="A1:A84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tbl_persona</vt:lpstr>
      <vt:lpstr>tbl_persona_cargar</vt:lpstr>
      <vt:lpstr>tbl_zona</vt:lpstr>
      <vt:lpstr>tbl_situacion_especial</vt:lpstr>
      <vt:lpstr>tbl_centro_costo</vt:lpstr>
      <vt:lpstr>tbl_activo</vt:lpstr>
      <vt:lpstr>tbl_linea</vt:lpstr>
      <vt:lpstr>tbl_asignacion_activo_linea</vt:lpstr>
      <vt:lpstr>tbl_contrato</vt:lpstr>
      <vt:lpstr>tbl_empleado</vt:lpstr>
      <vt:lpstr>tbl_gerencia</vt:lpstr>
      <vt:lpstr>tbl_area</vt:lpstr>
      <vt:lpstr>tbl_puesto</vt:lpstr>
      <vt:lpstr>tbl_cargo</vt:lpstr>
      <vt:lpstr>tbl_sucursal</vt:lpstr>
      <vt:lpstr>tbl_historial_centro_costo</vt:lpstr>
      <vt:lpstr>tbl_contrato_empleado</vt:lpstr>
      <vt:lpstr>tbl_cliente</vt:lpstr>
      <vt:lpstr>tbl_proyecto</vt:lpstr>
      <vt:lpstr>Hoja7</vt:lpstr>
      <vt:lpstr>Hoja13</vt:lpstr>
      <vt:lpstr>Hoja14</vt:lpstr>
      <vt:lpstr>Hoja15</vt:lpstr>
      <vt:lpstr>Hoja17</vt:lpstr>
      <vt:lpstr>Hoja20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Tudelano</dc:creator>
  <cp:lastModifiedBy>Jose Tudelano</cp:lastModifiedBy>
  <dcterms:created xsi:type="dcterms:W3CDTF">2025-11-27T13:54:23Z</dcterms:created>
  <dcterms:modified xsi:type="dcterms:W3CDTF">2025-12-10T07:34:51Z</dcterms:modified>
</cp:coreProperties>
</file>